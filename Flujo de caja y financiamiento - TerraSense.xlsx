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EME" sheetId="1" r:id="rId1"/>
    <sheet name="Supuestos" sheetId="2" r:id="rId2"/>
    <sheet name="BOM" sheetId="3" r:id="rId3"/>
    <sheet name="Origen y usos" sheetId="4" r:id="rId4"/>
    <sheet name="Base_mensual" sheetId="5" r:id="rId5"/>
    <sheet name="Base_anual" sheetId="6" r:id="rId6"/>
    <sheet name="Estres_mensual" sheetId="7" r:id="rId7"/>
    <sheet name="Estres_anual" sheetId="8" r:id="rId8"/>
    <sheet name="Crecimiento_mensual" sheetId="9" r:id="rId9"/>
    <sheet name="Crecimiento_anual" sheetId="10" r:id="rId10"/>
    <sheet name="Comparacion deuda" sheetId="11" r:id="rId11"/>
    <sheet name="Sensibilidades" sheetId="12" r:id="rId12"/>
    <sheet name="Evaluacion proyecto" sheetId="13" r:id="rId13"/>
    <sheet name="Base_evaluacion" sheetId="14" r:id="rId14"/>
    <sheet name="Estres_evaluacion" sheetId="15" r:id="rId15"/>
    <sheet name="Crecimiento_evaluacion" sheetId="16" r:id="rId16"/>
  </sheets>
  <definedNames>
    <definedName name="_xlnm._FilterDatabase" localSheetId="5" hidden="1">Base_anual!$A$1:$AO$16</definedName>
    <definedName name="_xlnm._FilterDatabase" localSheetId="4" hidden="1">Base_mensual!$A$1:$AK$181</definedName>
    <definedName name="_xlnm._FilterDatabase" localSheetId="9" hidden="1">Crecimiento_anual!$A$1:$AO$16</definedName>
    <definedName name="_xlnm._FilterDatabase" localSheetId="8" hidden="1">Crecimiento_mensual!$A$1:$AK$181</definedName>
    <definedName name="_xlnm._FilterDatabase" localSheetId="7" hidden="1">Estres_anual!$A$1:$AO$16</definedName>
    <definedName name="_xlnm._FilterDatabase" localSheetId="6" hidden="1">Estres_mensual!$A$1:$AK$181</definedName>
  </definedNames>
  <calcPr calcId="124519" fullCalcOnLoad="1"/>
</workbook>
</file>

<file path=xl/sharedStrings.xml><?xml version="1.0" encoding="utf-8"?>
<sst xmlns="http://schemas.openxmlformats.org/spreadsheetml/2006/main" count="411" uniqueCount="203">
  <si>
    <t>TerraSense: CLP nominales; año 1 = 2027. Aporte socios 9 millones. Precio con IVA.</t>
  </si>
  <si>
    <t>Fuente única: finanzas/supuestos.json. Regenerar con python finanzas/modelo.py.</t>
  </si>
  <si>
    <t>Las hojas son resultados del modelo Python, no simulador interactivo completo. Fórmulas concilian totales y caja con caché.</t>
  </si>
  <si>
    <t>Base: 200/350/500/650/850 ventas; desde año 6 crecimiento 5% hipotético, no valor terminal automático.</t>
  </si>
  <si>
    <t>Estrés: 65% ventas, mismo marketing. Crecimiento: 150% ventas y marketing; personal e inventario se recalculan.</t>
  </si>
  <si>
    <t>Crédito 12% efectivo anual es supuesto, no oferta. 2% de apertura/timbres/seguros es reserva por cotizar; no CAE.</t>
  </si>
  <si>
    <t>5/10/15 años comparados con MISMO principal. 15 años no se presume elegible FOGAPE.</t>
  </si>
  <si>
    <t>Reserva: 3 meses de fijos y cuota +10% de desembolso inicial. Incluida en caja, no gasto ni suma doble.</t>
  </si>
  <si>
    <t>Sueldos socios son costo laboral, nunca retorno al capital. 35% sobre sueldo es presupuesto, no tasa legal única.</t>
  </si>
  <si>
    <t>Sin MOD variable: ensamblaje final incluido en nómina. 2.25 h/unidad, 1400 h productivas/FTE/año.</t>
  </si>
  <si>
    <t>Contador externo desde mes 1. Agencia condicional desde objetivo 650/año. No obligaciones legales por año.</t>
  </si>
  <si>
    <t>IVA: crédito compras con factura se usa desde mes siguiente; inversión/servicios iniciales sin recuperación: prudente.</t>
  </si>
  <si>
    <t>Impuesto estimado caja Pro Pyme con pérdidas; se inmoviliza al cierre anual. No reproduce F29/PPM/abril; no usar para declarar.</t>
  </si>
  <si>
    <t>FCFF antes de financiamiento con impuesto sin intereses; FCFE después de deuda. No mezclar para VAN.</t>
  </si>
  <si>
    <t>VAN/TIR/payback: FCFF y variación de reserva operativa sin deuda; mes 0 incluye desembolso y reserva operativa. Sin rescate terminal.</t>
  </si>
  <si>
    <t>No hay dividendos automáticos. FCFE es generación de caja, no depósito al socio. VAN de socios no se presenta sin política de salida.</t>
  </si>
  <si>
    <t>Ventas cobradas mismo mes, sin crédito a clientes ni mayoristas. Comisiones 5% sobre precio bruto presupuestadas.</t>
  </si>
  <si>
    <t>Validar SKU, IVA facturado, plazos de importación, CAC, contratación, impuestos y crédito antes de comprometer dinero.</t>
  </si>
  <si>
    <t>Consulte docs/MODELO_ECONOMICO.md y docs/PLAN_VALIDACION.md para fuentes, límites y tareas físicas pendientes.</t>
  </si>
  <si>
    <t>Parámetro</t>
  </si>
  <si>
    <t>Valor / lista</t>
  </si>
  <si>
    <t>fecha_revision</t>
  </si>
  <si>
    <t>2026-09-05</t>
  </si>
  <si>
    <t>inicio</t>
  </si>
  <si>
    <t>horizonte</t>
  </si>
  <si>
    <t>aporte_socios</t>
  </si>
  <si>
    <t>precio_iva</t>
  </si>
  <si>
    <t>iva</t>
  </si>
  <si>
    <t>inflacion</t>
  </si>
  <si>
    <t>tasa_credito_efectiva_anual</t>
  </si>
  <si>
    <t>plazo_base</t>
  </si>
  <si>
    <t>gastos_credito_fraccion</t>
  </si>
  <si>
    <t>tasa_descuento_proyecto</t>
  </si>
  <si>
    <t>tasa_descuento_socios</t>
  </si>
  <si>
    <t>ventas_base</t>
  </si>
  <si>
    <t>[200, 350, 500, 650, 850]</t>
  </si>
  <si>
    <t>crecimiento_despues_5</t>
  </si>
  <si>
    <t>pesos_mensuales</t>
  </si>
  <si>
    <t>[4, 6, 8, 10, 12, 14, 16, 20, 22, 26, 28, 34]</t>
  </si>
  <si>
    <t>ventas_estres_factor</t>
  </si>
  <si>
    <t>ventas_crecimiento_factor</t>
  </si>
  <si>
    <t>marketing_venta_objetivo</t>
  </si>
  <si>
    <t>comision_sobre_bruto</t>
  </si>
  <si>
    <t>envio_neto</t>
  </si>
  <si>
    <t>merma_fraccion_bom</t>
  </si>
  <si>
    <t>garantia_fraccion_bom</t>
  </si>
  <si>
    <t>inventario_meses</t>
  </si>
  <si>
    <t>lote_compra</t>
  </si>
  <si>
    <t>reserva_meses</t>
  </si>
  <si>
    <t>contingencia_inicial</t>
  </si>
  <si>
    <t>activos_iniciales_netos</t>
  </si>
  <si>
    <t>desarrollo_validacion_neto</t>
  </si>
  <si>
    <t>formalizacion_neto</t>
  </si>
  <si>
    <t>sueldo_bruto_socio</t>
  </si>
  <si>
    <t>sueldos_socios_base_por_anio</t>
  </si>
  <si>
    <t>[600000, 700000, 850000, 1000000, 1200000]</t>
  </si>
  <si>
    <t>sobrecosto_laboral_presupuesto</t>
  </si>
  <si>
    <t>sueldo_bruto_tecnico</t>
  </si>
  <si>
    <t>sueldo_bruto_soporte</t>
  </si>
  <si>
    <t>horas_unidad</t>
  </si>
  <si>
    <t>horas_soporte_equipo_anio</t>
  </si>
  <si>
    <t>horas_comerciales_por_venta</t>
  </si>
  <si>
    <t>horas_fundadores_produccion</t>
  </si>
  <si>
    <t>horas_fundadores_soporte</t>
  </si>
  <si>
    <t>horas_productivas_fte</t>
  </si>
  <si>
    <t>contador_mensual</t>
  </si>
  <si>
    <t>contador_incremento_fte</t>
  </si>
  <si>
    <t>servicios_digitales_mensual</t>
  </si>
  <si>
    <t>api_clima_mensual</t>
  </si>
  <si>
    <t>api_clima_nota</t>
  </si>
  <si>
    <t>API gratuita para pronóstico de próximos 5 días; proveedor y condiciones en docs/MODELO_ECONOMICO.md. No sustituye al BME280.</t>
  </si>
  <si>
    <t>servicios_por_equipo_activo_anio</t>
  </si>
  <si>
    <t>taller_servicios_mensual</t>
  </si>
  <si>
    <t>administracion_seguros_mensual</t>
  </si>
  <si>
    <t>agencia_desde_ventas_anuales</t>
  </si>
  <si>
    <t>agencia_mensual</t>
  </si>
  <si>
    <t>reinversion_activos_cada_3_anios</t>
  </si>
  <si>
    <t>bom</t>
  </si>
  <si>
    <t>[["Sonda RS485 7-en-1 (SKU pendiente de ficha)", 1, 48000, "Presupuesto neto puesto en taller; cotizar SKU y voltaje"], ["Placa de desarrollo ESP32-WROOM-32", 1, 6722.689075630252, "WROOM-32 confirmado por socios; referencia AFEL 8000 IVA incluido, variante de placa por confirmar"], ["Módulo ambiental Bosch BME280 I2C", 1, 2941.176470588235, "Precio indicado por socio el 2026-09-05: 3500 CLP; interpretado como precio final con IVA 19%, neto 3500/1.19. Crédito IVA sujeto a factura. Temperatura, humedad relativa y presión locales; no BMP280."], ["PCB combinada USB-C carga + boost", 1, 900, "Precio confirmado por socios; sin crédito IVA hasta tener factura"], ["LiPo 2000 mAh protegida", 1, 4500, "Presupuesto neto; cotizar dimensiones, descarga y protección"], ["SP3485 transceptor RS485 3.3 V", 1, 900, "Presupuesto neto; definir IC o módulo, no ambos"], ["Conector JST batería 3 pines con contraparte/cable", 1, 450, "Conector de batería confirmado, no módulo; pinout/tercer pin por verificar"], ["Pulsador", 1, 250, "Presupuesto neto"], ["LED SMD", 3, 40, "Presupuesto; cantidad provisional"], ["Pasivos, protección y terminación RS485", 1, 1200, "Lote por equipo; revisar esquema/ESD"], ["PCB portadora y montaje externo SMD", 1, 2500, "No incluye ensamblaje final, ya en personal"], ["Carcasa impresa en 3D PETG (servicio externo)", 1, 6000, "Presupuesto neto por conjunto: material, máquina, energía y acabado incluidos; geometría y cotización pendientes. Sin compra de impresora ni duplicar MOD."], ["Prensaestopas, fijaciones, juntas y respiradero BME280", 1, 1500, "Presupuesto neto; ventilación protegida para medir aire exterior, sin encapsular el sensor. No acredita IP67."], ["Cableado y conectores internos adicionales", 1, 700, "Presupuesto neto"], ["Embalaje, manual y etiqueta", 1, 2000, "Presupuesto neto"], ["Flete de insumos y contingencia importación", 1, 2500, "Reserva de costo neto adicional; no repetir IVA recuperable"]]</t>
  </si>
  <si>
    <t>Componente</t>
  </si>
  <si>
    <t>Cantidad</t>
  </si>
  <si>
    <t>Neto unitario CLP</t>
  </si>
  <si>
    <t>Subtotal CLP</t>
  </si>
  <si>
    <t>Evidencia / pendiente</t>
  </si>
  <si>
    <t>Sonda RS485 7-en-1 (SKU pendiente de ficha)</t>
  </si>
  <si>
    <t>Presupuesto neto puesto en taller; cotizar SKU y voltaje</t>
  </si>
  <si>
    <t>Placa de desarrollo ESP32-WROOM-32</t>
  </si>
  <si>
    <t>WROOM-32 confirmado por socios; referencia AFEL 8000 IVA incluido, variante de placa por confirmar</t>
  </si>
  <si>
    <t>Módulo ambiental Bosch BME280 I2C</t>
  </si>
  <si>
    <t>Precio indicado por socio el 2026-09-05: 3500 CLP; interpretado como precio final con IVA 19%, neto 3500/1.19. Crédito IVA sujeto a factura. Temperatura, humedad relativa y presión locales; no BMP280.</t>
  </si>
  <si>
    <t>PCB combinada USB-C carga + boost</t>
  </si>
  <si>
    <t>Precio confirmado por socios; sin crédito IVA hasta tener factura</t>
  </si>
  <si>
    <t>LiPo 2000 mAh protegida</t>
  </si>
  <si>
    <t>Presupuesto neto; cotizar dimensiones, descarga y protección</t>
  </si>
  <si>
    <t>SP3485 transceptor RS485 3.3 V</t>
  </si>
  <si>
    <t>Presupuesto neto; definir IC o módulo, no ambos</t>
  </si>
  <si>
    <t>Conector JST batería 3 pines con contraparte/cable</t>
  </si>
  <si>
    <t>Conector de batería confirmado, no módulo; pinout/tercer pin por verificar</t>
  </si>
  <si>
    <t>Pulsador</t>
  </si>
  <si>
    <t>Presupuesto neto</t>
  </si>
  <si>
    <t>LED SMD</t>
  </si>
  <si>
    <t>Presupuesto; cantidad provisional</t>
  </si>
  <si>
    <t>Pasivos, protección y terminación RS485</t>
  </si>
  <si>
    <t>Lote por equipo; revisar esquema/ESD</t>
  </si>
  <si>
    <t>PCB portadora y montaje externo SMD</t>
  </si>
  <si>
    <t>No incluye ensamblaje final, ya en personal</t>
  </si>
  <si>
    <t>Carcasa impresa en 3D PETG (servicio externo)</t>
  </si>
  <si>
    <t>Presupuesto neto por conjunto: material, máquina, energía y acabado incluidos; geometría y cotización pendientes. Sin compra de impresora ni duplicar MOD.</t>
  </si>
  <si>
    <t>Prensaestopas, fijaciones, juntas y respiradero BME280</t>
  </si>
  <si>
    <t>Presupuesto neto; ventilación protegida para medir aire exterior, sin encapsular el sensor. No acredita IP67.</t>
  </si>
  <si>
    <t>Cableado y conectores internos adicionales</t>
  </si>
  <si>
    <t>Embalaje, manual y etiqueta</t>
  </si>
  <si>
    <t>Flete de insumos y contingencia importación</t>
  </si>
  <si>
    <t>Reserva de costo neto adicional; no repetir IVA recuperable</t>
  </si>
  <si>
    <t>TOTAL BOM NETO</t>
  </si>
  <si>
    <t>Aporte socios</t>
  </si>
  <si>
    <t>Crédito bruto</t>
  </si>
  <si>
    <t>Activos/desarrollo/formalización con IVA prudencial</t>
  </si>
  <si>
    <t>Inventario inicial con IVA prudencial</t>
  </si>
  <si>
    <t>Gastos de apertura presupuestados</t>
  </si>
  <si>
    <t>Caja inicial (incluye reserva)</t>
  </si>
  <si>
    <t>Reserva inicial objetivo</t>
  </si>
  <si>
    <t>mes</t>
  </si>
  <si>
    <t>anio</t>
  </si>
  <si>
    <t>unidades</t>
  </si>
  <si>
    <t>precio_bruto</t>
  </si>
  <si>
    <t>ventas_brutas</t>
  </si>
  <si>
    <t>ventas_netas</t>
  </si>
  <si>
    <t>compras_unidades</t>
  </si>
  <si>
    <t>compras_netas</t>
  </si>
  <si>
    <t>stock_unidades</t>
  </si>
  <si>
    <t>inventario_neto</t>
  </si>
  <si>
    <t>costo_vendido</t>
  </si>
  <si>
    <t>variables</t>
  </si>
  <si>
    <t>nomina</t>
  </si>
  <si>
    <t>tecnicos_fte</t>
  </si>
  <si>
    <t>soporte_fte</t>
  </si>
  <si>
    <t>contador</t>
  </si>
  <si>
    <t>digital</t>
  </si>
  <si>
    <t>agencia</t>
  </si>
  <si>
    <t>administracion</t>
  </si>
  <si>
    <t>marketing</t>
  </si>
  <si>
    <t>fijos</t>
  </si>
  <si>
    <t>ebitda</t>
  </si>
  <si>
    <t>interes</t>
  </si>
  <si>
    <t>amortizacion</t>
  </si>
  <si>
    <t>servicio_deuda</t>
  </si>
  <si>
    <t>saldo_deuda</t>
  </si>
  <si>
    <t>capex</t>
  </si>
  <si>
    <t>impuesto_reservado</t>
  </si>
  <si>
    <t>impuesto_proyecto</t>
  </si>
  <si>
    <t>iva_inmovilizado</t>
  </si>
  <si>
    <t>credito_iva</t>
  </si>
  <si>
    <t>fcff</t>
  </si>
  <si>
    <t>fcfe</t>
  </si>
  <si>
    <t>caja</t>
  </si>
  <si>
    <t>reserva</t>
  </si>
  <si>
    <t>caja_libre</t>
  </si>
  <si>
    <t>tasa_impuesto</t>
  </si>
  <si>
    <t>dscr</t>
  </si>
  <si>
    <t>min_caja_libre</t>
  </si>
  <si>
    <t>equilibrio_operativo</t>
  </si>
  <si>
    <t>equilibrio_con_deuda</t>
  </si>
  <si>
    <t>Alternativa</t>
  </si>
  <si>
    <t>Principal</t>
  </si>
  <si>
    <t>Cuota mensual tramo</t>
  </si>
  <si>
    <t>Interés total</t>
  </si>
  <si>
    <t>Deuda al año 5</t>
  </si>
  <si>
    <t>Servicio año 1</t>
  </si>
  <si>
    <t>Mín caja libre 24m</t>
  </si>
  <si>
    <t>DSCR año 1</t>
  </si>
  <si>
    <t>Crédito mínimo que sostiene la reserva a ese plazo</t>
  </si>
  <si>
    <t>5 años</t>
  </si>
  <si>
    <t>10 años</t>
  </si>
  <si>
    <t>15 años</t>
  </si>
  <si>
    <t>5 años + bullet 5M</t>
  </si>
  <si>
    <t>DSCR: caja operativa luego de impuesto, reinversión, inventario e IVA / servicio deuda; no EBITDA solo.</t>
  </si>
  <si>
    <t>Caso</t>
  </si>
  <si>
    <t>Unidades año 1</t>
  </si>
  <si>
    <t>EBITDA año 1</t>
  </si>
  <si>
    <t>VAN proyecto 5 años 20%</t>
  </si>
  <si>
    <t>Base</t>
  </si>
  <si>
    <t>Precio anterior</t>
  </si>
  <si>
    <t>Precio 299990</t>
  </si>
  <si>
    <t>Precio 329990</t>
  </si>
  <si>
    <t>Ventas -35%, mismo marketing</t>
  </si>
  <si>
    <t>Tasa 18%</t>
  </si>
  <si>
    <t>Escenario</t>
  </si>
  <si>
    <t>Inversión mes 0</t>
  </si>
  <si>
    <t>VAN 60 meses</t>
  </si>
  <si>
    <t>TIR efectiva anual</t>
  </si>
  <si>
    <t>Payback meses</t>
  </si>
  <si>
    <t>Payback descontado meses</t>
  </si>
  <si>
    <t>Tasa descuento anual</t>
  </si>
  <si>
    <t>Mes</t>
  </si>
  <si>
    <t>FCFF evaluación</t>
  </si>
  <si>
    <t>FCFF descontado</t>
  </si>
  <si>
    <t>Acumulado simple</t>
  </si>
  <si>
    <t>Acumulado descontado</t>
  </si>
  <si>
    <t>Estres</t>
  </si>
  <si>
    <t>No recupera en 60 meses</t>
  </si>
  <si>
    <t>Crecimiento</t>
  </si>
  <si>
    <t>Payback simple y descontado: primera recuperación, interpolación mensual. Sin recuperación terminal de inventario/reserva.</t>
  </si>
</sst>
</file>

<file path=xl/styles.xml><?xml version="1.0" encoding="utf-8"?>
<styleSheet xmlns="http://schemas.openxmlformats.org/spreadsheetml/2006/main">
  <numFmts count="3">
    <numFmt numFmtId="164" formatCode="#,##0;[Red]-#,##0"/>
    <numFmt numFmtId="165" formatCode="0.00"/>
    <numFmt numFmtId="166" formatCode="0.00%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74B4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19"/>
  <sheetViews>
    <sheetView tabSelected="1" workbookViewId="0"/>
  </sheetViews>
  <sheetFormatPr defaultRowHeight="15"/>
  <cols>
    <col min="1" max="1" width="125.7109375" customWidth="1"/>
  </cols>
  <sheetData>
    <row r="1" spans="1:1">
      <c r="A1" t="s">
        <v>0</v>
      </c>
    </row>
    <row r="2" spans="1:1">
      <c r="A2" t="s">
        <v>1</v>
      </c>
    </row>
    <row r="3" spans="1:1">
      <c r="A3" t="s">
        <v>2</v>
      </c>
    </row>
    <row r="4" spans="1:1">
      <c r="A4" t="s">
        <v>3</v>
      </c>
    </row>
    <row r="5" spans="1:1">
      <c r="A5" t="s">
        <v>4</v>
      </c>
    </row>
    <row r="6" spans="1:1">
      <c r="A6" t="s">
        <v>5</v>
      </c>
    </row>
    <row r="7" spans="1:1">
      <c r="A7" t="s">
        <v>6</v>
      </c>
    </row>
    <row r="8" spans="1:1">
      <c r="A8" t="s">
        <v>7</v>
      </c>
    </row>
    <row r="9" spans="1:1">
      <c r="A9" t="s">
        <v>8</v>
      </c>
    </row>
    <row r="10" spans="1:1">
      <c r="A10" t="s">
        <v>9</v>
      </c>
    </row>
    <row r="11" spans="1:1">
      <c r="A11" t="s">
        <v>10</v>
      </c>
    </row>
    <row r="12" spans="1:1">
      <c r="A12" t="s">
        <v>11</v>
      </c>
    </row>
    <row r="13" spans="1:1">
      <c r="A13" t="s">
        <v>12</v>
      </c>
    </row>
    <row r="14" spans="1:1">
      <c r="A14" t="s">
        <v>13</v>
      </c>
    </row>
    <row r="15" spans="1:1">
      <c r="A15" t="s">
        <v>14</v>
      </c>
    </row>
    <row r="16" spans="1:1">
      <c r="A16" t="s">
        <v>15</v>
      </c>
    </row>
    <row r="17" spans="1:1">
      <c r="A17" t="s">
        <v>16</v>
      </c>
    </row>
    <row r="18" spans="1:1">
      <c r="A18" t="s">
        <v>17</v>
      </c>
    </row>
    <row r="19" spans="1:1">
      <c r="A19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3"/>
  <sheetViews>
    <sheetView workbookViewId="0"/>
  </sheetViews>
  <sheetFormatPr defaultRowHeight="15"/>
  <cols>
    <col min="1" max="1" width="45.7109375" customWidth="1"/>
    <col min="2" max="2" width="95.7109375" customWidth="1"/>
  </cols>
  <sheetData>
    <row r="1" spans="1:2">
      <c r="A1" s="1" t="s">
        <v>19</v>
      </c>
      <c r="B1" s="1" t="s">
        <v>20</v>
      </c>
    </row>
    <row r="2" spans="1:2">
      <c r="A2" t="s">
        <v>21</v>
      </c>
      <c r="B2" t="s">
        <v>22</v>
      </c>
    </row>
    <row r="3" spans="1:2">
      <c r="A3" t="s">
        <v>23</v>
      </c>
      <c r="B3">
        <v>2027</v>
      </c>
    </row>
    <row r="4" spans="1:2">
      <c r="A4" t="s">
        <v>24</v>
      </c>
      <c r="B4">
        <v>15</v>
      </c>
    </row>
    <row r="5" spans="1:2">
      <c r="A5" t="s">
        <v>25</v>
      </c>
      <c r="B5">
        <v>9000000</v>
      </c>
    </row>
    <row r="6" spans="1:2">
      <c r="A6" t="s">
        <v>26</v>
      </c>
      <c r="B6">
        <v>349990</v>
      </c>
    </row>
    <row r="7" spans="1:2">
      <c r="A7" t="s">
        <v>27</v>
      </c>
      <c r="B7">
        <v>0.19</v>
      </c>
    </row>
    <row r="8" spans="1:2">
      <c r="A8" t="s">
        <v>28</v>
      </c>
      <c r="B8">
        <v>0.03</v>
      </c>
    </row>
    <row r="9" spans="1:2">
      <c r="A9" t="s">
        <v>29</v>
      </c>
      <c r="B9">
        <v>0.12</v>
      </c>
    </row>
    <row r="10" spans="1:2">
      <c r="A10" t="s">
        <v>30</v>
      </c>
      <c r="B10">
        <v>10</v>
      </c>
    </row>
    <row r="11" spans="1:2">
      <c r="A11" t="s">
        <v>31</v>
      </c>
      <c r="B11">
        <v>0.02</v>
      </c>
    </row>
    <row r="12" spans="1:2">
      <c r="A12" t="s">
        <v>32</v>
      </c>
      <c r="B12">
        <v>0.2</v>
      </c>
    </row>
    <row r="13" spans="1:2">
      <c r="A13" t="s">
        <v>33</v>
      </c>
      <c r="B13">
        <v>0.25</v>
      </c>
    </row>
    <row r="14" spans="1:2">
      <c r="A14" t="s">
        <v>34</v>
      </c>
      <c r="B14" t="s">
        <v>35</v>
      </c>
    </row>
    <row r="15" spans="1:2">
      <c r="A15" t="s">
        <v>36</v>
      </c>
      <c r="B15">
        <v>0.05</v>
      </c>
    </row>
    <row r="16" spans="1:2">
      <c r="A16" t="s">
        <v>37</v>
      </c>
      <c r="B16" t="s">
        <v>38</v>
      </c>
    </row>
    <row r="17" spans="1:2">
      <c r="A17" t="s">
        <v>39</v>
      </c>
      <c r="B17">
        <v>0.65</v>
      </c>
    </row>
    <row r="18" spans="1:2">
      <c r="A18" t="s">
        <v>40</v>
      </c>
      <c r="B18">
        <v>1.5</v>
      </c>
    </row>
    <row r="19" spans="1:2">
      <c r="A19" t="s">
        <v>41</v>
      </c>
      <c r="B19">
        <v>30000</v>
      </c>
    </row>
    <row r="20" spans="1:2">
      <c r="A20" t="s">
        <v>42</v>
      </c>
      <c r="B20">
        <v>0.05</v>
      </c>
    </row>
    <row r="21" spans="1:2">
      <c r="A21" t="s">
        <v>43</v>
      </c>
      <c r="B21">
        <v>6000</v>
      </c>
    </row>
    <row r="22" spans="1:2">
      <c r="A22" t="s">
        <v>44</v>
      </c>
      <c r="B22">
        <v>0.03</v>
      </c>
    </row>
    <row r="23" spans="1:2">
      <c r="A23" t="s">
        <v>45</v>
      </c>
      <c r="B23">
        <v>0.05</v>
      </c>
    </row>
    <row r="24" spans="1:2">
      <c r="A24" t="s">
        <v>46</v>
      </c>
      <c r="B24">
        <v>2</v>
      </c>
    </row>
    <row r="25" spans="1:2">
      <c r="A25" t="s">
        <v>47</v>
      </c>
      <c r="B25">
        <v>10</v>
      </c>
    </row>
    <row r="26" spans="1:2">
      <c r="A26" t="s">
        <v>48</v>
      </c>
      <c r="B26">
        <v>3</v>
      </c>
    </row>
    <row r="27" spans="1:2">
      <c r="A27" t="s">
        <v>49</v>
      </c>
      <c r="B27">
        <v>0.1</v>
      </c>
    </row>
    <row r="28" spans="1:2">
      <c r="A28" t="s">
        <v>50</v>
      </c>
      <c r="B28">
        <v>3500000</v>
      </c>
    </row>
    <row r="29" spans="1:2">
      <c r="A29" t="s">
        <v>51</v>
      </c>
      <c r="B29">
        <v>4500000</v>
      </c>
    </row>
    <row r="30" spans="1:2">
      <c r="A30" t="s">
        <v>52</v>
      </c>
      <c r="B30">
        <v>700000</v>
      </c>
    </row>
    <row r="31" spans="1:2">
      <c r="A31" t="s">
        <v>53</v>
      </c>
      <c r="B31">
        <v>600000</v>
      </c>
    </row>
    <row r="32" spans="1:2">
      <c r="A32" t="s">
        <v>54</v>
      </c>
      <c r="B32" t="s">
        <v>55</v>
      </c>
    </row>
    <row r="33" spans="1:2">
      <c r="A33" t="s">
        <v>56</v>
      </c>
      <c r="B33">
        <v>0.35</v>
      </c>
    </row>
    <row r="34" spans="1:2">
      <c r="A34" t="s">
        <v>57</v>
      </c>
      <c r="B34">
        <v>650000</v>
      </c>
    </row>
    <row r="35" spans="1:2">
      <c r="A35" t="s">
        <v>58</v>
      </c>
      <c r="B35">
        <v>750000</v>
      </c>
    </row>
    <row r="36" spans="1:2">
      <c r="A36" t="s">
        <v>59</v>
      </c>
      <c r="B36">
        <v>2.25</v>
      </c>
    </row>
    <row r="37" spans="1:2">
      <c r="A37" t="s">
        <v>60</v>
      </c>
      <c r="B37">
        <v>0.5</v>
      </c>
    </row>
    <row r="38" spans="1:2">
      <c r="A38" t="s">
        <v>61</v>
      </c>
      <c r="B38">
        <v>2</v>
      </c>
    </row>
    <row r="39" spans="1:2">
      <c r="A39" t="s">
        <v>62</v>
      </c>
      <c r="B39">
        <v>500</v>
      </c>
    </row>
    <row r="40" spans="1:2">
      <c r="A40" t="s">
        <v>63</v>
      </c>
      <c r="B40">
        <v>900</v>
      </c>
    </row>
    <row r="41" spans="1:2">
      <c r="A41" t="s">
        <v>64</v>
      </c>
      <c r="B41">
        <v>1400</v>
      </c>
    </row>
    <row r="42" spans="1:2">
      <c r="A42" t="s">
        <v>65</v>
      </c>
      <c r="B42">
        <v>120000</v>
      </c>
    </row>
    <row r="43" spans="1:2">
      <c r="A43" t="s">
        <v>66</v>
      </c>
      <c r="B43">
        <v>20000</v>
      </c>
    </row>
    <row r="44" spans="1:2">
      <c r="A44" t="s">
        <v>67</v>
      </c>
      <c r="B44">
        <v>150000</v>
      </c>
    </row>
    <row r="45" spans="1:2">
      <c r="A45" t="s">
        <v>68</v>
      </c>
      <c r="B45">
        <v>0</v>
      </c>
    </row>
    <row r="46" spans="1:2">
      <c r="A46" t="s">
        <v>69</v>
      </c>
      <c r="B46" t="s">
        <v>70</v>
      </c>
    </row>
    <row r="47" spans="1:2">
      <c r="A47" t="s">
        <v>71</v>
      </c>
      <c r="B47">
        <v>1200</v>
      </c>
    </row>
    <row r="48" spans="1:2">
      <c r="A48" t="s">
        <v>72</v>
      </c>
      <c r="B48">
        <v>180000</v>
      </c>
    </row>
    <row r="49" spans="1:2">
      <c r="A49" t="s">
        <v>73</v>
      </c>
      <c r="B49">
        <v>100000</v>
      </c>
    </row>
    <row r="50" spans="1:2">
      <c r="A50" t="s">
        <v>74</v>
      </c>
      <c r="B50">
        <v>650</v>
      </c>
    </row>
    <row r="51" spans="1:2">
      <c r="A51" t="s">
        <v>75</v>
      </c>
      <c r="B51">
        <v>250000</v>
      </c>
    </row>
    <row r="52" spans="1:2">
      <c r="A52" t="s">
        <v>76</v>
      </c>
      <c r="B52">
        <v>1500000</v>
      </c>
    </row>
    <row r="53" spans="1:2">
      <c r="A53" t="s">
        <v>77</v>
      </c>
      <c r="B53" t="s">
        <v>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18"/>
  <sheetViews>
    <sheetView workbookViewId="0"/>
  </sheetViews>
  <sheetFormatPr defaultRowHeight="15"/>
  <cols>
    <col min="1" max="1" width="55.7109375" customWidth="1"/>
    <col min="2" max="4" width="18.7109375" customWidth="1"/>
    <col min="5" max="5" width="95.7109375" customWidth="1"/>
  </cols>
  <sheetData>
    <row r="1" spans="1:5">
      <c r="A1" s="1" t="s">
        <v>79</v>
      </c>
      <c r="B1" s="1" t="s">
        <v>80</v>
      </c>
      <c r="C1" s="1" t="s">
        <v>81</v>
      </c>
      <c r="D1" s="1" t="s">
        <v>82</v>
      </c>
      <c r="E1" s="1" t="s">
        <v>83</v>
      </c>
    </row>
    <row r="2" spans="1:5">
      <c r="A2" t="s">
        <v>84</v>
      </c>
      <c r="B2">
        <v>1</v>
      </c>
      <c r="C2">
        <v>48000</v>
      </c>
      <c r="D2" s="2">
        <f>B2*C2</f>
        <v>48000</v>
      </c>
      <c r="E2" t="s">
        <v>85</v>
      </c>
    </row>
    <row r="3" spans="1:5">
      <c r="A3" t="s">
        <v>86</v>
      </c>
      <c r="B3">
        <v>1</v>
      </c>
      <c r="C3">
        <v>6722.689075630252</v>
      </c>
      <c r="D3" s="2">
        <f>B3*C3</f>
        <v>6722.689075630252</v>
      </c>
      <c r="E3" t="s">
        <v>87</v>
      </c>
    </row>
    <row r="4" spans="1:5">
      <c r="A4" t="s">
        <v>88</v>
      </c>
      <c r="B4">
        <v>1</v>
      </c>
      <c r="C4">
        <v>2941.176470588235</v>
      </c>
      <c r="D4" s="2">
        <f>B4*C4</f>
        <v>2941.176470588235</v>
      </c>
      <c r="E4" t="s">
        <v>89</v>
      </c>
    </row>
    <row r="5" spans="1:5">
      <c r="A5" t="s">
        <v>90</v>
      </c>
      <c r="B5">
        <v>1</v>
      </c>
      <c r="C5">
        <v>900</v>
      </c>
      <c r="D5" s="2">
        <f>B5*C5</f>
        <v>900</v>
      </c>
      <c r="E5" t="s">
        <v>91</v>
      </c>
    </row>
    <row r="6" spans="1:5">
      <c r="A6" t="s">
        <v>92</v>
      </c>
      <c r="B6">
        <v>1</v>
      </c>
      <c r="C6">
        <v>4500</v>
      </c>
      <c r="D6" s="2">
        <f>B6*C6</f>
        <v>4500</v>
      </c>
      <c r="E6" t="s">
        <v>93</v>
      </c>
    </row>
    <row r="7" spans="1:5">
      <c r="A7" t="s">
        <v>94</v>
      </c>
      <c r="B7">
        <v>1</v>
      </c>
      <c r="C7">
        <v>900</v>
      </c>
      <c r="D7" s="2">
        <f>B7*C7</f>
        <v>900</v>
      </c>
      <c r="E7" t="s">
        <v>95</v>
      </c>
    </row>
    <row r="8" spans="1:5">
      <c r="A8" t="s">
        <v>96</v>
      </c>
      <c r="B8">
        <v>1</v>
      </c>
      <c r="C8">
        <v>450</v>
      </c>
      <c r="D8" s="2">
        <f>B8*C8</f>
        <v>450</v>
      </c>
      <c r="E8" t="s">
        <v>97</v>
      </c>
    </row>
    <row r="9" spans="1:5">
      <c r="A9" t="s">
        <v>98</v>
      </c>
      <c r="B9">
        <v>1</v>
      </c>
      <c r="C9">
        <v>250</v>
      </c>
      <c r="D9" s="2">
        <f>B9*C9</f>
        <v>250</v>
      </c>
      <c r="E9" t="s">
        <v>99</v>
      </c>
    </row>
    <row r="10" spans="1:5">
      <c r="A10" t="s">
        <v>100</v>
      </c>
      <c r="B10">
        <v>3</v>
      </c>
      <c r="C10">
        <v>40</v>
      </c>
      <c r="D10" s="2">
        <f>B10*C10</f>
        <v>120</v>
      </c>
      <c r="E10" t="s">
        <v>101</v>
      </c>
    </row>
    <row r="11" spans="1:5">
      <c r="A11" t="s">
        <v>102</v>
      </c>
      <c r="B11">
        <v>1</v>
      </c>
      <c r="C11">
        <v>1200</v>
      </c>
      <c r="D11" s="2">
        <f>B11*C11</f>
        <v>1200</v>
      </c>
      <c r="E11" t="s">
        <v>103</v>
      </c>
    </row>
    <row r="12" spans="1:5">
      <c r="A12" t="s">
        <v>104</v>
      </c>
      <c r="B12">
        <v>1</v>
      </c>
      <c r="C12">
        <v>2500</v>
      </c>
      <c r="D12" s="2">
        <f>B12*C12</f>
        <v>2500</v>
      </c>
      <c r="E12" t="s">
        <v>105</v>
      </c>
    </row>
    <row r="13" spans="1:5">
      <c r="A13" t="s">
        <v>106</v>
      </c>
      <c r="B13">
        <v>1</v>
      </c>
      <c r="C13">
        <v>6000</v>
      </c>
      <c r="D13" s="2">
        <f>B13*C13</f>
        <v>6000</v>
      </c>
      <c r="E13" t="s">
        <v>107</v>
      </c>
    </row>
    <row r="14" spans="1:5">
      <c r="A14" t="s">
        <v>108</v>
      </c>
      <c r="B14">
        <v>1</v>
      </c>
      <c r="C14">
        <v>1500</v>
      </c>
      <c r="D14" s="2">
        <f>B14*C14</f>
        <v>1500</v>
      </c>
      <c r="E14" t="s">
        <v>109</v>
      </c>
    </row>
    <row r="15" spans="1:5">
      <c r="A15" t="s">
        <v>110</v>
      </c>
      <c r="B15">
        <v>1</v>
      </c>
      <c r="C15">
        <v>700</v>
      </c>
      <c r="D15" s="2">
        <f>B15*C15</f>
        <v>700</v>
      </c>
      <c r="E15" t="s">
        <v>99</v>
      </c>
    </row>
    <row r="16" spans="1:5">
      <c r="A16" t="s">
        <v>111</v>
      </c>
      <c r="B16">
        <v>1</v>
      </c>
      <c r="C16">
        <v>2000</v>
      </c>
      <c r="D16" s="2">
        <f>B16*C16</f>
        <v>2000</v>
      </c>
      <c r="E16" t="s">
        <v>99</v>
      </c>
    </row>
    <row r="17" spans="1:5">
      <c r="A17" t="s">
        <v>112</v>
      </c>
      <c r="B17">
        <v>1</v>
      </c>
      <c r="C17">
        <v>2500</v>
      </c>
      <c r="D17" s="2">
        <f>B17*C17</f>
        <v>2500</v>
      </c>
      <c r="E17" t="s">
        <v>113</v>
      </c>
    </row>
    <row r="18" spans="1:5">
      <c r="A18" t="s">
        <v>114</v>
      </c>
      <c r="D18" s="2">
        <f>SUM(D2:D17)</f>
        <v>81183.8655462185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7"/>
  <sheetViews>
    <sheetView workbookViewId="0"/>
  </sheetViews>
  <sheetFormatPr defaultRowHeight="15"/>
  <cols>
    <col min="1" max="1" width="55.7109375" customWidth="1"/>
    <col min="2" max="2" width="22.7109375" customWidth="1"/>
  </cols>
  <sheetData>
    <row r="1" spans="1:2">
      <c r="A1" s="2" t="s">
        <v>115</v>
      </c>
      <c r="B1" s="2">
        <v>9000000</v>
      </c>
    </row>
    <row r="2" spans="1:2">
      <c r="A2" s="2" t="s">
        <v>116</v>
      </c>
      <c r="B2" s="2">
        <v>31000000</v>
      </c>
    </row>
    <row r="3" spans="1:2">
      <c r="A3" s="2" t="s">
        <v>117</v>
      </c>
      <c r="B3" s="2">
        <v>10353000</v>
      </c>
    </row>
    <row r="4" spans="1:2">
      <c r="A4" s="2" t="s">
        <v>118</v>
      </c>
      <c r="B4" s="2">
        <v>964378</v>
      </c>
    </row>
    <row r="5" spans="1:2">
      <c r="A5" s="2" t="s">
        <v>119</v>
      </c>
      <c r="B5" s="2">
        <v>620000</v>
      </c>
    </row>
    <row r="6" spans="1:2">
      <c r="A6" s="2" t="s">
        <v>120</v>
      </c>
      <c r="B6" s="2">
        <v>28062622</v>
      </c>
    </row>
    <row r="7" spans="1:2">
      <c r="A7" s="2" t="s">
        <v>121</v>
      </c>
      <c r="B7" s="2">
        <v>10473246.51697008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K18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37" width="20.7109375" customWidth="1"/>
  </cols>
  <sheetData>
    <row r="1" spans="1:37" ht="45" customHeight="1">
      <c r="A1" s="1" t="s">
        <v>122</v>
      </c>
      <c r="B1" s="1" t="s">
        <v>123</v>
      </c>
      <c r="C1" s="1" t="s">
        <v>124</v>
      </c>
      <c r="D1" s="1" t="s">
        <v>125</v>
      </c>
      <c r="E1" s="1" t="s">
        <v>126</v>
      </c>
      <c r="F1" s="1" t="s">
        <v>127</v>
      </c>
      <c r="G1" s="1" t="s">
        <v>128</v>
      </c>
      <c r="H1" s="1" t="s">
        <v>129</v>
      </c>
      <c r="I1" s="1" t="s">
        <v>130</v>
      </c>
      <c r="J1" s="1" t="s">
        <v>131</v>
      </c>
      <c r="K1" s="1" t="s">
        <v>132</v>
      </c>
      <c r="L1" s="1" t="s">
        <v>133</v>
      </c>
      <c r="M1" s="1" t="s">
        <v>134</v>
      </c>
      <c r="N1" s="1" t="s">
        <v>135</v>
      </c>
      <c r="O1" s="1" t="s">
        <v>136</v>
      </c>
      <c r="P1" s="1" t="s">
        <v>137</v>
      </c>
      <c r="Q1" s="1" t="s">
        <v>138</v>
      </c>
      <c r="R1" s="1" t="s">
        <v>139</v>
      </c>
      <c r="S1" s="1" t="s">
        <v>140</v>
      </c>
      <c r="T1" s="1" t="s">
        <v>141</v>
      </c>
      <c r="U1" s="1" t="s">
        <v>142</v>
      </c>
      <c r="V1" s="1" t="s">
        <v>143</v>
      </c>
      <c r="W1" s="1" t="s">
        <v>144</v>
      </c>
      <c r="X1" s="1" t="s">
        <v>145</v>
      </c>
      <c r="Y1" s="1" t="s">
        <v>146</v>
      </c>
      <c r="Z1" s="1" t="s">
        <v>147</v>
      </c>
      <c r="AA1" s="1" t="s">
        <v>148</v>
      </c>
      <c r="AB1" s="1" t="s">
        <v>149</v>
      </c>
      <c r="AC1" s="1" t="s">
        <v>150</v>
      </c>
      <c r="AD1" s="1" t="s">
        <v>151</v>
      </c>
      <c r="AE1" s="1" t="s">
        <v>152</v>
      </c>
      <c r="AF1" s="1" t="s">
        <v>153</v>
      </c>
      <c r="AG1" s="1" t="s">
        <v>154</v>
      </c>
      <c r="AH1" s="1" t="s">
        <v>155</v>
      </c>
      <c r="AI1" s="1" t="s">
        <v>156</v>
      </c>
      <c r="AJ1" s="1" t="s">
        <v>157</v>
      </c>
      <c r="AK1" s="1" t="s">
        <v>158</v>
      </c>
    </row>
    <row r="2" spans="1:37">
      <c r="A2" s="2">
        <v>1</v>
      </c>
      <c r="B2" s="2">
        <v>2027</v>
      </c>
      <c r="C2" s="2">
        <v>4</v>
      </c>
      <c r="D2" s="2">
        <v>349990</v>
      </c>
      <c r="E2" s="2">
        <v>1399960</v>
      </c>
      <c r="F2" s="2">
        <f>E2/1.19</f>
        <v>1176436.974789916</v>
      </c>
      <c r="G2" s="2">
        <v>10</v>
      </c>
      <c r="H2" s="2">
        <v>811838.6554621849</v>
      </c>
      <c r="I2" s="2">
        <v>16</v>
      </c>
      <c r="J2" s="2">
        <v>1298941.848739496</v>
      </c>
      <c r="K2" s="2">
        <v>324735.462184874</v>
      </c>
      <c r="L2" s="2">
        <v>119976.8369747899</v>
      </c>
      <c r="M2" s="2">
        <v>1620000</v>
      </c>
      <c r="N2" s="3">
        <v>0</v>
      </c>
      <c r="O2" s="3">
        <v>0</v>
      </c>
      <c r="P2" s="2">
        <v>120000</v>
      </c>
      <c r="Q2" s="2">
        <v>160000</v>
      </c>
      <c r="R2" s="2">
        <v>0</v>
      </c>
      <c r="S2" s="2">
        <v>280000</v>
      </c>
      <c r="T2" s="2">
        <v>500000</v>
      </c>
      <c r="U2" s="2">
        <f>M2+P2+Q2+R2+S2+T2</f>
        <v>2680000.0</v>
      </c>
      <c r="V2" s="2">
        <f>F2-K2-L2-U2</f>
        <v>-1948275.324369748</v>
      </c>
      <c r="W2" s="2">
        <v>294152.5809720744</v>
      </c>
      <c r="X2" s="2">
        <v>139683.6580179526</v>
      </c>
      <c r="Y2" s="2">
        <f>W2+X2</f>
        <v>433836.23899002705</v>
      </c>
      <c r="Z2" s="2">
        <v>30860316.34198205</v>
      </c>
      <c r="AA2" s="2">
        <v>0</v>
      </c>
      <c r="AB2" s="2">
        <v>0</v>
      </c>
      <c r="AC2" s="2">
        <v>0</v>
      </c>
      <c r="AD2" s="2">
        <v>0</v>
      </c>
      <c r="AE2" s="2">
        <v>152539.3445378151</v>
      </c>
      <c r="AF2" s="2">
        <f>F2-H2-L2-U2-AA2-AC2-AD2</f>
        <v>-2435378.5176470587</v>
      </c>
      <c r="AG2" s="2">
        <f>F2-H2-L2-U2-AA2-AB2-AD2-Y2</f>
        <v>-2869214.7566370857</v>
      </c>
      <c r="AH2" s="2">
        <f>28062622.0+AG2</f>
        <v>25193407.243362915</v>
      </c>
      <c r="AI2" s="2">
        <v>10473246.51697008</v>
      </c>
      <c r="AJ2" s="2">
        <f>AH2-AI2</f>
        <v>14720160.726392834</v>
      </c>
      <c r="AK2" s="3">
        <v>0.125</v>
      </c>
    </row>
    <row r="3" spans="1:37">
      <c r="A3" s="2">
        <v>2</v>
      </c>
      <c r="B3" s="2">
        <v>2027</v>
      </c>
      <c r="C3" s="2">
        <v>6</v>
      </c>
      <c r="D3" s="2">
        <v>349990</v>
      </c>
      <c r="E3" s="2">
        <v>2099940</v>
      </c>
      <c r="F3" s="2">
        <f>E3/1.19</f>
        <v>1764655.462184874</v>
      </c>
      <c r="G3" s="2">
        <v>10</v>
      </c>
      <c r="H3" s="2">
        <v>811838.6554621849</v>
      </c>
      <c r="I3" s="2">
        <v>20</v>
      </c>
      <c r="J3" s="2">
        <v>1623677.31092437</v>
      </c>
      <c r="K3" s="2">
        <v>487103.193277311</v>
      </c>
      <c r="L3" s="2">
        <v>179965.2554621849</v>
      </c>
      <c r="M3" s="2">
        <v>1620000</v>
      </c>
      <c r="N3" s="3">
        <v>0</v>
      </c>
      <c r="O3" s="3">
        <v>0</v>
      </c>
      <c r="P3" s="2">
        <v>120000</v>
      </c>
      <c r="Q3" s="2">
        <v>160000</v>
      </c>
      <c r="R3" s="2">
        <v>0</v>
      </c>
      <c r="S3" s="2">
        <v>280000</v>
      </c>
      <c r="T3" s="2">
        <v>500000</v>
      </c>
      <c r="U3" s="2">
        <f>M3+P3+Q3+R3+S3+T3</f>
        <v>2680000.0</v>
      </c>
      <c r="V3" s="2">
        <f>F3-K3-L3-U3</f>
        <v>-1582412.9865546217</v>
      </c>
      <c r="W3" s="2">
        <v>292827.151664797</v>
      </c>
      <c r="X3" s="2">
        <v>141009.0873252301</v>
      </c>
      <c r="Y3" s="2">
        <f>W3+X3</f>
        <v>433836.23899002705</v>
      </c>
      <c r="Z3" s="2">
        <v>30719307.25465682</v>
      </c>
      <c r="AA3" s="2">
        <v>0</v>
      </c>
      <c r="AB3" s="2">
        <v>0</v>
      </c>
      <c r="AC3" s="2">
        <v>0</v>
      </c>
      <c r="AD3" s="2">
        <v>0</v>
      </c>
      <c r="AE3" s="2">
        <v>152539.3445378151</v>
      </c>
      <c r="AF3" s="2">
        <f>F3-H3-L3-U3-AA3-AC3-AD3</f>
        <v>-1907148.4487394956</v>
      </c>
      <c r="AG3" s="2">
        <f>F3-H3-L3-U3-AA3-AB3-AD3-Y3</f>
        <v>-2340984.6877295226</v>
      </c>
      <c r="AH3" s="2">
        <f>AH2+AG3</f>
        <v>22852422.555633392</v>
      </c>
      <c r="AI3" s="2">
        <v>10473246.51697008</v>
      </c>
      <c r="AJ3" s="2">
        <f>AH3-AI3</f>
        <v>12379176.03866331</v>
      </c>
      <c r="AK3" s="3">
        <v>0.125</v>
      </c>
    </row>
    <row r="4" spans="1:37">
      <c r="A4" s="2">
        <v>3</v>
      </c>
      <c r="B4" s="2">
        <v>2027</v>
      </c>
      <c r="C4" s="2">
        <v>8</v>
      </c>
      <c r="D4" s="2">
        <v>349990</v>
      </c>
      <c r="E4" s="2">
        <v>2799920</v>
      </c>
      <c r="F4" s="2">
        <f>E4/1.19</f>
        <v>2352873.949579832</v>
      </c>
      <c r="G4" s="2">
        <v>10</v>
      </c>
      <c r="H4" s="2">
        <v>811838.6554621849</v>
      </c>
      <c r="I4" s="2">
        <v>22</v>
      </c>
      <c r="J4" s="2">
        <v>1786045.042016807</v>
      </c>
      <c r="K4" s="2">
        <v>649470.924369748</v>
      </c>
      <c r="L4" s="2">
        <v>239953.6739495798</v>
      </c>
      <c r="M4" s="2">
        <v>1620000</v>
      </c>
      <c r="N4" s="3">
        <v>0</v>
      </c>
      <c r="O4" s="3">
        <v>0</v>
      </c>
      <c r="P4" s="2">
        <v>120000</v>
      </c>
      <c r="Q4" s="2">
        <v>160000</v>
      </c>
      <c r="R4" s="2">
        <v>0</v>
      </c>
      <c r="S4" s="2">
        <v>280000</v>
      </c>
      <c r="T4" s="2">
        <v>500000</v>
      </c>
      <c r="U4" s="2">
        <f>M4+P4+Q4+R4+S4+T4</f>
        <v>2680000.0</v>
      </c>
      <c r="V4" s="2">
        <f>F4-K4-L4-U4</f>
        <v>-1216550.6487394958</v>
      </c>
      <c r="W4" s="2">
        <v>291489.1456332733</v>
      </c>
      <c r="X4" s="2">
        <v>142347.0933567538</v>
      </c>
      <c r="Y4" s="2">
        <f>W4+X4</f>
        <v>433836.23899002705</v>
      </c>
      <c r="Z4" s="2">
        <v>30576960.16130006</v>
      </c>
      <c r="AA4" s="2">
        <v>0</v>
      </c>
      <c r="AB4" s="2">
        <v>0</v>
      </c>
      <c r="AC4" s="2">
        <v>0</v>
      </c>
      <c r="AD4" s="2">
        <v>0</v>
      </c>
      <c r="AE4" s="2">
        <v>152539.3445378151</v>
      </c>
      <c r="AF4" s="2">
        <f>F4-H4-L4-U4-AA4-AC4-AD4</f>
        <v>-1378918.3798319325</v>
      </c>
      <c r="AG4" s="2">
        <f>F4-H4-L4-U4-AA4-AB4-AD4-Y4</f>
        <v>-1812754.6188219595</v>
      </c>
      <c r="AH4" s="2">
        <f>AH3+AG4</f>
        <v>21039667.936811432</v>
      </c>
      <c r="AI4" s="2">
        <v>10473246.51697008</v>
      </c>
      <c r="AJ4" s="2">
        <f>AH4-AI4</f>
        <v>10566421.419841351</v>
      </c>
      <c r="AK4" s="3">
        <v>0.125</v>
      </c>
    </row>
    <row r="5" spans="1:37">
      <c r="A5" s="2">
        <v>4</v>
      </c>
      <c r="B5" s="2">
        <v>2027</v>
      </c>
      <c r="C5" s="2">
        <v>10</v>
      </c>
      <c r="D5" s="2">
        <v>349990</v>
      </c>
      <c r="E5" s="2">
        <v>3499900</v>
      </c>
      <c r="F5" s="2">
        <f>E5/1.19</f>
        <v>2941092.43697479</v>
      </c>
      <c r="G5" s="2">
        <v>20</v>
      </c>
      <c r="H5" s="2">
        <v>1623677.31092437</v>
      </c>
      <c r="I5" s="2">
        <v>32</v>
      </c>
      <c r="J5" s="2">
        <v>2597883.697478992</v>
      </c>
      <c r="K5" s="2">
        <v>811838.6554621849</v>
      </c>
      <c r="L5" s="2">
        <v>299942.0924369748</v>
      </c>
      <c r="M5" s="2">
        <v>1620000</v>
      </c>
      <c r="N5" s="3">
        <v>0</v>
      </c>
      <c r="O5" s="3">
        <v>0</v>
      </c>
      <c r="P5" s="2">
        <v>120000</v>
      </c>
      <c r="Q5" s="2">
        <v>160000</v>
      </c>
      <c r="R5" s="2">
        <v>0</v>
      </c>
      <c r="S5" s="2">
        <v>280000</v>
      </c>
      <c r="T5" s="2">
        <v>500000</v>
      </c>
      <c r="U5" s="2">
        <f>M5+P5+Q5+R5+S5+T5</f>
        <v>2680000.0</v>
      </c>
      <c r="V5" s="2">
        <f>F5-K5-L5-U5</f>
        <v>-850688.3109243698</v>
      </c>
      <c r="W5" s="2">
        <v>290138.4435395713</v>
      </c>
      <c r="X5" s="2">
        <v>143697.7954504557</v>
      </c>
      <c r="Y5" s="2">
        <f>W5+X5</f>
        <v>433836.23899002705</v>
      </c>
      <c r="Z5" s="2">
        <v>30433262.36584961</v>
      </c>
      <c r="AA5" s="2">
        <v>0</v>
      </c>
      <c r="AB5" s="2">
        <v>0</v>
      </c>
      <c r="AC5" s="2">
        <v>0</v>
      </c>
      <c r="AD5" s="2">
        <v>152539.3445378151</v>
      </c>
      <c r="AE5" s="2">
        <v>305078.6890756303</v>
      </c>
      <c r="AF5" s="2">
        <f>F5-H5-L5-U5-AA5-AC5-AD5</f>
        <v>-1815066.3109243698</v>
      </c>
      <c r="AG5" s="2">
        <f>F5-H5-L5-U5-AA5-AB5-AD5-Y5</f>
        <v>-2248902.549914397</v>
      </c>
      <c r="AH5" s="2">
        <f>AH4+AG5</f>
        <v>18790765.386897035</v>
      </c>
      <c r="AI5" s="2">
        <v>10473246.51697008</v>
      </c>
      <c r="AJ5" s="2">
        <f>AH5-AI5</f>
        <v>8317518.869926954</v>
      </c>
      <c r="AK5" s="3">
        <v>0.125</v>
      </c>
    </row>
    <row r="6" spans="1:37">
      <c r="A6" s="2">
        <v>5</v>
      </c>
      <c r="B6" s="2">
        <v>2027</v>
      </c>
      <c r="C6" s="2">
        <v>12</v>
      </c>
      <c r="D6" s="2">
        <v>349990</v>
      </c>
      <c r="E6" s="2">
        <v>4199880</v>
      </c>
      <c r="F6" s="2">
        <f>E6/1.19</f>
        <v>3529310.924369748</v>
      </c>
      <c r="G6" s="2">
        <v>10</v>
      </c>
      <c r="H6" s="2">
        <v>811838.6554621849</v>
      </c>
      <c r="I6" s="2">
        <v>30</v>
      </c>
      <c r="J6" s="2">
        <v>2435515.966386555</v>
      </c>
      <c r="K6" s="2">
        <v>974206.386554622</v>
      </c>
      <c r="L6" s="2">
        <v>359930.5109243698</v>
      </c>
      <c r="M6" s="2">
        <v>1620000</v>
      </c>
      <c r="N6" s="3">
        <v>0</v>
      </c>
      <c r="O6" s="3">
        <v>0</v>
      </c>
      <c r="P6" s="2">
        <v>120000</v>
      </c>
      <c r="Q6" s="2">
        <v>160000</v>
      </c>
      <c r="R6" s="2">
        <v>0</v>
      </c>
      <c r="S6" s="2">
        <v>280000</v>
      </c>
      <c r="T6" s="2">
        <v>500000</v>
      </c>
      <c r="U6" s="2">
        <f>M6+P6+Q6+R6+S6+T6</f>
        <v>2680000.0</v>
      </c>
      <c r="V6" s="2">
        <f>F6-K6-L6-U6</f>
        <v>-484825.97310924344</v>
      </c>
      <c r="W6" s="2">
        <v>288774.9249133859</v>
      </c>
      <c r="X6" s="2">
        <v>145061.3140766412</v>
      </c>
      <c r="Y6" s="2">
        <f>W6+X6</f>
        <v>433836.23899002705</v>
      </c>
      <c r="Z6" s="2">
        <v>30288201.05177297</v>
      </c>
      <c r="AA6" s="2">
        <v>0</v>
      </c>
      <c r="AB6" s="2">
        <v>0</v>
      </c>
      <c r="AC6" s="2">
        <v>0</v>
      </c>
      <c r="AD6" s="2">
        <v>-152539.3445378151</v>
      </c>
      <c r="AE6" s="2">
        <v>152539.3445378151</v>
      </c>
      <c r="AF6" s="2">
        <f>F6-H6-L6-U6-AA6-AC6-AD6</f>
        <v>-169918.89747899113</v>
      </c>
      <c r="AG6" s="2">
        <f>F6-H6-L6-U6-AA6-AB6-AD6-Y6</f>
        <v>-603755.1364690182</v>
      </c>
      <c r="AH6" s="2">
        <f>AH5+AG6</f>
        <v>18187010.250428017</v>
      </c>
      <c r="AI6" s="2">
        <v>10473246.51697008</v>
      </c>
      <c r="AJ6" s="2">
        <f>AH6-AI6</f>
        <v>7713763.733457936</v>
      </c>
      <c r="AK6" s="3">
        <v>0.125</v>
      </c>
    </row>
    <row r="7" spans="1:37">
      <c r="A7" s="2">
        <v>6</v>
      </c>
      <c r="B7" s="2">
        <v>2027</v>
      </c>
      <c r="C7" s="2">
        <v>14</v>
      </c>
      <c r="D7" s="2">
        <v>349990</v>
      </c>
      <c r="E7" s="2">
        <v>4899860</v>
      </c>
      <c r="F7" s="2">
        <f>E7/1.19</f>
        <v>4117529.411764706</v>
      </c>
      <c r="G7" s="2">
        <v>20</v>
      </c>
      <c r="H7" s="2">
        <v>1623677.31092437</v>
      </c>
      <c r="I7" s="2">
        <v>36</v>
      </c>
      <c r="J7" s="2">
        <v>2922619.159663865</v>
      </c>
      <c r="K7" s="2">
        <v>1136574.117647059</v>
      </c>
      <c r="L7" s="2">
        <v>419918.9294117647</v>
      </c>
      <c r="M7" s="2">
        <v>1620000</v>
      </c>
      <c r="N7" s="3">
        <v>0</v>
      </c>
      <c r="O7" s="3">
        <v>0</v>
      </c>
      <c r="P7" s="2">
        <v>120000</v>
      </c>
      <c r="Q7" s="2">
        <v>160000</v>
      </c>
      <c r="R7" s="2">
        <v>0</v>
      </c>
      <c r="S7" s="2">
        <v>280000</v>
      </c>
      <c r="T7" s="2">
        <v>500000</v>
      </c>
      <c r="U7" s="2">
        <f>M7+P7+Q7+R7+S7+T7</f>
        <v>2680000.0</v>
      </c>
      <c r="V7" s="2">
        <f>F7-K7-L7-U7</f>
        <v>-118963.6352941175</v>
      </c>
      <c r="W7" s="2">
        <v>287398.4681412941</v>
      </c>
      <c r="X7" s="2">
        <v>146437.770848733</v>
      </c>
      <c r="Y7" s="2">
        <f>W7+X7</f>
        <v>433836.23899002705</v>
      </c>
      <c r="Z7" s="2">
        <v>30141763.28092423</v>
      </c>
      <c r="AA7" s="2">
        <v>0</v>
      </c>
      <c r="AB7" s="2">
        <v>0</v>
      </c>
      <c r="AC7" s="2">
        <v>0</v>
      </c>
      <c r="AD7" s="2">
        <v>152539.3445378151</v>
      </c>
      <c r="AE7" s="2">
        <v>305078.6890756303</v>
      </c>
      <c r="AF7" s="2">
        <f>F7-H7-L7-U7-AA7-AC7-AD7</f>
        <v>-758606.1731092436</v>
      </c>
      <c r="AG7" s="2">
        <f>F7-H7-L7-U7-AA7-AB7-AD7-Y7</f>
        <v>-1192442.4120992706</v>
      </c>
      <c r="AH7" s="2">
        <f>AH6+AG7</f>
        <v>16994567.838328745</v>
      </c>
      <c r="AI7" s="2">
        <v>10473246.51697008</v>
      </c>
      <c r="AJ7" s="2">
        <f>AH7-AI7</f>
        <v>6521321.321358664</v>
      </c>
      <c r="AK7" s="3">
        <v>0.125</v>
      </c>
    </row>
    <row r="8" spans="1:37">
      <c r="A8" s="2">
        <v>7</v>
      </c>
      <c r="B8" s="2">
        <v>2027</v>
      </c>
      <c r="C8" s="2">
        <v>16</v>
      </c>
      <c r="D8" s="2">
        <v>349990</v>
      </c>
      <c r="E8" s="2">
        <v>5599840</v>
      </c>
      <c r="F8" s="2">
        <f>E8/1.19</f>
        <v>4705747.899159664</v>
      </c>
      <c r="G8" s="2">
        <v>30</v>
      </c>
      <c r="H8" s="2">
        <v>2435515.966386555</v>
      </c>
      <c r="I8" s="2">
        <v>50</v>
      </c>
      <c r="J8" s="2">
        <v>4059193.277310925</v>
      </c>
      <c r="K8" s="2">
        <v>1298941.848739496</v>
      </c>
      <c r="L8" s="2">
        <v>479907.3478991596</v>
      </c>
      <c r="M8" s="2">
        <v>1620000</v>
      </c>
      <c r="N8" s="3">
        <v>0</v>
      </c>
      <c r="O8" s="3">
        <v>0</v>
      </c>
      <c r="P8" s="2">
        <v>120000</v>
      </c>
      <c r="Q8" s="2">
        <v>160000</v>
      </c>
      <c r="R8" s="2">
        <v>0</v>
      </c>
      <c r="S8" s="2">
        <v>280000</v>
      </c>
      <c r="T8" s="2">
        <v>500000</v>
      </c>
      <c r="U8" s="2">
        <f>M8+P8+Q8+R8+S8+T8</f>
        <v>2680000.0</v>
      </c>
      <c r="V8" s="2">
        <f>F8-K8-L8-U8</f>
        <v>246898.70252100937</v>
      </c>
      <c r="W8" s="2">
        <v>286008.9504559085</v>
      </c>
      <c r="X8" s="2">
        <v>147827.2885341185</v>
      </c>
      <c r="Y8" s="2">
        <f>W8+X8</f>
        <v>433836.23899002705</v>
      </c>
      <c r="Z8" s="2">
        <v>29993935.99239011</v>
      </c>
      <c r="AA8" s="2">
        <v>0</v>
      </c>
      <c r="AB8" s="2">
        <v>0</v>
      </c>
      <c r="AC8" s="2">
        <v>0</v>
      </c>
      <c r="AD8" s="2">
        <v>152539.3445378151</v>
      </c>
      <c r="AE8" s="2">
        <v>457618.0336134454</v>
      </c>
      <c r="AF8" s="2">
        <f>F8-H8-L8-U8-AA8-AC8-AD8</f>
        <v>-1042214.7596638652</v>
      </c>
      <c r="AG8" s="2">
        <f>F8-H8-L8-U8-AA8-AB8-AD8-Y8</f>
        <v>-1476050.9986538922</v>
      </c>
      <c r="AH8" s="2">
        <f>AH7+AG8</f>
        <v>15518516.839674853</v>
      </c>
      <c r="AI8" s="2">
        <v>10473246.51697008</v>
      </c>
      <c r="AJ8" s="2">
        <f>AH8-AI8</f>
        <v>5045270.3227047715</v>
      </c>
      <c r="AK8" s="3">
        <v>0.125</v>
      </c>
    </row>
    <row r="9" spans="1:37">
      <c r="A9" s="2">
        <v>8</v>
      </c>
      <c r="B9" s="2">
        <v>2027</v>
      </c>
      <c r="C9" s="2">
        <v>20</v>
      </c>
      <c r="D9" s="2">
        <v>349990</v>
      </c>
      <c r="E9" s="2">
        <v>6999800</v>
      </c>
      <c r="F9" s="2">
        <f>E9/1.19</f>
        <v>5882184.87394958</v>
      </c>
      <c r="G9" s="2">
        <v>20</v>
      </c>
      <c r="H9" s="2">
        <v>1623677.31092437</v>
      </c>
      <c r="I9" s="2">
        <v>50</v>
      </c>
      <c r="J9" s="2">
        <v>4059193.277310925</v>
      </c>
      <c r="K9" s="2">
        <v>1623677.31092437</v>
      </c>
      <c r="L9" s="2">
        <v>599884.1848739496</v>
      </c>
      <c r="M9" s="2">
        <v>1620000</v>
      </c>
      <c r="N9" s="3">
        <v>0</v>
      </c>
      <c r="O9" s="3">
        <v>0</v>
      </c>
      <c r="P9" s="2">
        <v>120000</v>
      </c>
      <c r="Q9" s="2">
        <v>160000</v>
      </c>
      <c r="R9" s="2">
        <v>0</v>
      </c>
      <c r="S9" s="2">
        <v>280000</v>
      </c>
      <c r="T9" s="2">
        <v>500000</v>
      </c>
      <c r="U9" s="2">
        <f>M9+P9+Q9+R9+S9+T9</f>
        <v>2680000.0</v>
      </c>
      <c r="V9" s="2">
        <f>F9-K9-L9-U9</f>
        <v>978623.3781512603</v>
      </c>
      <c r="W9" s="2">
        <v>284606.2479249274</v>
      </c>
      <c r="X9" s="2">
        <v>149229.9910650996</v>
      </c>
      <c r="Y9" s="2">
        <f>W9+X9</f>
        <v>433836.23899002705</v>
      </c>
      <c r="Z9" s="2">
        <v>29844706.00132501</v>
      </c>
      <c r="AA9" s="2">
        <v>0</v>
      </c>
      <c r="AB9" s="2">
        <v>0</v>
      </c>
      <c r="AC9" s="2">
        <v>0</v>
      </c>
      <c r="AD9" s="2">
        <v>-152539.3445378151</v>
      </c>
      <c r="AE9" s="2">
        <v>305078.6890756303</v>
      </c>
      <c r="AF9" s="2">
        <f>F9-H9-L9-U9-AA9-AC9-AD9</f>
        <v>1131162.7226890754</v>
      </c>
      <c r="AG9" s="2">
        <f>F9-H9-L9-U9-AA9-AB9-AD9-Y9</f>
        <v>697326.4836990484</v>
      </c>
      <c r="AH9" s="2">
        <f>AH8+AG9</f>
        <v>16215843.3233739</v>
      </c>
      <c r="AI9" s="2">
        <v>10473246.51697008</v>
      </c>
      <c r="AJ9" s="2">
        <f>AH9-AI9</f>
        <v>5742596.8064038195</v>
      </c>
      <c r="AK9" s="3">
        <v>0.125</v>
      </c>
    </row>
    <row r="10" spans="1:37">
      <c r="A10" s="2">
        <v>9</v>
      </c>
      <c r="B10" s="2">
        <v>2027</v>
      </c>
      <c r="C10" s="2">
        <v>22</v>
      </c>
      <c r="D10" s="2">
        <v>349990</v>
      </c>
      <c r="E10" s="2">
        <v>7699780</v>
      </c>
      <c r="F10" s="2">
        <f>E10/1.19</f>
        <v>6470403.361344538</v>
      </c>
      <c r="G10" s="2">
        <v>30</v>
      </c>
      <c r="H10" s="2">
        <v>2435515.966386555</v>
      </c>
      <c r="I10" s="2">
        <v>58</v>
      </c>
      <c r="J10" s="2">
        <v>4708664.201680672</v>
      </c>
      <c r="K10" s="2">
        <v>1786045.042016807</v>
      </c>
      <c r="L10" s="2">
        <v>659872.6033613445</v>
      </c>
      <c r="M10" s="2">
        <v>1620000</v>
      </c>
      <c r="N10" s="3">
        <v>0</v>
      </c>
      <c r="O10" s="3">
        <v>0</v>
      </c>
      <c r="P10" s="2">
        <v>120000</v>
      </c>
      <c r="Q10" s="2">
        <v>160000</v>
      </c>
      <c r="R10" s="2">
        <v>0</v>
      </c>
      <c r="S10" s="2">
        <v>280000</v>
      </c>
      <c r="T10" s="2">
        <v>500000</v>
      </c>
      <c r="U10" s="2">
        <f>M10+P10+Q10+R10+S10+T10</f>
        <v>2680000.0</v>
      </c>
      <c r="V10" s="2">
        <f>F10-K10-L10-U10</f>
        <v>1344485.7159663863</v>
      </c>
      <c r="W10" s="2">
        <v>283190.235440081</v>
      </c>
      <c r="X10" s="2">
        <v>150646.003549946</v>
      </c>
      <c r="Y10" s="2">
        <f>W10+X10</f>
        <v>433836.23899002705</v>
      </c>
      <c r="Z10" s="2">
        <v>29694059.99777507</v>
      </c>
      <c r="AA10" s="2">
        <v>0</v>
      </c>
      <c r="AB10" s="2">
        <v>0</v>
      </c>
      <c r="AC10" s="2">
        <v>0</v>
      </c>
      <c r="AD10" s="2">
        <v>152539.3445378151</v>
      </c>
      <c r="AE10" s="2">
        <v>457618.0336134454</v>
      </c>
      <c r="AF10" s="2">
        <f>F10-H10-L10-U10-AA10-AC10-AD10</f>
        <v>542475.4470588234</v>
      </c>
      <c r="AG10" s="2">
        <f>F10-H10-L10-U10-AA10-AB10-AD10-Y10</f>
        <v>108639.20806879638</v>
      </c>
      <c r="AH10" s="2">
        <f>AH9+AG10</f>
        <v>16324482.531442696</v>
      </c>
      <c r="AI10" s="2">
        <v>10473246.51697008</v>
      </c>
      <c r="AJ10" s="2">
        <f>AH10-AI10</f>
        <v>5851236.014472615</v>
      </c>
      <c r="AK10" s="3">
        <v>0.125</v>
      </c>
    </row>
    <row r="11" spans="1:37">
      <c r="A11" s="2">
        <v>10</v>
      </c>
      <c r="B11" s="2">
        <v>2027</v>
      </c>
      <c r="C11" s="2">
        <v>26</v>
      </c>
      <c r="D11" s="2">
        <v>349990</v>
      </c>
      <c r="E11" s="2">
        <v>9099740</v>
      </c>
      <c r="F11" s="2">
        <f>E11/1.19</f>
        <v>7646840.336134454</v>
      </c>
      <c r="G11" s="2">
        <v>30</v>
      </c>
      <c r="H11" s="2">
        <v>2435515.966386555</v>
      </c>
      <c r="I11" s="2">
        <v>62</v>
      </c>
      <c r="J11" s="2">
        <v>5033399.663865547</v>
      </c>
      <c r="K11" s="2">
        <v>2110780.50420168</v>
      </c>
      <c r="L11" s="2">
        <v>779849.4403361344</v>
      </c>
      <c r="M11" s="2">
        <v>1620000</v>
      </c>
      <c r="N11" s="3">
        <v>0</v>
      </c>
      <c r="O11" s="3">
        <v>0</v>
      </c>
      <c r="P11" s="2">
        <v>120000</v>
      </c>
      <c r="Q11" s="2">
        <v>160000</v>
      </c>
      <c r="R11" s="2">
        <v>0</v>
      </c>
      <c r="S11" s="2">
        <v>280000</v>
      </c>
      <c r="T11" s="2">
        <v>500000</v>
      </c>
      <c r="U11" s="2">
        <f>M11+P11+Q11+R11+S11+T11</f>
        <v>2680000.0</v>
      </c>
      <c r="V11" s="2">
        <f>F11-K11-L11-U11</f>
        <v>2076210.3915966395</v>
      </c>
      <c r="W11" s="2">
        <v>281760.7867059732</v>
      </c>
      <c r="X11" s="2">
        <v>152075.4522840539</v>
      </c>
      <c r="Y11" s="2">
        <f>W11+X11</f>
        <v>433836.23899002705</v>
      </c>
      <c r="Z11" s="2">
        <v>29541984.54549102</v>
      </c>
      <c r="AA11" s="2">
        <v>0</v>
      </c>
      <c r="AB11" s="2">
        <v>0</v>
      </c>
      <c r="AC11" s="2">
        <v>0</v>
      </c>
      <c r="AD11" s="2">
        <v>0</v>
      </c>
      <c r="AE11" s="2">
        <v>457618.0336134454</v>
      </c>
      <c r="AF11" s="2">
        <f>F11-H11-L11-U11-AA11-AC11-AD11</f>
        <v>1751474.9294117652</v>
      </c>
      <c r="AG11" s="2">
        <f>F11-H11-L11-U11-AA11-AB11-AD11-Y11</f>
        <v>1317638.6904217382</v>
      </c>
      <c r="AH11" s="2">
        <f>AH10+AG11</f>
        <v>17642121.221864436</v>
      </c>
      <c r="AI11" s="2">
        <v>10473246.51697008</v>
      </c>
      <c r="AJ11" s="2">
        <f>AH11-AI11</f>
        <v>7168874.704894355</v>
      </c>
      <c r="AK11" s="3">
        <v>0.125</v>
      </c>
    </row>
    <row r="12" spans="1:37">
      <c r="A12" s="2">
        <v>11</v>
      </c>
      <c r="B12" s="2">
        <v>2027</v>
      </c>
      <c r="C12" s="2">
        <v>28</v>
      </c>
      <c r="D12" s="2">
        <v>349990</v>
      </c>
      <c r="E12" s="2">
        <v>9799720</v>
      </c>
      <c r="F12" s="2">
        <f>E12/1.19</f>
        <v>8235058.823529412</v>
      </c>
      <c r="G12" s="2">
        <v>10</v>
      </c>
      <c r="H12" s="2">
        <v>811838.6554621849</v>
      </c>
      <c r="I12" s="2">
        <v>44</v>
      </c>
      <c r="J12" s="2">
        <v>3572090.084033614</v>
      </c>
      <c r="K12" s="2">
        <v>2273148.235294118</v>
      </c>
      <c r="L12" s="2">
        <v>839837.8588235294</v>
      </c>
      <c r="M12" s="2">
        <v>1620000</v>
      </c>
      <c r="N12" s="3">
        <v>0</v>
      </c>
      <c r="O12" s="3">
        <v>0</v>
      </c>
      <c r="P12" s="2">
        <v>120000</v>
      </c>
      <c r="Q12" s="2">
        <v>160000</v>
      </c>
      <c r="R12" s="2">
        <v>0</v>
      </c>
      <c r="S12" s="2">
        <v>280000</v>
      </c>
      <c r="T12" s="2">
        <v>500000</v>
      </c>
      <c r="U12" s="2">
        <f>M12+P12+Q12+R12+S12+T12</f>
        <v>2680000.0</v>
      </c>
      <c r="V12" s="2">
        <f>F12-K12-L12-U12</f>
        <v>2442072.729411765</v>
      </c>
      <c r="W12" s="2">
        <v>280317.7742288167</v>
      </c>
      <c r="X12" s="2">
        <v>153518.4647612104</v>
      </c>
      <c r="Y12" s="2">
        <f>W12+X12</f>
        <v>433836.23899002705</v>
      </c>
      <c r="Z12" s="2">
        <v>29388466.08072981</v>
      </c>
      <c r="AA12" s="2">
        <v>0</v>
      </c>
      <c r="AB12" s="2">
        <v>0</v>
      </c>
      <c r="AC12" s="2">
        <v>0</v>
      </c>
      <c r="AD12" s="2">
        <v>-305078.6890756303</v>
      </c>
      <c r="AE12" s="2">
        <v>152539.3445378151</v>
      </c>
      <c r="AF12" s="2">
        <f>F12-H12-L12-U12-AA12-AC12-AD12</f>
        <v>4208460.998319328</v>
      </c>
      <c r="AG12" s="2">
        <f>F12-H12-L12-U12-AA12-AB12-AD12-Y12</f>
        <v>3774624.759329301</v>
      </c>
      <c r="AH12" s="2">
        <f>AH11+AG12</f>
        <v>21416745.981193736</v>
      </c>
      <c r="AI12" s="2">
        <v>10473246.51697008</v>
      </c>
      <c r="AJ12" s="2">
        <f>AH12-AI12</f>
        <v>10943499.464223655</v>
      </c>
      <c r="AK12" s="3">
        <v>0.125</v>
      </c>
    </row>
    <row r="13" spans="1:37">
      <c r="A13" s="2">
        <v>12</v>
      </c>
      <c r="B13" s="2">
        <v>2027</v>
      </c>
      <c r="C13" s="2">
        <v>34</v>
      </c>
      <c r="D13" s="2">
        <v>349990</v>
      </c>
      <c r="E13" s="2">
        <v>11899660</v>
      </c>
      <c r="F13" s="2">
        <f>E13/1.19</f>
        <v>9999714.285714285</v>
      </c>
      <c r="G13" s="2">
        <v>10</v>
      </c>
      <c r="H13" s="2">
        <v>811838.6554621849</v>
      </c>
      <c r="I13" s="2">
        <v>20</v>
      </c>
      <c r="J13" s="2">
        <v>1623677.310924369</v>
      </c>
      <c r="K13" s="2">
        <v>2760251.428571429</v>
      </c>
      <c r="L13" s="2">
        <v>1019803.114285714</v>
      </c>
      <c r="M13" s="2">
        <v>1620000</v>
      </c>
      <c r="N13" s="3">
        <v>0</v>
      </c>
      <c r="O13" s="3">
        <v>0</v>
      </c>
      <c r="P13" s="2">
        <v>120000</v>
      </c>
      <c r="Q13" s="2">
        <v>160000</v>
      </c>
      <c r="R13" s="2">
        <v>0</v>
      </c>
      <c r="S13" s="2">
        <v>280000</v>
      </c>
      <c r="T13" s="2">
        <v>500000</v>
      </c>
      <c r="U13" s="2">
        <f>M13+P13+Q13+R13+S13+T13</f>
        <v>2680000.0</v>
      </c>
      <c r="V13" s="2">
        <f>F13-K13-L13-U13</f>
        <v>3539659.7428571424</v>
      </c>
      <c r="W13" s="2">
        <v>278861.0693050625</v>
      </c>
      <c r="X13" s="2">
        <v>154975.1696849645</v>
      </c>
      <c r="Y13" s="2">
        <f>W13+X13</f>
        <v>433836.23899002705</v>
      </c>
      <c r="Z13" s="2">
        <v>29233490.91104484</v>
      </c>
      <c r="AA13" s="2">
        <v>0</v>
      </c>
      <c r="AB13" s="2">
        <v>0</v>
      </c>
      <c r="AC13" s="2">
        <v>0</v>
      </c>
      <c r="AD13" s="2">
        <v>0</v>
      </c>
      <c r="AE13" s="2">
        <v>152539.3445378151</v>
      </c>
      <c r="AF13" s="2">
        <f>F13-H13-L13-U13-AA13-AC13-AD13</f>
        <v>5488072.5159663865</v>
      </c>
      <c r="AG13" s="2">
        <f>F13-H13-L13-U13-AA13-AB13-AD13-Y13</f>
        <v>5054236.276976359</v>
      </c>
      <c r="AH13" s="2">
        <f>AH12+AG13</f>
        <v>26470982.258170094</v>
      </c>
      <c r="AI13" s="2">
        <v>10473246.51697008</v>
      </c>
      <c r="AJ13" s="2">
        <f>AH13-AI13</f>
        <v>15997735.741200013</v>
      </c>
      <c r="AK13" s="3">
        <v>0.125</v>
      </c>
    </row>
    <row r="14" spans="1:37">
      <c r="A14" s="2">
        <v>13</v>
      </c>
      <c r="B14" s="2">
        <v>2028</v>
      </c>
      <c r="C14" s="2">
        <v>7</v>
      </c>
      <c r="D14" s="2">
        <v>360489.7</v>
      </c>
      <c r="E14" s="2">
        <v>2523427.9</v>
      </c>
      <c r="F14" s="2">
        <f>E14/1.19</f>
        <v>2120527.6470588236</v>
      </c>
      <c r="G14" s="2">
        <v>20</v>
      </c>
      <c r="H14" s="2">
        <v>1672387.630252101</v>
      </c>
      <c r="I14" s="2">
        <v>33</v>
      </c>
      <c r="J14" s="2">
        <v>2719253.576470588</v>
      </c>
      <c r="K14" s="2">
        <v>576811.3647058824</v>
      </c>
      <c r="L14" s="2">
        <v>215576.3041764706</v>
      </c>
      <c r="M14" s="2">
        <v>2398612.5</v>
      </c>
      <c r="N14" s="3">
        <v>0.5</v>
      </c>
      <c r="O14" s="3">
        <v>0</v>
      </c>
      <c r="P14" s="2">
        <v>133900</v>
      </c>
      <c r="Q14" s="2">
        <v>193125</v>
      </c>
      <c r="R14" s="2">
        <v>0</v>
      </c>
      <c r="S14" s="2">
        <v>288400</v>
      </c>
      <c r="T14" s="2">
        <v>901250</v>
      </c>
      <c r="U14" s="2">
        <f>M14+P14+Q14+R14+S14+T14</f>
        <v>3915287.5</v>
      </c>
      <c r="V14" s="2">
        <f>F14-K14-L14-U14</f>
        <v>-2587147.5218235296</v>
      </c>
      <c r="W14" s="2">
        <v>277390.54200992</v>
      </c>
      <c r="X14" s="2">
        <v>156445.6969801071</v>
      </c>
      <c r="Y14" s="2">
        <f>W14+X14</f>
        <v>433836.23899002705</v>
      </c>
      <c r="Z14" s="2">
        <v>29077045.21406474</v>
      </c>
      <c r="AA14" s="2">
        <v>0</v>
      </c>
      <c r="AB14" s="2">
        <v>0</v>
      </c>
      <c r="AC14" s="2">
        <v>0</v>
      </c>
      <c r="AD14" s="2">
        <v>161691.705210084</v>
      </c>
      <c r="AE14" s="2">
        <v>314231.0497478992</v>
      </c>
      <c r="AF14" s="2">
        <f>F14-H14-L14-U14-AA14-AC14-AD14</f>
        <v>-3844415.492579832</v>
      </c>
      <c r="AG14" s="2">
        <f>F14-H14-L14-U14-AA14-AB14-AD14-Y14</f>
        <v>-4278251.731569859</v>
      </c>
      <c r="AH14" s="2">
        <f>AH13+AG14</f>
        <v>22192730.526600234</v>
      </c>
      <c r="AI14" s="2">
        <v>14179109.01697008</v>
      </c>
      <c r="AJ14" s="2">
        <f>AH14-AI14</f>
        <v>8013621.509630151</v>
      </c>
      <c r="AK14" s="3">
        <v>0.15</v>
      </c>
    </row>
    <row r="15" spans="1:37">
      <c r="A15" s="2">
        <v>14</v>
      </c>
      <c r="B15" s="2">
        <v>2028</v>
      </c>
      <c r="C15" s="2">
        <v>11</v>
      </c>
      <c r="D15" s="2">
        <v>360489.7</v>
      </c>
      <c r="E15" s="2">
        <v>3965386.7</v>
      </c>
      <c r="F15" s="2">
        <f>E15/1.19</f>
        <v>3332257.731092437</v>
      </c>
      <c r="G15" s="2">
        <v>10</v>
      </c>
      <c r="H15" s="2">
        <v>836193.8151260505</v>
      </c>
      <c r="I15" s="2">
        <v>32</v>
      </c>
      <c r="J15" s="2">
        <v>2645914.337932382</v>
      </c>
      <c r="K15" s="2">
        <v>909533.0536642564</v>
      </c>
      <c r="L15" s="2">
        <v>339011.9792931405</v>
      </c>
      <c r="M15" s="2">
        <v>2398612.5</v>
      </c>
      <c r="N15" s="3">
        <v>0.5</v>
      </c>
      <c r="O15" s="3">
        <v>0</v>
      </c>
      <c r="P15" s="2">
        <v>133900</v>
      </c>
      <c r="Q15" s="2">
        <v>193125</v>
      </c>
      <c r="R15" s="2">
        <v>0</v>
      </c>
      <c r="S15" s="2">
        <v>288400</v>
      </c>
      <c r="T15" s="2">
        <v>901250</v>
      </c>
      <c r="U15" s="2">
        <f>M15+P15+Q15+R15+S15+T15</f>
        <v>3915287.5</v>
      </c>
      <c r="V15" s="2">
        <f>F15-K15-L15-U15</f>
        <v>-1831574.8018649598</v>
      </c>
      <c r="W15" s="2">
        <v>275906.0611857692</v>
      </c>
      <c r="X15" s="2">
        <v>157930.1778042578</v>
      </c>
      <c r="Y15" s="2">
        <f>W15+X15</f>
        <v>433836.23899002705</v>
      </c>
      <c r="Z15" s="2">
        <v>28919115.03626048</v>
      </c>
      <c r="AA15" s="2">
        <v>0</v>
      </c>
      <c r="AB15" s="2">
        <v>0</v>
      </c>
      <c r="AC15" s="2">
        <v>0</v>
      </c>
      <c r="AD15" s="2">
        <v>-157115.5248739496</v>
      </c>
      <c r="AE15" s="2">
        <v>157115.5248739496</v>
      </c>
      <c r="AF15" s="2">
        <f>F15-H15-L15-U15-AA15-AC15-AD15</f>
        <v>-1601120.038452804</v>
      </c>
      <c r="AG15" s="2">
        <f>F15-H15-L15-U15-AA15-AB15-AD15-Y15</f>
        <v>-2034956.277442831</v>
      </c>
      <c r="AH15" s="2">
        <f>AH14+AG15</f>
        <v>20157774.249157403</v>
      </c>
      <c r="AI15" s="2">
        <v>14179109.01697008</v>
      </c>
      <c r="AJ15" s="2">
        <f>AH15-AI15</f>
        <v>5978665.23218732</v>
      </c>
      <c r="AK15" s="3">
        <v>0.15</v>
      </c>
    </row>
    <row r="16" spans="1:37">
      <c r="A16" s="2">
        <v>15</v>
      </c>
      <c r="B16" s="2">
        <v>2028</v>
      </c>
      <c r="C16" s="2">
        <v>14</v>
      </c>
      <c r="D16" s="2">
        <v>360489.7</v>
      </c>
      <c r="E16" s="2">
        <v>5046855.8</v>
      </c>
      <c r="F16" s="2">
        <f>E16/1.19</f>
        <v>4241055.294117647</v>
      </c>
      <c r="G16" s="2">
        <v>30</v>
      </c>
      <c r="H16" s="2">
        <v>2508581.445378151</v>
      </c>
      <c r="I16" s="2">
        <v>48</v>
      </c>
      <c r="J16" s="2">
        <v>3990577.38062751</v>
      </c>
      <c r="K16" s="2">
        <v>1163918.402683023</v>
      </c>
      <c r="L16" s="2">
        <v>431976.2622146419</v>
      </c>
      <c r="M16" s="2">
        <v>2398612.5</v>
      </c>
      <c r="N16" s="3">
        <v>0.5</v>
      </c>
      <c r="O16" s="3">
        <v>0</v>
      </c>
      <c r="P16" s="2">
        <v>133900</v>
      </c>
      <c r="Q16" s="2">
        <v>193125</v>
      </c>
      <c r="R16" s="2">
        <v>0</v>
      </c>
      <c r="S16" s="2">
        <v>288400</v>
      </c>
      <c r="T16" s="2">
        <v>901250</v>
      </c>
      <c r="U16" s="2">
        <f>M16+P16+Q16+R16+S16+T16</f>
        <v>3915287.5</v>
      </c>
      <c r="V16" s="2">
        <f>F16-K16-L16-U16</f>
        <v>-1270126.8707800182</v>
      </c>
      <c r="W16" s="2">
        <v>274407.4944304628</v>
      </c>
      <c r="X16" s="2">
        <v>159428.7445595643</v>
      </c>
      <c r="Y16" s="2">
        <f>W16+X16</f>
        <v>433836.23899002705</v>
      </c>
      <c r="Z16" s="2">
        <v>28759686.29170091</v>
      </c>
      <c r="AA16" s="2">
        <v>0</v>
      </c>
      <c r="AB16" s="2">
        <v>0</v>
      </c>
      <c r="AC16" s="2">
        <v>0</v>
      </c>
      <c r="AD16" s="2">
        <v>314231.0497478992</v>
      </c>
      <c r="AE16" s="2">
        <v>471346.5746218488</v>
      </c>
      <c r="AF16" s="2">
        <f>F16-H16-L16-U16-AA16-AC16-AD16</f>
        <v>-2929020.963223045</v>
      </c>
      <c r="AG16" s="2">
        <f>F16-H16-L16-U16-AA16-AB16-AD16-Y16</f>
        <v>-3362857.202213072</v>
      </c>
      <c r="AH16" s="2">
        <f>AH15+AG16</f>
        <v>16794917.04694433</v>
      </c>
      <c r="AI16" s="2">
        <v>14179109.01697008</v>
      </c>
      <c r="AJ16" s="2">
        <f>AH16-AI16</f>
        <v>2615808.0299742483</v>
      </c>
      <c r="AK16" s="3">
        <v>0.15</v>
      </c>
    </row>
    <row r="17" spans="1:37">
      <c r="A17" s="2">
        <v>16</v>
      </c>
      <c r="B17" s="2">
        <v>2028</v>
      </c>
      <c r="C17" s="2">
        <v>18</v>
      </c>
      <c r="D17" s="2">
        <v>360489.7</v>
      </c>
      <c r="E17" s="2">
        <v>6488814.600000001</v>
      </c>
      <c r="F17" s="2">
        <f>E17/1.19</f>
        <v>5452785.378151261</v>
      </c>
      <c r="G17" s="2">
        <v>20</v>
      </c>
      <c r="H17" s="2">
        <v>1672387.630252101</v>
      </c>
      <c r="I17" s="2">
        <v>50</v>
      </c>
      <c r="J17" s="2">
        <v>4163944.86094089</v>
      </c>
      <c r="K17" s="2">
        <v>1499020.149938721</v>
      </c>
      <c r="L17" s="2">
        <v>555602.3419950977</v>
      </c>
      <c r="M17" s="2">
        <v>2398612.5</v>
      </c>
      <c r="N17" s="3">
        <v>0.5</v>
      </c>
      <c r="O17" s="3">
        <v>0</v>
      </c>
      <c r="P17" s="2">
        <v>133900</v>
      </c>
      <c r="Q17" s="2">
        <v>193125</v>
      </c>
      <c r="R17" s="2">
        <v>0</v>
      </c>
      <c r="S17" s="2">
        <v>288400</v>
      </c>
      <c r="T17" s="2">
        <v>901250</v>
      </c>
      <c r="U17" s="2">
        <f>M17+P17+Q17+R17+S17+T17</f>
        <v>3915287.5</v>
      </c>
      <c r="V17" s="2">
        <f>F17-K17-L17-U17</f>
        <v>-517124.6137825567</v>
      </c>
      <c r="W17" s="2">
        <v>272894.7080855165</v>
      </c>
      <c r="X17" s="2">
        <v>160941.5309045105</v>
      </c>
      <c r="Y17" s="2">
        <f>W17+X17</f>
        <v>433836.23899002705</v>
      </c>
      <c r="Z17" s="2">
        <v>28598744.76079641</v>
      </c>
      <c r="AA17" s="2">
        <v>0</v>
      </c>
      <c r="AB17" s="2">
        <v>0</v>
      </c>
      <c r="AC17" s="2">
        <v>0</v>
      </c>
      <c r="AD17" s="2">
        <v>-157115.5248739496</v>
      </c>
      <c r="AE17" s="2">
        <v>314231.0497478992</v>
      </c>
      <c r="AF17" s="2">
        <f>F17-H17-L17-U17-AA17-AC17-AD17</f>
        <v>-533376.5692219879</v>
      </c>
      <c r="AG17" s="2">
        <f>F17-H17-L17-U17-AA17-AB17-AD17-Y17</f>
        <v>-967212.8082120148</v>
      </c>
      <c r="AH17" s="2">
        <f>AH16+AG17</f>
        <v>15827704.238732316</v>
      </c>
      <c r="AI17" s="2">
        <v>14179109.01697008</v>
      </c>
      <c r="AJ17" s="2">
        <f>AH17-AI17</f>
        <v>1648595.2217622325</v>
      </c>
      <c r="AK17" s="3">
        <v>0.15</v>
      </c>
    </row>
    <row r="18" spans="1:37">
      <c r="A18" s="2">
        <v>17</v>
      </c>
      <c r="B18" s="2">
        <v>2028</v>
      </c>
      <c r="C18" s="2">
        <v>21</v>
      </c>
      <c r="D18" s="2">
        <v>360489.7</v>
      </c>
      <c r="E18" s="2">
        <v>7570283.7</v>
      </c>
      <c r="F18" s="2">
        <f>E18/1.19</f>
        <v>6361582.941176471</v>
      </c>
      <c r="G18" s="2">
        <v>30</v>
      </c>
      <c r="H18" s="2">
        <v>2508581.445378151</v>
      </c>
      <c r="I18" s="2">
        <v>59</v>
      </c>
      <c r="J18" s="2">
        <v>4920988.150910294</v>
      </c>
      <c r="K18" s="2">
        <v>1751538.155408748</v>
      </c>
      <c r="L18" s="2">
        <v>648417.2374326999</v>
      </c>
      <c r="M18" s="2">
        <v>2398612.5</v>
      </c>
      <c r="N18" s="3">
        <v>0.5</v>
      </c>
      <c r="O18" s="3">
        <v>0</v>
      </c>
      <c r="P18" s="2">
        <v>133900</v>
      </c>
      <c r="Q18" s="2">
        <v>193125</v>
      </c>
      <c r="R18" s="2">
        <v>0</v>
      </c>
      <c r="S18" s="2">
        <v>288400</v>
      </c>
      <c r="T18" s="2">
        <v>901250</v>
      </c>
      <c r="U18" s="2">
        <f>M18+P18+Q18+R18+S18+T18</f>
        <v>3915287.5</v>
      </c>
      <c r="V18" s="2">
        <f>F18-K18-L18-U18</f>
        <v>46340.048335023224</v>
      </c>
      <c r="W18" s="2">
        <v>271367.5672241888</v>
      </c>
      <c r="X18" s="2">
        <v>162468.6717658382</v>
      </c>
      <c r="Y18" s="2">
        <f>W18+X18</f>
        <v>433836.23899002705</v>
      </c>
      <c r="Z18" s="2">
        <v>28436276.08903057</v>
      </c>
      <c r="AA18" s="2">
        <v>0</v>
      </c>
      <c r="AB18" s="2">
        <v>0</v>
      </c>
      <c r="AC18" s="2">
        <v>0</v>
      </c>
      <c r="AD18" s="2">
        <v>157115.5248739496</v>
      </c>
      <c r="AE18" s="2">
        <v>471346.5746218488</v>
      </c>
      <c r="AF18" s="2">
        <f>F18-H18-L18-U18-AA18-AC18-AD18</f>
        <v>-867818.7665083297</v>
      </c>
      <c r="AG18" s="2">
        <f>F18-H18-L18-U18-AA18-AB18-AD18-Y18</f>
        <v>-1301655.0054983567</v>
      </c>
      <c r="AH18" s="2">
        <f>AH17+AG18</f>
        <v>14526049.233233958</v>
      </c>
      <c r="AI18" s="2">
        <v>14179109.01697008</v>
      </c>
      <c r="AJ18" s="2">
        <f>AH18-AI18</f>
        <v>346940.21626387537</v>
      </c>
      <c r="AK18" s="3">
        <v>0.15</v>
      </c>
    </row>
    <row r="19" spans="1:37">
      <c r="A19" s="2">
        <v>18</v>
      </c>
      <c r="B19" s="2">
        <v>2028</v>
      </c>
      <c r="C19" s="2">
        <v>25</v>
      </c>
      <c r="D19" s="2">
        <v>360489.7</v>
      </c>
      <c r="E19" s="2">
        <v>9012242.5</v>
      </c>
      <c r="F19" s="2">
        <f>E19/1.19</f>
        <v>7573313.025210084</v>
      </c>
      <c r="G19" s="2">
        <v>30</v>
      </c>
      <c r="H19" s="2">
        <v>2508581.445378151</v>
      </c>
      <c r="I19" s="2">
        <v>64</v>
      </c>
      <c r="J19" s="2">
        <v>5342611.844522028</v>
      </c>
      <c r="K19" s="2">
        <v>2086957.751766417</v>
      </c>
      <c r="L19" s="2">
        <v>772068.7451413134</v>
      </c>
      <c r="M19" s="2">
        <v>2398612.5</v>
      </c>
      <c r="N19" s="3">
        <v>0.5</v>
      </c>
      <c r="O19" s="3">
        <v>0</v>
      </c>
      <c r="P19" s="2">
        <v>133900</v>
      </c>
      <c r="Q19" s="2">
        <v>193125</v>
      </c>
      <c r="R19" s="2">
        <v>0</v>
      </c>
      <c r="S19" s="2">
        <v>288400</v>
      </c>
      <c r="T19" s="2">
        <v>901250</v>
      </c>
      <c r="U19" s="2">
        <f>M19+P19+Q19+R19+S19+T19</f>
        <v>3915287.5</v>
      </c>
      <c r="V19" s="2">
        <f>F19-K19-L19-U19</f>
        <v>798999.0283023538</v>
      </c>
      <c r="W19" s="2">
        <v>269825.9356394461</v>
      </c>
      <c r="X19" s="2">
        <v>164010.303350581</v>
      </c>
      <c r="Y19" s="2">
        <f>W19+X19</f>
        <v>433836.23899002705</v>
      </c>
      <c r="Z19" s="2">
        <v>28272265.78567998</v>
      </c>
      <c r="AA19" s="2">
        <v>0</v>
      </c>
      <c r="AB19" s="2">
        <v>0</v>
      </c>
      <c r="AC19" s="2">
        <v>0</v>
      </c>
      <c r="AD19" s="2">
        <v>0</v>
      </c>
      <c r="AE19" s="2">
        <v>471346.5746218488</v>
      </c>
      <c r="AF19" s="2">
        <f>F19-H19-L19-U19-AA19-AC19-AD19</f>
        <v>377375.3346906202</v>
      </c>
      <c r="AG19" s="2">
        <f>F19-H19-L19-U19-AA19-AB19-AD19-Y19</f>
        <v>-56460.90429940686</v>
      </c>
      <c r="AH19" s="2">
        <f>AH18+AG19</f>
        <v>14469588.328934552</v>
      </c>
      <c r="AI19" s="2">
        <v>14179109.01697008</v>
      </c>
      <c r="AJ19" s="2">
        <f>AH19-AI19</f>
        <v>290479.31196446903</v>
      </c>
      <c r="AK19" s="3">
        <v>0.15</v>
      </c>
    </row>
    <row r="20" spans="1:37">
      <c r="A20" s="2">
        <v>19</v>
      </c>
      <c r="B20" s="2">
        <v>2028</v>
      </c>
      <c r="C20" s="2">
        <v>28</v>
      </c>
      <c r="D20" s="2">
        <v>360489.7</v>
      </c>
      <c r="E20" s="2">
        <v>10093711.6</v>
      </c>
      <c r="F20" s="2">
        <f>E20/1.19</f>
        <v>8482110.588235294</v>
      </c>
      <c r="G20" s="2">
        <v>40</v>
      </c>
      <c r="H20" s="2">
        <v>3344775.260504202</v>
      </c>
      <c r="I20" s="2">
        <v>76</v>
      </c>
      <c r="J20" s="2">
        <v>6348475.192134553</v>
      </c>
      <c r="K20" s="2">
        <v>2338911.912891678</v>
      </c>
      <c r="L20" s="2">
        <v>864838.5330313342</v>
      </c>
      <c r="M20" s="2">
        <v>2398612.5</v>
      </c>
      <c r="N20" s="3">
        <v>0.5</v>
      </c>
      <c r="O20" s="3">
        <v>0</v>
      </c>
      <c r="P20" s="2">
        <v>133900</v>
      </c>
      <c r="Q20" s="2">
        <v>193125</v>
      </c>
      <c r="R20" s="2">
        <v>0</v>
      </c>
      <c r="S20" s="2">
        <v>288400</v>
      </c>
      <c r="T20" s="2">
        <v>901250</v>
      </c>
      <c r="U20" s="2">
        <f>M20+P20+Q20+R20+S20+T20</f>
        <v>3915287.5</v>
      </c>
      <c r="V20" s="2">
        <f>F20-K20-L20-U20</f>
        <v>1363072.6423122827</v>
      </c>
      <c r="W20" s="2">
        <v>268269.6758318142</v>
      </c>
      <c r="X20" s="2">
        <v>165566.5631582128</v>
      </c>
      <c r="Y20" s="2">
        <f>W20+X20</f>
        <v>433836.23899002705</v>
      </c>
      <c r="Z20" s="2">
        <v>28106699.22252177</v>
      </c>
      <c r="AA20" s="2">
        <v>0</v>
      </c>
      <c r="AB20" s="2">
        <v>0</v>
      </c>
      <c r="AC20" s="2">
        <v>0</v>
      </c>
      <c r="AD20" s="2">
        <v>157115.5248739496</v>
      </c>
      <c r="AE20" s="2">
        <v>628462.0994957983</v>
      </c>
      <c r="AF20" s="2">
        <f>F20-H20-L20-U20-AA20-AC20-AD20</f>
        <v>200093.7698258087</v>
      </c>
      <c r="AG20" s="2">
        <f>F20-H20-L20-U20-AA20-AB20-AD20-Y20</f>
        <v>-233742.46916421835</v>
      </c>
      <c r="AH20" s="2">
        <f>AH19+AG20</f>
        <v>14235845.859770333</v>
      </c>
      <c r="AI20" s="2">
        <v>14179109.01697008</v>
      </c>
      <c r="AJ20" s="2">
        <f>AH20-AI20</f>
        <v>56736.84280025028</v>
      </c>
      <c r="AK20" s="3">
        <v>0.15</v>
      </c>
    </row>
    <row r="21" spans="1:37">
      <c r="A21" s="2">
        <v>20</v>
      </c>
      <c r="B21" s="2">
        <v>2028</v>
      </c>
      <c r="C21" s="2">
        <v>35</v>
      </c>
      <c r="D21" s="2">
        <v>360489.7</v>
      </c>
      <c r="E21" s="2">
        <v>12617139.5</v>
      </c>
      <c r="F21" s="2">
        <f>E21/1.19</f>
        <v>10602638.235294119</v>
      </c>
      <c r="G21" s="2">
        <v>50</v>
      </c>
      <c r="H21" s="2">
        <v>4180969.075630253</v>
      </c>
      <c r="I21" s="2">
        <v>91</v>
      </c>
      <c r="J21" s="2">
        <v>7604598.637830137</v>
      </c>
      <c r="K21" s="2">
        <v>2924845.629934668</v>
      </c>
      <c r="L21" s="2">
        <v>1081144.625394774</v>
      </c>
      <c r="M21" s="2">
        <v>2398612.5</v>
      </c>
      <c r="N21" s="3">
        <v>0.5</v>
      </c>
      <c r="O21" s="3">
        <v>0</v>
      </c>
      <c r="P21" s="2">
        <v>133900</v>
      </c>
      <c r="Q21" s="2">
        <v>193125</v>
      </c>
      <c r="R21" s="2">
        <v>0</v>
      </c>
      <c r="S21" s="2">
        <v>288400</v>
      </c>
      <c r="T21" s="2">
        <v>901250</v>
      </c>
      <c r="U21" s="2">
        <f>M21+P21+Q21+R21+S21+T21</f>
        <v>3915287.5</v>
      </c>
      <c r="V21" s="2">
        <f>F21-K21-L21-U21</f>
        <v>2681360.4799646763</v>
      </c>
      <c r="W21" s="2">
        <v>266698.6489971154</v>
      </c>
      <c r="X21" s="2">
        <v>167137.5899929117</v>
      </c>
      <c r="Y21" s="2">
        <f>W21+X21</f>
        <v>433836.23899002705</v>
      </c>
      <c r="Z21" s="2">
        <v>27939561.63252886</v>
      </c>
      <c r="AA21" s="2">
        <v>0</v>
      </c>
      <c r="AB21" s="2">
        <v>0</v>
      </c>
      <c r="AC21" s="2">
        <v>0</v>
      </c>
      <c r="AD21" s="2">
        <v>157115.5248739497</v>
      </c>
      <c r="AE21" s="2">
        <v>785577.6243697481</v>
      </c>
      <c r="AF21" s="2">
        <f>F21-H21-L21-U21-AA21-AC21-AD21</f>
        <v>1268121.509395142</v>
      </c>
      <c r="AG21" s="2">
        <f>F21-H21-L21-U21-AA21-AB21-AD21-Y21</f>
        <v>834285.2704051151</v>
      </c>
      <c r="AH21" s="2">
        <f>AH20+AG21</f>
        <v>15070131.130175449</v>
      </c>
      <c r="AI21" s="2">
        <v>14179109.01697008</v>
      </c>
      <c r="AJ21" s="2">
        <f>AH21-AI21</f>
        <v>891022.1132053658</v>
      </c>
      <c r="AK21" s="3">
        <v>0.15</v>
      </c>
    </row>
    <row r="22" spans="1:37">
      <c r="A22" s="2">
        <v>21</v>
      </c>
      <c r="B22" s="2">
        <v>2028</v>
      </c>
      <c r="C22" s="2">
        <v>38</v>
      </c>
      <c r="D22" s="2">
        <v>360489.7</v>
      </c>
      <c r="E22" s="2">
        <v>13698608.6</v>
      </c>
      <c r="F22" s="2">
        <f>E22/1.19</f>
        <v>11511435.798319329</v>
      </c>
      <c r="G22" s="2">
        <v>50</v>
      </c>
      <c r="H22" s="2">
        <v>4180969.075630253</v>
      </c>
      <c r="I22" s="2">
        <v>103</v>
      </c>
      <c r="J22" s="2">
        <v>8609315.421889504</v>
      </c>
      <c r="K22" s="2">
        <v>3176252.291570885</v>
      </c>
      <c r="L22" s="2">
        <v>1173870.613325671</v>
      </c>
      <c r="M22" s="2">
        <v>2398612.5</v>
      </c>
      <c r="N22" s="3">
        <v>0.5</v>
      </c>
      <c r="O22" s="3">
        <v>0</v>
      </c>
      <c r="P22" s="2">
        <v>133900</v>
      </c>
      <c r="Q22" s="2">
        <v>193125</v>
      </c>
      <c r="R22" s="2">
        <v>0</v>
      </c>
      <c r="S22" s="2">
        <v>288400</v>
      </c>
      <c r="T22" s="2">
        <v>901250</v>
      </c>
      <c r="U22" s="2">
        <f>M22+P22+Q22+R22+S22+T22</f>
        <v>3915287.5</v>
      </c>
      <c r="V22" s="2">
        <f>F22-K22-L22-U22</f>
        <v>3246025.393422773</v>
      </c>
      <c r="W22" s="2">
        <v>265112.7150140874</v>
      </c>
      <c r="X22" s="2">
        <v>168723.5239759397</v>
      </c>
      <c r="Y22" s="2">
        <f>W22+X22</f>
        <v>433836.23899002705</v>
      </c>
      <c r="Z22" s="2">
        <v>27770838.10855292</v>
      </c>
      <c r="AA22" s="2">
        <v>0</v>
      </c>
      <c r="AB22" s="2">
        <v>0</v>
      </c>
      <c r="AC22" s="2">
        <v>0</v>
      </c>
      <c r="AD22" s="2">
        <v>0</v>
      </c>
      <c r="AE22" s="2">
        <v>785577.6243697481</v>
      </c>
      <c r="AF22" s="2">
        <f>F22-H22-L22-U22-AA22-AC22-AD22</f>
        <v>2241308.609363405</v>
      </c>
      <c r="AG22" s="2">
        <f>F22-H22-L22-U22-AA22-AB22-AD22-Y22</f>
        <v>1807472.370373378</v>
      </c>
      <c r="AH22" s="2">
        <f>AH21+AG22</f>
        <v>16877603.50054883</v>
      </c>
      <c r="AI22" s="2">
        <v>14179109.01697008</v>
      </c>
      <c r="AJ22" s="2">
        <f>AH22-AI22</f>
        <v>2698494.4835787453</v>
      </c>
      <c r="AK22" s="3">
        <v>0.15</v>
      </c>
    </row>
    <row r="23" spans="1:37">
      <c r="A23" s="2">
        <v>22</v>
      </c>
      <c r="B23" s="2">
        <v>2028</v>
      </c>
      <c r="C23" s="2">
        <v>45</v>
      </c>
      <c r="D23" s="2">
        <v>360489.7</v>
      </c>
      <c r="E23" s="2">
        <v>16222036.5</v>
      </c>
      <c r="F23" s="2">
        <f>E23/1.19</f>
        <v>13631963.445378153</v>
      </c>
      <c r="G23" s="2">
        <v>50</v>
      </c>
      <c r="H23" s="2">
        <v>4180969.075630253</v>
      </c>
      <c r="I23" s="2">
        <v>108</v>
      </c>
      <c r="J23" s="2">
        <v>9028436.115896299</v>
      </c>
      <c r="K23" s="2">
        <v>3761848.381623458</v>
      </c>
      <c r="L23" s="2">
        <v>1390149.695529877</v>
      </c>
      <c r="M23" s="2">
        <v>2398612.5</v>
      </c>
      <c r="N23" s="3">
        <v>0.5</v>
      </c>
      <c r="O23" s="3">
        <v>0</v>
      </c>
      <c r="P23" s="2">
        <v>133900</v>
      </c>
      <c r="Q23" s="2">
        <v>193125</v>
      </c>
      <c r="R23" s="2">
        <v>0</v>
      </c>
      <c r="S23" s="2">
        <v>288400</v>
      </c>
      <c r="T23" s="2">
        <v>901250</v>
      </c>
      <c r="U23" s="2">
        <f>M23+P23+Q23+R23+S23+T23</f>
        <v>3915287.5</v>
      </c>
      <c r="V23" s="2">
        <f>F23-K23-L23-U23</f>
        <v>4564677.868224818</v>
      </c>
      <c r="W23" s="2">
        <v>263511.7324318865</v>
      </c>
      <c r="X23" s="2">
        <v>170324.5065581405</v>
      </c>
      <c r="Y23" s="2">
        <f>W23+X23</f>
        <v>433836.23899002705</v>
      </c>
      <c r="Z23" s="2">
        <v>27600513.60199478</v>
      </c>
      <c r="AA23" s="2">
        <v>0</v>
      </c>
      <c r="AB23" s="2">
        <v>0</v>
      </c>
      <c r="AC23" s="2">
        <v>0</v>
      </c>
      <c r="AD23" s="2">
        <v>0</v>
      </c>
      <c r="AE23" s="2">
        <v>785577.6243697481</v>
      </c>
      <c r="AF23" s="2">
        <f>F23-H23-L23-U23-AA23-AC23-AD23</f>
        <v>4145557.174218023</v>
      </c>
      <c r="AG23" s="2">
        <f>F23-H23-L23-U23-AA23-AB23-AD23-Y23</f>
        <v>3711720.935227996</v>
      </c>
      <c r="AH23" s="2">
        <f>AH22+AG23</f>
        <v>20589324.435776826</v>
      </c>
      <c r="AI23" s="2">
        <v>14179109.01697008</v>
      </c>
      <c r="AJ23" s="2">
        <f>AH23-AI23</f>
        <v>6410215.418806743</v>
      </c>
      <c r="AK23" s="3">
        <v>0.15</v>
      </c>
    </row>
    <row r="24" spans="1:37">
      <c r="A24" s="2">
        <v>23</v>
      </c>
      <c r="B24" s="2">
        <v>2028</v>
      </c>
      <c r="C24" s="2">
        <v>49</v>
      </c>
      <c r="D24" s="2">
        <v>360489.7</v>
      </c>
      <c r="E24" s="2">
        <v>17663995.3</v>
      </c>
      <c r="F24" s="2">
        <f>E24/1.19</f>
        <v>14843693.529411767</v>
      </c>
      <c r="G24" s="2">
        <v>10</v>
      </c>
      <c r="H24" s="2">
        <v>836193.8151260505</v>
      </c>
      <c r="I24" s="2">
        <v>69</v>
      </c>
      <c r="J24" s="2">
        <v>5768300.552885951</v>
      </c>
      <c r="K24" s="2">
        <v>4096329.378136399</v>
      </c>
      <c r="L24" s="2">
        <v>1513726.115250912</v>
      </c>
      <c r="M24" s="2">
        <v>2398612.5</v>
      </c>
      <c r="N24" s="3">
        <v>0.5</v>
      </c>
      <c r="O24" s="3">
        <v>0</v>
      </c>
      <c r="P24" s="2">
        <v>133900</v>
      </c>
      <c r="Q24" s="2">
        <v>193125</v>
      </c>
      <c r="R24" s="2">
        <v>0</v>
      </c>
      <c r="S24" s="2">
        <v>288400</v>
      </c>
      <c r="T24" s="2">
        <v>901250</v>
      </c>
      <c r="U24" s="2">
        <f>M24+P24+Q24+R24+S24+T24</f>
        <v>3915287.5</v>
      </c>
      <c r="V24" s="2">
        <f>F24-K24-L24-U24</f>
        <v>5318350.536024455</v>
      </c>
      <c r="W24" s="2">
        <v>261895.5584574713</v>
      </c>
      <c r="X24" s="2">
        <v>171940.6805325557</v>
      </c>
      <c r="Y24" s="2">
        <f>W24+X24</f>
        <v>433836.23899002705</v>
      </c>
      <c r="Z24" s="2">
        <v>27428572.92146223</v>
      </c>
      <c r="AA24" s="2">
        <v>0</v>
      </c>
      <c r="AB24" s="2">
        <v>0</v>
      </c>
      <c r="AC24" s="2">
        <v>0</v>
      </c>
      <c r="AD24" s="2">
        <v>-628462.0994957985</v>
      </c>
      <c r="AE24" s="2">
        <v>157115.5248739496</v>
      </c>
      <c r="AF24" s="2">
        <f>F24-H24-L24-U24-AA24-AC24-AD24</f>
        <v>9206948.198530603</v>
      </c>
      <c r="AG24" s="2">
        <f>F24-H24-L24-U24-AA24-AB24-AD24-Y24</f>
        <v>8773111.959540576</v>
      </c>
      <c r="AH24" s="2">
        <f>AH23+AG24</f>
        <v>29362436.3953174</v>
      </c>
      <c r="AI24" s="2">
        <v>14179109.01697008</v>
      </c>
      <c r="AJ24" s="2">
        <f>AH24-AI24</f>
        <v>15183327.378347319</v>
      </c>
      <c r="AK24" s="3">
        <v>0.15</v>
      </c>
    </row>
    <row r="25" spans="1:37">
      <c r="A25" s="2">
        <v>24</v>
      </c>
      <c r="B25" s="2">
        <v>2028</v>
      </c>
      <c r="C25" s="2">
        <v>59</v>
      </c>
      <c r="D25" s="2">
        <v>360489.7</v>
      </c>
      <c r="E25" s="2">
        <v>21268892.3</v>
      </c>
      <c r="F25" s="2">
        <f>E25/1.19</f>
        <v>17873018.7394958</v>
      </c>
      <c r="G25" s="2">
        <v>20</v>
      </c>
      <c r="H25" s="2">
        <v>1672387.630252101</v>
      </c>
      <c r="I25" s="2">
        <v>30</v>
      </c>
      <c r="J25" s="2">
        <v>2508097.140383613</v>
      </c>
      <c r="K25" s="2">
        <v>4932591.042754439</v>
      </c>
      <c r="L25" s="2">
        <v>1822671.898420355</v>
      </c>
      <c r="M25" s="2">
        <v>2398612.5</v>
      </c>
      <c r="N25" s="3">
        <v>0.5</v>
      </c>
      <c r="O25" s="3">
        <v>0</v>
      </c>
      <c r="P25" s="2">
        <v>133900</v>
      </c>
      <c r="Q25" s="2">
        <v>193125</v>
      </c>
      <c r="R25" s="2">
        <v>0</v>
      </c>
      <c r="S25" s="2">
        <v>288400</v>
      </c>
      <c r="T25" s="2">
        <v>901250</v>
      </c>
      <c r="U25" s="2">
        <f>M25+P25+Q25+R25+S25+T25</f>
        <v>3915287.5</v>
      </c>
      <c r="V25" s="2">
        <f>F25-K25-L25-U25</f>
        <v>7202468.298321007</v>
      </c>
      <c r="W25" s="2">
        <v>260264.0489428666</v>
      </c>
      <c r="X25" s="2">
        <v>173572.1900471604</v>
      </c>
      <c r="Y25" s="2">
        <f>W25+X25</f>
        <v>433836.23899002705</v>
      </c>
      <c r="Z25" s="2">
        <v>27255000.73141507</v>
      </c>
      <c r="AA25" s="2">
        <v>0</v>
      </c>
      <c r="AB25" s="2">
        <v>587007.9990914407</v>
      </c>
      <c r="AC25" s="2">
        <v>1587068.569167797</v>
      </c>
      <c r="AD25" s="2">
        <v>157115.5248739496</v>
      </c>
      <c r="AE25" s="2">
        <v>314231.0497478992</v>
      </c>
      <c r="AF25" s="2">
        <f>F25-H25-L25-U25-AA25-AC25-AD25</f>
        <v>8718487.616781598</v>
      </c>
      <c r="AG25" s="2">
        <f>F25-H25-L25-U25-AA25-AB25-AD25-Y25</f>
        <v>9284711.947867926</v>
      </c>
      <c r="AH25" s="2">
        <f>AH24+AG25</f>
        <v>38647148.34318533</v>
      </c>
      <c r="AI25" s="2">
        <v>14179109.01697008</v>
      </c>
      <c r="AJ25" s="2">
        <f>AH25-AI25</f>
        <v>24468039.326215245</v>
      </c>
      <c r="AK25" s="3">
        <v>0.15</v>
      </c>
    </row>
    <row r="26" spans="1:37">
      <c r="A26" s="2">
        <v>25</v>
      </c>
      <c r="B26" s="2">
        <v>2029</v>
      </c>
      <c r="C26" s="2">
        <v>10</v>
      </c>
      <c r="D26" s="2">
        <v>371304.391</v>
      </c>
      <c r="E26" s="2">
        <v>3713043.91</v>
      </c>
      <c r="F26" s="2">
        <f>E26/1.19</f>
        <v>3120204.9663865543</v>
      </c>
      <c r="G26" s="2">
        <v>20</v>
      </c>
      <c r="H26" s="2">
        <v>1722559.259159664</v>
      </c>
      <c r="I26" s="2">
        <v>40</v>
      </c>
      <c r="J26" s="2">
        <v>3384525.119634621</v>
      </c>
      <c r="K26" s="2">
        <v>846131.2799086554</v>
      </c>
      <c r="L26" s="2">
        <v>316996.6978926924</v>
      </c>
      <c r="M26" s="2">
        <v>3437316</v>
      </c>
      <c r="N26" s="3">
        <v>0.5</v>
      </c>
      <c r="O26" s="3">
        <v>0.5</v>
      </c>
      <c r="P26" s="2">
        <v>148526</v>
      </c>
      <c r="Q26" s="2">
        <v>244007</v>
      </c>
      <c r="R26" s="2">
        <v>0</v>
      </c>
      <c r="S26" s="2">
        <v>297052</v>
      </c>
      <c r="T26" s="2">
        <v>1326125</v>
      </c>
      <c r="U26" s="2">
        <f>M26+P26+Q26+R26+S26+T26</f>
        <v>5453026.0</v>
      </c>
      <c r="V26" s="2">
        <f>F26-K26-L26-U26</f>
        <v>-3495949.011414794</v>
      </c>
      <c r="W26" s="2">
        <v>258617.058372307</v>
      </c>
      <c r="X26" s="2">
        <v>175219.18061772</v>
      </c>
      <c r="Y26" s="2">
        <f>W26+X26</f>
        <v>433836.23899002705</v>
      </c>
      <c r="Z26" s="2">
        <v>27079781.55079735</v>
      </c>
      <c r="AA26" s="2">
        <v>0</v>
      </c>
      <c r="AB26" s="2">
        <v>0</v>
      </c>
      <c r="AC26" s="2">
        <v>0</v>
      </c>
      <c r="AD26" s="2">
        <v>9426.931492436968</v>
      </c>
      <c r="AE26" s="2">
        <v>323657.9812403361</v>
      </c>
      <c r="AF26" s="2">
        <f>F26-H26-L26-U26-AA26-AC26-AD26</f>
        <v>-4381803.9221582385</v>
      </c>
      <c r="AG26" s="2">
        <f>F26-H26-L26-U26-AA26-AB26-AD26-Y26</f>
        <v>-4815640.161148266</v>
      </c>
      <c r="AH26" s="2">
        <f>AH25+AG26</f>
        <v>33831508.18203706</v>
      </c>
      <c r="AI26" s="2">
        <v>18792324.51697008</v>
      </c>
      <c r="AJ26" s="2">
        <f>AH26-AI26</f>
        <v>15039183.66506698</v>
      </c>
      <c r="AK26" s="3">
        <v>0.25</v>
      </c>
    </row>
    <row r="27" spans="1:37">
      <c r="A27" s="2">
        <v>26</v>
      </c>
      <c r="B27" s="2">
        <v>2029</v>
      </c>
      <c r="C27" s="2">
        <v>15</v>
      </c>
      <c r="D27" s="2">
        <v>371304.391</v>
      </c>
      <c r="E27" s="2">
        <v>5569565.865</v>
      </c>
      <c r="F27" s="2">
        <f>E27/1.19</f>
        <v>4680307.449579832</v>
      </c>
      <c r="G27" s="2">
        <v>20</v>
      </c>
      <c r="H27" s="2">
        <v>1722559.259159664</v>
      </c>
      <c r="I27" s="2">
        <v>45</v>
      </c>
      <c r="J27" s="2">
        <v>3830313.284095714</v>
      </c>
      <c r="K27" s="2">
        <v>1276771.094698571</v>
      </c>
      <c r="L27" s="2">
        <v>476100.9808258858</v>
      </c>
      <c r="M27" s="2">
        <v>3437316</v>
      </c>
      <c r="N27" s="3">
        <v>0.5</v>
      </c>
      <c r="O27" s="3">
        <v>0.5</v>
      </c>
      <c r="P27" s="2">
        <v>148526</v>
      </c>
      <c r="Q27" s="2">
        <v>244007</v>
      </c>
      <c r="R27" s="2">
        <v>0</v>
      </c>
      <c r="S27" s="2">
        <v>297052</v>
      </c>
      <c r="T27" s="2">
        <v>1326125</v>
      </c>
      <c r="U27" s="2">
        <f>M27+P27+Q27+R27+S27+T27</f>
        <v>5453026.0</v>
      </c>
      <c r="V27" s="2">
        <f>F27-K27-L27-U27</f>
        <v>-2525590.625944625</v>
      </c>
      <c r="W27" s="2">
        <v>256954.4398492582</v>
      </c>
      <c r="X27" s="2">
        <v>176881.7991407689</v>
      </c>
      <c r="Y27" s="2">
        <f>W27+X27</f>
        <v>433836.23899002705</v>
      </c>
      <c r="Z27" s="2">
        <v>26902899.75165658</v>
      </c>
      <c r="AA27" s="2">
        <v>0</v>
      </c>
      <c r="AB27" s="2">
        <v>0</v>
      </c>
      <c r="AC27" s="2">
        <v>0</v>
      </c>
      <c r="AD27" s="2">
        <v>0</v>
      </c>
      <c r="AE27" s="2">
        <v>323657.9812403361</v>
      </c>
      <c r="AF27" s="2">
        <f>F27-H27-L27-U27-AA27-AC27-AD27</f>
        <v>-2971378.790405717</v>
      </c>
      <c r="AG27" s="2">
        <f>F27-H27-L27-U27-AA27-AB27-AD27-Y27</f>
        <v>-3405215.029395744</v>
      </c>
      <c r="AH27" s="2">
        <f>AH26+AG27</f>
        <v>30426293.15264132</v>
      </c>
      <c r="AI27" s="2">
        <v>18792324.51697008</v>
      </c>
      <c r="AJ27" s="2">
        <f>AH27-AI27</f>
        <v>11633968.635671236</v>
      </c>
      <c r="AK27" s="3">
        <v>0.25</v>
      </c>
    </row>
    <row r="28" spans="1:37">
      <c r="A28" s="2">
        <v>27</v>
      </c>
      <c r="B28" s="2">
        <v>2029</v>
      </c>
      <c r="C28" s="2">
        <v>20</v>
      </c>
      <c r="D28" s="2">
        <v>371304.391</v>
      </c>
      <c r="E28" s="2">
        <v>7426087.819999999</v>
      </c>
      <c r="F28" s="2">
        <f>E28/1.19</f>
        <v>6240409.932773109</v>
      </c>
      <c r="G28" s="2">
        <v>30</v>
      </c>
      <c r="H28" s="2">
        <v>2583838.888739496</v>
      </c>
      <c r="I28" s="2">
        <v>55</v>
      </c>
      <c r="J28" s="2">
        <v>4703711.593412487</v>
      </c>
      <c r="K28" s="2">
        <v>1710440.579422723</v>
      </c>
      <c r="L28" s="2">
        <v>635447.6373538178</v>
      </c>
      <c r="M28" s="2">
        <v>3437316</v>
      </c>
      <c r="N28" s="3">
        <v>0.5</v>
      </c>
      <c r="O28" s="3">
        <v>0.5</v>
      </c>
      <c r="P28" s="2">
        <v>148526</v>
      </c>
      <c r="Q28" s="2">
        <v>244007</v>
      </c>
      <c r="R28" s="2">
        <v>0</v>
      </c>
      <c r="S28" s="2">
        <v>297052</v>
      </c>
      <c r="T28" s="2">
        <v>1326125</v>
      </c>
      <c r="U28" s="2">
        <f>M28+P28+Q28+R28+S28+T28</f>
        <v>5453026.0</v>
      </c>
      <c r="V28" s="2">
        <f>F28-K28-L28-U28</f>
        <v>-1558504.284003432</v>
      </c>
      <c r="W28" s="2">
        <v>255276.0450833149</v>
      </c>
      <c r="X28" s="2">
        <v>178560.1939067121</v>
      </c>
      <c r="Y28" s="2">
        <f>W28+X28</f>
        <v>433836.23899002705</v>
      </c>
      <c r="Z28" s="2">
        <v>26724339.55774986</v>
      </c>
      <c r="AA28" s="2">
        <v>0</v>
      </c>
      <c r="AB28" s="2">
        <v>0</v>
      </c>
      <c r="AC28" s="2">
        <v>0</v>
      </c>
      <c r="AD28" s="2">
        <v>161828.990620168</v>
      </c>
      <c r="AE28" s="2">
        <v>485486.9718605042</v>
      </c>
      <c r="AF28" s="2">
        <f>F28-H28-L28-U28-AA28-AC28-AD28</f>
        <v>-2593731.5839403733</v>
      </c>
      <c r="AG28" s="2">
        <f>F28-H28-L28-U28-AA28-AB28-AD28-Y28</f>
        <v>-3027567.8229304003</v>
      </c>
      <c r="AH28" s="2">
        <f>AH27+AG28</f>
        <v>27398725.32971092</v>
      </c>
      <c r="AI28" s="2">
        <v>18792324.51697008</v>
      </c>
      <c r="AJ28" s="2">
        <f>AH28-AI28</f>
        <v>8606400.812740836</v>
      </c>
      <c r="AK28" s="3">
        <v>0.25</v>
      </c>
    </row>
    <row r="29" spans="1:37">
      <c r="A29" s="2">
        <v>28</v>
      </c>
      <c r="B29" s="2">
        <v>2029</v>
      </c>
      <c r="C29" s="2">
        <v>25</v>
      </c>
      <c r="D29" s="2">
        <v>371304.391</v>
      </c>
      <c r="E29" s="2">
        <v>9282609.775</v>
      </c>
      <c r="F29" s="2">
        <f>E29/1.19</f>
        <v>7800512.415966387</v>
      </c>
      <c r="G29" s="2">
        <v>40</v>
      </c>
      <c r="H29" s="2">
        <v>3445118.518319328</v>
      </c>
      <c r="I29" s="2">
        <v>70</v>
      </c>
      <c r="J29" s="2">
        <v>6004401.134960284</v>
      </c>
      <c r="K29" s="2">
        <v>2144428.97677153</v>
      </c>
      <c r="L29" s="2">
        <v>794819.8068917224</v>
      </c>
      <c r="M29" s="2">
        <v>3437316</v>
      </c>
      <c r="N29" s="3">
        <v>0.5</v>
      </c>
      <c r="O29" s="3">
        <v>0.5</v>
      </c>
      <c r="P29" s="2">
        <v>148526</v>
      </c>
      <c r="Q29" s="2">
        <v>244007</v>
      </c>
      <c r="R29" s="2">
        <v>0</v>
      </c>
      <c r="S29" s="2">
        <v>297052</v>
      </c>
      <c r="T29" s="2">
        <v>1326125</v>
      </c>
      <c r="U29" s="2">
        <f>M29+P29+Q29+R29+S29+T29</f>
        <v>5453026.0</v>
      </c>
      <c r="V29" s="2">
        <f>F29-K29-L29-U29</f>
        <v>-591762.3676968664</v>
      </c>
      <c r="W29" s="2">
        <v>253581.7243769751</v>
      </c>
      <c r="X29" s="2">
        <v>180254.514613052</v>
      </c>
      <c r="Y29" s="2">
        <f>W29+X29</f>
        <v>433836.23899002705</v>
      </c>
      <c r="Z29" s="2">
        <v>26544085.04313681</v>
      </c>
      <c r="AA29" s="2">
        <v>0</v>
      </c>
      <c r="AB29" s="2">
        <v>0</v>
      </c>
      <c r="AC29" s="2">
        <v>0</v>
      </c>
      <c r="AD29" s="2">
        <v>161828.9906201681</v>
      </c>
      <c r="AE29" s="2">
        <v>647315.9624806723</v>
      </c>
      <c r="AF29" s="2">
        <f>F29-H29-L29-U29-AA29-AC29-AD29</f>
        <v>-2054280.8998648322</v>
      </c>
      <c r="AG29" s="2">
        <f>F29-H29-L29-U29-AA29-AB29-AD29-Y29</f>
        <v>-2488117.1388548594</v>
      </c>
      <c r="AH29" s="2">
        <f>AH28+AG29</f>
        <v>24910608.190856062</v>
      </c>
      <c r="AI29" s="2">
        <v>18792324.51697008</v>
      </c>
      <c r="AJ29" s="2">
        <f>AH29-AI29</f>
        <v>6118283.673885979</v>
      </c>
      <c r="AK29" s="3">
        <v>0.25</v>
      </c>
    </row>
    <row r="30" spans="1:37">
      <c r="A30" s="2">
        <v>29</v>
      </c>
      <c r="B30" s="2">
        <v>2029</v>
      </c>
      <c r="C30" s="2">
        <v>30</v>
      </c>
      <c r="D30" s="2">
        <v>371304.391</v>
      </c>
      <c r="E30" s="2">
        <v>11139131.73</v>
      </c>
      <c r="F30" s="2">
        <f>E30/1.19</f>
        <v>9360614.899159664</v>
      </c>
      <c r="G30" s="2">
        <v>40</v>
      </c>
      <c r="H30" s="2">
        <v>3445118.518319328</v>
      </c>
      <c r="I30" s="2">
        <v>80</v>
      </c>
      <c r="J30" s="2">
        <v>6872377.929657901</v>
      </c>
      <c r="K30" s="2">
        <v>2577141.723621712</v>
      </c>
      <c r="L30" s="2">
        <v>954089.9243897371</v>
      </c>
      <c r="M30" s="2">
        <v>3437316</v>
      </c>
      <c r="N30" s="3">
        <v>0.5</v>
      </c>
      <c r="O30" s="3">
        <v>0.5</v>
      </c>
      <c r="P30" s="2">
        <v>148526</v>
      </c>
      <c r="Q30" s="2">
        <v>244007</v>
      </c>
      <c r="R30" s="2">
        <v>0</v>
      </c>
      <c r="S30" s="2">
        <v>297052</v>
      </c>
      <c r="T30" s="2">
        <v>1326125</v>
      </c>
      <c r="U30" s="2">
        <f>M30+P30+Q30+R30+S30+T30</f>
        <v>5453026.0</v>
      </c>
      <c r="V30" s="2">
        <f>F30-K30-L30-U30</f>
        <v>376357.2511482155</v>
      </c>
      <c r="W30" s="2">
        <v>251871.3266122881</v>
      </c>
      <c r="X30" s="2">
        <v>181964.9123777389</v>
      </c>
      <c r="Y30" s="2">
        <f>W30+X30</f>
        <v>433836.23899002705</v>
      </c>
      <c r="Z30" s="2">
        <v>26362120.13075908</v>
      </c>
      <c r="AA30" s="2">
        <v>0</v>
      </c>
      <c r="AB30" s="2">
        <v>0</v>
      </c>
      <c r="AC30" s="2">
        <v>0</v>
      </c>
      <c r="AD30" s="2">
        <v>0</v>
      </c>
      <c r="AE30" s="2">
        <v>647315.9624806723</v>
      </c>
      <c r="AF30" s="2">
        <f>F30-H30-L30-U30-AA30-AC30-AD30</f>
        <v>-491619.5435493998</v>
      </c>
      <c r="AG30" s="2">
        <f>F30-H30-L30-U30-AA30-AB30-AD30-Y30</f>
        <v>-925455.7825394268</v>
      </c>
      <c r="AH30" s="2">
        <f>AH29+AG30</f>
        <v>23985152.408316635</v>
      </c>
      <c r="AI30" s="2">
        <v>18792324.51697008</v>
      </c>
      <c r="AJ30" s="2">
        <f>AH30-AI30</f>
        <v>5192827.8913465515</v>
      </c>
      <c r="AK30" s="3">
        <v>0.25</v>
      </c>
    </row>
    <row r="31" spans="1:37">
      <c r="A31" s="2">
        <v>30</v>
      </c>
      <c r="B31" s="2">
        <v>2029</v>
      </c>
      <c r="C31" s="2">
        <v>35</v>
      </c>
      <c r="D31" s="2">
        <v>371304.391</v>
      </c>
      <c r="E31" s="2">
        <v>12995653.685</v>
      </c>
      <c r="F31" s="2">
        <f>E31/1.19</f>
        <v>10920717.38235294</v>
      </c>
      <c r="G31" s="2">
        <v>50</v>
      </c>
      <c r="H31" s="2">
        <v>4306398.14789916</v>
      </c>
      <c r="I31" s="2">
        <v>95</v>
      </c>
      <c r="J31" s="2">
        <v>8169105.595137852</v>
      </c>
      <c r="K31" s="2">
        <v>3009670.482419209</v>
      </c>
      <c r="L31" s="2">
        <v>1113345.322843537</v>
      </c>
      <c r="M31" s="2">
        <v>3437316</v>
      </c>
      <c r="N31" s="3">
        <v>0.5</v>
      </c>
      <c r="O31" s="3">
        <v>0.5</v>
      </c>
      <c r="P31" s="2">
        <v>148526</v>
      </c>
      <c r="Q31" s="2">
        <v>244007</v>
      </c>
      <c r="R31" s="2">
        <v>0</v>
      </c>
      <c r="S31" s="2">
        <v>297052</v>
      </c>
      <c r="T31" s="2">
        <v>1326125</v>
      </c>
      <c r="U31" s="2">
        <f>M31+P31+Q31+R31+S31+T31</f>
        <v>5453026.0</v>
      </c>
      <c r="V31" s="2">
        <f>F31-K31-L31-U31</f>
        <v>1344675.5770901954</v>
      </c>
      <c r="W31" s="2">
        <v>250144.6992373762</v>
      </c>
      <c r="X31" s="2">
        <v>183691.5397526509</v>
      </c>
      <c r="Y31" s="2">
        <f>W31+X31</f>
        <v>433836.23899002705</v>
      </c>
      <c r="Z31" s="2">
        <v>26178428.59100642</v>
      </c>
      <c r="AA31" s="2">
        <v>0</v>
      </c>
      <c r="AB31" s="2">
        <v>0</v>
      </c>
      <c r="AC31" s="2">
        <v>0</v>
      </c>
      <c r="AD31" s="2">
        <v>161828.9906201682</v>
      </c>
      <c r="AE31" s="2">
        <v>809144.9531008404</v>
      </c>
      <c r="AF31" s="2">
        <f>F31-H31-L31-U31-AA31-AC31-AD31</f>
        <v>-113881.07900992432</v>
      </c>
      <c r="AG31" s="2">
        <f>F31-H31-L31-U31-AA31-AB31-AD31-Y31</f>
        <v>-547717.3179999513</v>
      </c>
      <c r="AH31" s="2">
        <f>AH30+AG31</f>
        <v>23437435.090316683</v>
      </c>
      <c r="AI31" s="2">
        <v>18792324.51697008</v>
      </c>
      <c r="AJ31" s="2">
        <f>AH31-AI31</f>
        <v>4645110.5733466</v>
      </c>
      <c r="AK31" s="3">
        <v>0.25</v>
      </c>
    </row>
    <row r="32" spans="1:37">
      <c r="A32" s="2">
        <v>31</v>
      </c>
      <c r="B32" s="2">
        <v>2029</v>
      </c>
      <c r="C32" s="2">
        <v>40</v>
      </c>
      <c r="D32" s="2">
        <v>371304.391</v>
      </c>
      <c r="E32" s="2">
        <v>14852175.64</v>
      </c>
      <c r="F32" s="2">
        <f>E32/1.19</f>
        <v>12480819.865546217</v>
      </c>
      <c r="G32" s="2">
        <v>50</v>
      </c>
      <c r="H32" s="2">
        <v>4306398.14789916</v>
      </c>
      <c r="I32" s="2">
        <v>105</v>
      </c>
      <c r="J32" s="2">
        <v>9033985.469095767</v>
      </c>
      <c r="K32" s="2">
        <v>3441518.273941245</v>
      </c>
      <c r="L32" s="2">
        <v>1272546.243915299</v>
      </c>
      <c r="M32" s="2">
        <v>3437316</v>
      </c>
      <c r="N32" s="3">
        <v>0.5</v>
      </c>
      <c r="O32" s="3">
        <v>0.5</v>
      </c>
      <c r="P32" s="2">
        <v>148526</v>
      </c>
      <c r="Q32" s="2">
        <v>244007</v>
      </c>
      <c r="R32" s="2">
        <v>0</v>
      </c>
      <c r="S32" s="2">
        <v>297052</v>
      </c>
      <c r="T32" s="2">
        <v>1326125</v>
      </c>
      <c r="U32" s="2">
        <f>M32+P32+Q32+R32+S32+T32</f>
        <v>5453026.0</v>
      </c>
      <c r="V32" s="2">
        <f>F32-K32-L32-U32</f>
        <v>2313729.3476896733</v>
      </c>
      <c r="W32" s="2">
        <v>248401.6882528285</v>
      </c>
      <c r="X32" s="2">
        <v>185434.5507371985</v>
      </c>
      <c r="Y32" s="2">
        <f>W32+X32</f>
        <v>433836.23899002705</v>
      </c>
      <c r="Z32" s="2">
        <v>25992994.04026923</v>
      </c>
      <c r="AA32" s="2">
        <v>0</v>
      </c>
      <c r="AB32" s="2">
        <v>0</v>
      </c>
      <c r="AC32" s="2">
        <v>0</v>
      </c>
      <c r="AD32" s="2">
        <v>0</v>
      </c>
      <c r="AE32" s="2">
        <v>809144.9531008404</v>
      </c>
      <c r="AF32" s="2">
        <f>F32-H32-L32-U32-AA32-AC32-AD32</f>
        <v>1448849.473731758</v>
      </c>
      <c r="AG32" s="2">
        <f>F32-H32-L32-U32-AA32-AB32-AD32-Y32</f>
        <v>1015013.2347417311</v>
      </c>
      <c r="AH32" s="2">
        <f>AH31+AG32</f>
        <v>24452448.325058416</v>
      </c>
      <c r="AI32" s="2">
        <v>18792324.51697008</v>
      </c>
      <c r="AJ32" s="2">
        <f>AH32-AI32</f>
        <v>5660123.808088332</v>
      </c>
      <c r="AK32" s="3">
        <v>0.25</v>
      </c>
    </row>
    <row r="33" spans="1:37">
      <c r="A33" s="2">
        <v>32</v>
      </c>
      <c r="B33" s="2">
        <v>2029</v>
      </c>
      <c r="C33" s="2">
        <v>50</v>
      </c>
      <c r="D33" s="2">
        <v>371304.391</v>
      </c>
      <c r="E33" s="2">
        <v>18565219.55</v>
      </c>
      <c r="F33" s="2">
        <f>E33/1.19</f>
        <v>15601024.831932774</v>
      </c>
      <c r="G33" s="2">
        <v>70</v>
      </c>
      <c r="H33" s="2">
        <v>6028957.407058824</v>
      </c>
      <c r="I33" s="2">
        <v>125</v>
      </c>
      <c r="J33" s="2">
        <v>10759244.91153899</v>
      </c>
      <c r="K33" s="2">
        <v>4303697.964615597</v>
      </c>
      <c r="L33" s="2">
        <v>1590826.814669248</v>
      </c>
      <c r="M33" s="2">
        <v>3437316</v>
      </c>
      <c r="N33" s="3">
        <v>0.5</v>
      </c>
      <c r="O33" s="3">
        <v>0.5</v>
      </c>
      <c r="P33" s="2">
        <v>148526</v>
      </c>
      <c r="Q33" s="2">
        <v>244007</v>
      </c>
      <c r="R33" s="2">
        <v>0</v>
      </c>
      <c r="S33" s="2">
        <v>297052</v>
      </c>
      <c r="T33" s="2">
        <v>1326125</v>
      </c>
      <c r="U33" s="2">
        <f>M33+P33+Q33+R33+S33+T33</f>
        <v>5453026.0</v>
      </c>
      <c r="V33" s="2">
        <f>F33-K33-L33-U33</f>
        <v>4253474.05264793</v>
      </c>
      <c r="W33" s="2">
        <v>246642.1381979658</v>
      </c>
      <c r="X33" s="2">
        <v>187194.1007920612</v>
      </c>
      <c r="Y33" s="2">
        <f>W33+X33</f>
        <v>433836.23899002705</v>
      </c>
      <c r="Z33" s="2">
        <v>25805799.93947716</v>
      </c>
      <c r="AA33" s="2">
        <v>0</v>
      </c>
      <c r="AB33" s="2">
        <v>0</v>
      </c>
      <c r="AC33" s="2">
        <v>0</v>
      </c>
      <c r="AD33" s="2">
        <v>323657.981240336</v>
      </c>
      <c r="AE33" s="2">
        <v>1132802.934341176</v>
      </c>
      <c r="AF33" s="2">
        <f>F33-H33-L33-U33-AA33-AC33-AD33</f>
        <v>2204556.6289643664</v>
      </c>
      <c r="AG33" s="2">
        <f>F33-H33-L33-U33-AA33-AB33-AD33-Y33</f>
        <v>1770720.3899743394</v>
      </c>
      <c r="AH33" s="2">
        <f>AH32+AG33</f>
        <v>26223168.715032756</v>
      </c>
      <c r="AI33" s="2">
        <v>18792324.51697008</v>
      </c>
      <c r="AJ33" s="2">
        <f>AH33-AI33</f>
        <v>7430844.198062673</v>
      </c>
      <c r="AK33" s="3">
        <v>0.25</v>
      </c>
    </row>
    <row r="34" spans="1:37">
      <c r="A34" s="2">
        <v>33</v>
      </c>
      <c r="B34" s="2">
        <v>2029</v>
      </c>
      <c r="C34" s="2">
        <v>55</v>
      </c>
      <c r="D34" s="2">
        <v>371304.391</v>
      </c>
      <c r="E34" s="2">
        <v>20421741.505</v>
      </c>
      <c r="F34" s="2">
        <f>E34/1.19</f>
        <v>17161127.31512605</v>
      </c>
      <c r="G34" s="2">
        <v>70</v>
      </c>
      <c r="H34" s="2">
        <v>6028957.407058824</v>
      </c>
      <c r="I34" s="2">
        <v>140</v>
      </c>
      <c r="J34" s="2">
        <v>12053068.331301</v>
      </c>
      <c r="K34" s="2">
        <v>4735133.98729682</v>
      </c>
      <c r="L34" s="2">
        <v>1749994.794233746</v>
      </c>
      <c r="M34" s="2">
        <v>3437316</v>
      </c>
      <c r="N34" s="3">
        <v>0.5</v>
      </c>
      <c r="O34" s="3">
        <v>0.5</v>
      </c>
      <c r="P34" s="2">
        <v>148526</v>
      </c>
      <c r="Q34" s="2">
        <v>244007</v>
      </c>
      <c r="R34" s="2">
        <v>0</v>
      </c>
      <c r="S34" s="2">
        <v>297052</v>
      </c>
      <c r="T34" s="2">
        <v>1326125</v>
      </c>
      <c r="U34" s="2">
        <f>M34+P34+Q34+R34+S34+T34</f>
        <v>5453026.0</v>
      </c>
      <c r="V34" s="2">
        <f>F34-K34-L34-U34</f>
        <v>5222972.533595486</v>
      </c>
      <c r="W34" s="2">
        <v>244865.8921369745</v>
      </c>
      <c r="X34" s="2">
        <v>188970.3468530526</v>
      </c>
      <c r="Y34" s="2">
        <f>W34+X34</f>
        <v>433836.23899002705</v>
      </c>
      <c r="Z34" s="2">
        <v>25616829.59262411</v>
      </c>
      <c r="AA34" s="2">
        <v>0</v>
      </c>
      <c r="AB34" s="2">
        <v>0</v>
      </c>
      <c r="AC34" s="2">
        <v>0</v>
      </c>
      <c r="AD34" s="2">
        <v>0</v>
      </c>
      <c r="AE34" s="2">
        <v>1132802.934341176</v>
      </c>
      <c r="AF34" s="2">
        <f>F34-H34-L34-U34-AA34-AC34-AD34</f>
        <v>3929149.1138334814</v>
      </c>
      <c r="AG34" s="2">
        <f>F34-H34-L34-U34-AA34-AB34-AD34-Y34</f>
        <v>3495312.8748434545</v>
      </c>
      <c r="AH34" s="2">
        <f>AH33+AG34</f>
        <v>29718481.589876212</v>
      </c>
      <c r="AI34" s="2">
        <v>18792324.51697008</v>
      </c>
      <c r="AJ34" s="2">
        <f>AH34-AI34</f>
        <v>10926157.072906129</v>
      </c>
      <c r="AK34" s="3">
        <v>0.25</v>
      </c>
    </row>
    <row r="35" spans="1:37">
      <c r="A35" s="2">
        <v>34</v>
      </c>
      <c r="B35" s="2">
        <v>2029</v>
      </c>
      <c r="C35" s="2">
        <v>65</v>
      </c>
      <c r="D35" s="2">
        <v>371304.391</v>
      </c>
      <c r="E35" s="2">
        <v>24134785.415</v>
      </c>
      <c r="F35" s="2">
        <f>E35/1.19</f>
        <v>20281332.281512607</v>
      </c>
      <c r="G35" s="2">
        <v>80</v>
      </c>
      <c r="H35" s="2">
        <v>6890237.036638656</v>
      </c>
      <c r="I35" s="2">
        <v>155</v>
      </c>
      <c r="J35" s="2">
        <v>13346419.69104839</v>
      </c>
      <c r="K35" s="2">
        <v>5596885.676891261</v>
      </c>
      <c r="L35" s="2">
        <v>2068241.124901301</v>
      </c>
      <c r="M35" s="2">
        <v>3437316</v>
      </c>
      <c r="N35" s="3">
        <v>0.5</v>
      </c>
      <c r="O35" s="3">
        <v>0.5</v>
      </c>
      <c r="P35" s="2">
        <v>148526</v>
      </c>
      <c r="Q35" s="2">
        <v>244007</v>
      </c>
      <c r="R35" s="2">
        <v>0</v>
      </c>
      <c r="S35" s="2">
        <v>297052</v>
      </c>
      <c r="T35" s="2">
        <v>1326125</v>
      </c>
      <c r="U35" s="2">
        <f>M35+P35+Q35+R35+S35+T35</f>
        <v>5453026.0</v>
      </c>
      <c r="V35" s="2">
        <f>F35-K35-L35-U35</f>
        <v>7163179.479720047</v>
      </c>
      <c r="W35" s="2">
        <v>243072.7916449096</v>
      </c>
      <c r="X35" s="2">
        <v>190763.4473451175</v>
      </c>
      <c r="Y35" s="2">
        <f>W35+X35</f>
        <v>433836.23899002705</v>
      </c>
      <c r="Z35" s="2">
        <v>25426066.14527899</v>
      </c>
      <c r="AA35" s="2">
        <v>0</v>
      </c>
      <c r="AB35" s="2">
        <v>0</v>
      </c>
      <c r="AC35" s="2">
        <v>0</v>
      </c>
      <c r="AD35" s="2">
        <v>161828.9906201682</v>
      </c>
      <c r="AE35" s="2">
        <v>1294631.924961345</v>
      </c>
      <c r="AF35" s="2">
        <f>F35-H35-L35-U35-AA35-AC35-AD35</f>
        <v>5707999.129352484</v>
      </c>
      <c r="AG35" s="2">
        <f>F35-H35-L35-U35-AA35-AB35-AD35-Y35</f>
        <v>5274162.890362456</v>
      </c>
      <c r="AH35" s="2">
        <f>AH34+AG35</f>
        <v>34992644.48023867</v>
      </c>
      <c r="AI35" s="2">
        <v>18792324.51697008</v>
      </c>
      <c r="AJ35" s="2">
        <f>AH35-AI35</f>
        <v>16200319.963268586</v>
      </c>
      <c r="AK35" s="3">
        <v>0.25</v>
      </c>
    </row>
    <row r="36" spans="1:37">
      <c r="A36" s="2">
        <v>35</v>
      </c>
      <c r="B36" s="2">
        <v>2029</v>
      </c>
      <c r="C36" s="2">
        <v>70</v>
      </c>
      <c r="D36" s="2">
        <v>371304.391</v>
      </c>
      <c r="E36" s="2">
        <v>25991307.37</v>
      </c>
      <c r="F36" s="2">
        <f>E36/1.19</f>
        <v>21841434.76470588</v>
      </c>
      <c r="G36" s="2">
        <v>20</v>
      </c>
      <c r="H36" s="2">
        <v>1722559.259159664</v>
      </c>
      <c r="I36" s="2">
        <v>105</v>
      </c>
      <c r="J36" s="2">
        <v>9041387.370124832</v>
      </c>
      <c r="K36" s="2">
        <v>6027591.580083222</v>
      </c>
      <c r="L36" s="2">
        <v>2227350.694906658</v>
      </c>
      <c r="M36" s="2">
        <v>3437316</v>
      </c>
      <c r="N36" s="3">
        <v>0.5</v>
      </c>
      <c r="O36" s="3">
        <v>0.5</v>
      </c>
      <c r="P36" s="2">
        <v>148526</v>
      </c>
      <c r="Q36" s="2">
        <v>244007</v>
      </c>
      <c r="R36" s="2">
        <v>0</v>
      </c>
      <c r="S36" s="2">
        <v>297052</v>
      </c>
      <c r="T36" s="2">
        <v>1326125</v>
      </c>
      <c r="U36" s="2">
        <f>M36+P36+Q36+R36+S36+T36</f>
        <v>5453026.0</v>
      </c>
      <c r="V36" s="2">
        <f>F36-K36-L36-U36</f>
        <v>8133466.489716003</v>
      </c>
      <c r="W36" s="2">
        <v>241262.6767935645</v>
      </c>
      <c r="X36" s="2">
        <v>192573.5621964626</v>
      </c>
      <c r="Y36" s="2">
        <f>W36+X36</f>
        <v>433836.23899002705</v>
      </c>
      <c r="Z36" s="2">
        <v>25233492.58308253</v>
      </c>
      <c r="AA36" s="2">
        <v>0</v>
      </c>
      <c r="AB36" s="2">
        <v>0</v>
      </c>
      <c r="AC36" s="2">
        <v>0</v>
      </c>
      <c r="AD36" s="2">
        <v>-970973.9437210085</v>
      </c>
      <c r="AE36" s="2">
        <v>323657.9812403361</v>
      </c>
      <c r="AF36" s="2">
        <f>F36-H36-L36-U36-AA36-AC36-AD36</f>
        <v>13409472.754360568</v>
      </c>
      <c r="AG36" s="2">
        <f>F36-H36-L36-U36-AA36-AB36-AD36-Y36</f>
        <v>12975636.51537054</v>
      </c>
      <c r="AH36" s="2">
        <f>AH35+AG36</f>
        <v>47968280.99560921</v>
      </c>
      <c r="AI36" s="2">
        <v>18792324.51697008</v>
      </c>
      <c r="AJ36" s="2">
        <f>AH36-AI36</f>
        <v>29175956.478639126</v>
      </c>
      <c r="AK36" s="3">
        <v>0.25</v>
      </c>
    </row>
    <row r="37" spans="1:37">
      <c r="A37" s="2">
        <v>36</v>
      </c>
      <c r="B37" s="2">
        <v>2029</v>
      </c>
      <c r="C37" s="2">
        <v>85</v>
      </c>
      <c r="D37" s="2">
        <v>371304.391</v>
      </c>
      <c r="E37" s="2">
        <v>31560873.235</v>
      </c>
      <c r="F37" s="2">
        <f>E37/1.19</f>
        <v>26521742.214285716</v>
      </c>
      <c r="G37" s="2">
        <v>20</v>
      </c>
      <c r="H37" s="2">
        <v>1722559.259159664</v>
      </c>
      <c r="I37" s="2">
        <v>40</v>
      </c>
      <c r="J37" s="2">
        <v>3444462.921371039</v>
      </c>
      <c r="K37" s="2">
        <v>7319483.707913456</v>
      </c>
      <c r="L37" s="2">
        <v>2704661.358383076</v>
      </c>
      <c r="M37" s="2">
        <v>3437316</v>
      </c>
      <c r="N37" s="3">
        <v>0.5</v>
      </c>
      <c r="O37" s="3">
        <v>0.5</v>
      </c>
      <c r="P37" s="2">
        <v>148526</v>
      </c>
      <c r="Q37" s="2">
        <v>244007</v>
      </c>
      <c r="R37" s="2">
        <v>0</v>
      </c>
      <c r="S37" s="2">
        <v>297052</v>
      </c>
      <c r="T37" s="2">
        <v>1326125</v>
      </c>
      <c r="U37" s="2">
        <f>M37+P37+Q37+R37+S37+T37</f>
        <v>5453026.0</v>
      </c>
      <c r="V37" s="2">
        <f>F37-K37-L37-U37</f>
        <v>11044571.147989182</v>
      </c>
      <c r="W37" s="2">
        <v>239435.3861372072</v>
      </c>
      <c r="X37" s="2">
        <v>194400.8528528198</v>
      </c>
      <c r="Y37" s="2">
        <f>W37+X37</f>
        <v>433836.23899002705</v>
      </c>
      <c r="Z37" s="2">
        <v>25039091.73022971</v>
      </c>
      <c r="AA37" s="2">
        <v>0</v>
      </c>
      <c r="AB37" s="2">
        <v>6938531.985713653</v>
      </c>
      <c r="AC37" s="2">
        <v>7686063.452387396</v>
      </c>
      <c r="AD37" s="2">
        <v>0</v>
      </c>
      <c r="AE37" s="2">
        <v>323657.9812403361</v>
      </c>
      <c r="AF37" s="2">
        <f>F37-H37-L37-U37-AA37-AC37-AD37</f>
        <v>8955432.144355576</v>
      </c>
      <c r="AG37" s="2">
        <f>F37-H37-L37-U37-AA37-AB37-AD37-Y37</f>
        <v>9269127.372039292</v>
      </c>
      <c r="AH37" s="2">
        <f>AH36+AG37</f>
        <v>57237408.3676485</v>
      </c>
      <c r="AI37" s="2">
        <v>18792324.51697008</v>
      </c>
      <c r="AJ37" s="2">
        <f>AH37-AI37</f>
        <v>38445083.850678414</v>
      </c>
      <c r="AK37" s="3">
        <v>0.25</v>
      </c>
    </row>
    <row r="38" spans="1:37">
      <c r="A38" s="2">
        <v>37</v>
      </c>
      <c r="B38" s="2">
        <v>2030</v>
      </c>
      <c r="C38" s="2">
        <v>13</v>
      </c>
      <c r="D38" s="2">
        <v>382443.52273</v>
      </c>
      <c r="E38" s="2">
        <v>4971765.79549</v>
      </c>
      <c r="F38" s="2">
        <f>E38/1.19</f>
        <v>4177954.4499915973</v>
      </c>
      <c r="G38" s="2">
        <v>20</v>
      </c>
      <c r="H38" s="2">
        <v>1774236.036934454</v>
      </c>
      <c r="I38" s="2">
        <v>47</v>
      </c>
      <c r="J38" s="2">
        <v>4087980.850672636</v>
      </c>
      <c r="K38" s="2">
        <v>1130718.107632857</v>
      </c>
      <c r="L38" s="2">
        <v>424278.4443851286</v>
      </c>
      <c r="M38" s="2">
        <v>5015616.93</v>
      </c>
      <c r="N38" s="3">
        <v>1</v>
      </c>
      <c r="O38" s="3">
        <v>1</v>
      </c>
      <c r="P38" s="2">
        <v>174836.32</v>
      </c>
      <c r="Q38" s="2">
        <v>314159.0125</v>
      </c>
      <c r="R38" s="2">
        <v>273181.75</v>
      </c>
      <c r="S38" s="2">
        <v>305963.56</v>
      </c>
      <c r="T38" s="2">
        <v>1775681.375</v>
      </c>
      <c r="U38" s="2">
        <f>M38+P38+Q38+R38+S38+T38</f>
        <v>7859438.9475</v>
      </c>
      <c r="V38" s="2">
        <f>F38-K38-L38-U38</f>
        <v>-5236481.049526388</v>
      </c>
      <c r="W38" s="2">
        <v>237590.7566981804</v>
      </c>
      <c r="X38" s="2">
        <v>196245.4822918466</v>
      </c>
      <c r="Y38" s="2">
        <f>W38+X38</f>
        <v>433836.23899002705</v>
      </c>
      <c r="Z38" s="2">
        <v>24842846.24793786</v>
      </c>
      <c r="AA38" s="2">
        <v>1639090.5</v>
      </c>
      <c r="AB38" s="2">
        <v>0</v>
      </c>
      <c r="AC38" s="2">
        <v>0</v>
      </c>
      <c r="AD38" s="2">
        <v>9709.739437210083</v>
      </c>
      <c r="AE38" s="2">
        <v>333367.7206775462</v>
      </c>
      <c r="AF38" s="2">
        <f>F38-H38-L38-U38-AA38-AC38-AD38</f>
        <v>-7528799.218265195</v>
      </c>
      <c r="AG38" s="2">
        <f>F38-H38-L38-U38-AA38-AB38-AD38-Y38</f>
        <v>-7962635.457255223</v>
      </c>
      <c r="AH38" s="2">
        <f>AH37+AG38</f>
        <v>49274772.910393275</v>
      </c>
      <c r="AI38" s="2">
        <v>26011563.35947008</v>
      </c>
      <c r="AJ38" s="2">
        <f>AH38-AI38</f>
        <v>23263209.550923195</v>
      </c>
      <c r="AK38" s="3">
        <v>0.25</v>
      </c>
    </row>
    <row r="39" spans="1:37">
      <c r="A39" s="2">
        <v>38</v>
      </c>
      <c r="B39" s="2">
        <v>2030</v>
      </c>
      <c r="C39" s="2">
        <v>20</v>
      </c>
      <c r="D39" s="2">
        <v>382443.52273</v>
      </c>
      <c r="E39" s="2">
        <v>7648870.4546</v>
      </c>
      <c r="F39" s="2">
        <f>E39/1.19</f>
        <v>6427622.230756302</v>
      </c>
      <c r="G39" s="2">
        <v>40</v>
      </c>
      <c r="H39" s="2">
        <v>3548472.073868908</v>
      </c>
      <c r="I39" s="2">
        <v>67</v>
      </c>
      <c r="J39" s="2">
        <v>5880946.505106706</v>
      </c>
      <c r="K39" s="2">
        <v>1755506.419434838</v>
      </c>
      <c r="L39" s="2">
        <v>654011.2762847871</v>
      </c>
      <c r="M39" s="2">
        <v>5015616.93</v>
      </c>
      <c r="N39" s="3">
        <v>1</v>
      </c>
      <c r="O39" s="3">
        <v>1</v>
      </c>
      <c r="P39" s="2">
        <v>174836.32</v>
      </c>
      <c r="Q39" s="2">
        <v>314159.0125</v>
      </c>
      <c r="R39" s="2">
        <v>273181.75</v>
      </c>
      <c r="S39" s="2">
        <v>305963.56</v>
      </c>
      <c r="T39" s="2">
        <v>1775681.375</v>
      </c>
      <c r="U39" s="2">
        <f>M39+P39+Q39+R39+S39+T39</f>
        <v>7859438.9475</v>
      </c>
      <c r="V39" s="2">
        <f>F39-K39-L39-U39</f>
        <v>-3841334.4124633223</v>
      </c>
      <c r="W39" s="2">
        <v>235728.6239523657</v>
      </c>
      <c r="X39" s="2">
        <v>198107.6150376613</v>
      </c>
      <c r="Y39" s="2">
        <f>W39+X39</f>
        <v>433836.23899002705</v>
      </c>
      <c r="Z39" s="2">
        <v>24644738.6329002</v>
      </c>
      <c r="AA39" s="2">
        <v>0</v>
      </c>
      <c r="AB39" s="2">
        <v>0</v>
      </c>
      <c r="AC39" s="2">
        <v>0</v>
      </c>
      <c r="AD39" s="2">
        <v>333367.7206775462</v>
      </c>
      <c r="AE39" s="2">
        <v>666735.4413550925</v>
      </c>
      <c r="AF39" s="2">
        <f>F39-H39-L39-U39-AA39-AC39-AD39</f>
        <v>-5967667.7875749385</v>
      </c>
      <c r="AG39" s="2">
        <f>F39-H39-L39-U39-AA39-AB39-AD39-Y39</f>
        <v>-6401504.026564966</v>
      </c>
      <c r="AH39" s="2">
        <f>AH38+AG39</f>
        <v>42873268.88382831</v>
      </c>
      <c r="AI39" s="2">
        <v>26011563.35947008</v>
      </c>
      <c r="AJ39" s="2">
        <f>AH39-AI39</f>
        <v>16861705.52435823</v>
      </c>
      <c r="AK39" s="3">
        <v>0.25</v>
      </c>
    </row>
    <row r="40" spans="1:37">
      <c r="A40" s="2">
        <v>39</v>
      </c>
      <c r="B40" s="2">
        <v>2030</v>
      </c>
      <c r="C40" s="2">
        <v>26</v>
      </c>
      <c r="D40" s="2">
        <v>382443.52273</v>
      </c>
      <c r="E40" s="2">
        <v>9943531.590980001</v>
      </c>
      <c r="F40" s="2">
        <f>E40/1.19</f>
        <v>8355908.899983195</v>
      </c>
      <c r="G40" s="2">
        <v>40</v>
      </c>
      <c r="H40" s="2">
        <v>3548472.073868908</v>
      </c>
      <c r="I40" s="2">
        <v>81</v>
      </c>
      <c r="J40" s="2">
        <v>7138157.98969182</v>
      </c>
      <c r="K40" s="2">
        <v>2291260.589283794</v>
      </c>
      <c r="L40" s="2">
        <v>850942.8386917036</v>
      </c>
      <c r="M40" s="2">
        <v>5015616.93</v>
      </c>
      <c r="N40" s="3">
        <v>1</v>
      </c>
      <c r="O40" s="3">
        <v>1</v>
      </c>
      <c r="P40" s="2">
        <v>174836.32</v>
      </c>
      <c r="Q40" s="2">
        <v>314159.0125</v>
      </c>
      <c r="R40" s="2">
        <v>273181.75</v>
      </c>
      <c r="S40" s="2">
        <v>305963.56</v>
      </c>
      <c r="T40" s="2">
        <v>1775681.375</v>
      </c>
      <c r="U40" s="2">
        <f>M40+P40+Q40+R40+S40+T40</f>
        <v>7859438.9475</v>
      </c>
      <c r="V40" s="2">
        <f>F40-K40-L40-U40</f>
        <v>-2645733.4754923033</v>
      </c>
      <c r="W40" s="2">
        <v>233848.8218145093</v>
      </c>
      <c r="X40" s="2">
        <v>199987.4171755178</v>
      </c>
      <c r="Y40" s="2">
        <f>W40+X40</f>
        <v>433836.23899002705</v>
      </c>
      <c r="Z40" s="2">
        <v>24444751.21572468</v>
      </c>
      <c r="AA40" s="2">
        <v>0</v>
      </c>
      <c r="AB40" s="2">
        <v>0</v>
      </c>
      <c r="AC40" s="2">
        <v>0</v>
      </c>
      <c r="AD40" s="2">
        <v>0</v>
      </c>
      <c r="AE40" s="2">
        <v>666735.4413550925</v>
      </c>
      <c r="AF40" s="2">
        <f>F40-H40-L40-U40-AA40-AC40-AD40</f>
        <v>-3902944.9600774166</v>
      </c>
      <c r="AG40" s="2">
        <f>F40-H40-L40-U40-AA40-AB40-AD40-Y40</f>
        <v>-4336781.199067444</v>
      </c>
      <c r="AH40" s="2">
        <f>AH39+AG40</f>
        <v>38536487.68476087</v>
      </c>
      <c r="AI40" s="2">
        <v>26011563.35947008</v>
      </c>
      <c r="AJ40" s="2">
        <f>AH40-AI40</f>
        <v>12524924.325290788</v>
      </c>
      <c r="AK40" s="3">
        <v>0.25</v>
      </c>
    </row>
    <row r="41" spans="1:37">
      <c r="A41" s="2">
        <v>40</v>
      </c>
      <c r="B41" s="2">
        <v>2030</v>
      </c>
      <c r="C41" s="2">
        <v>33</v>
      </c>
      <c r="D41" s="2">
        <v>382443.52273</v>
      </c>
      <c r="E41" s="2">
        <v>12620636.25009</v>
      </c>
      <c r="F41" s="2">
        <f>E41/1.19</f>
        <v>10605576.680747898</v>
      </c>
      <c r="G41" s="2">
        <v>40</v>
      </c>
      <c r="H41" s="2">
        <v>3548472.073868908</v>
      </c>
      <c r="I41" s="2">
        <v>88</v>
      </c>
      <c r="J41" s="2">
        <v>7772094.59168053</v>
      </c>
      <c r="K41" s="2">
        <v>2914535.471880198</v>
      </c>
      <c r="L41" s="2">
        <v>1080554.596254916</v>
      </c>
      <c r="M41" s="2">
        <v>5015616.93</v>
      </c>
      <c r="N41" s="3">
        <v>1</v>
      </c>
      <c r="O41" s="3">
        <v>1</v>
      </c>
      <c r="P41" s="2">
        <v>174836.32</v>
      </c>
      <c r="Q41" s="2">
        <v>314159.0125</v>
      </c>
      <c r="R41" s="2">
        <v>273181.75</v>
      </c>
      <c r="S41" s="2">
        <v>305963.56</v>
      </c>
      <c r="T41" s="2">
        <v>1775681.375</v>
      </c>
      <c r="U41" s="2">
        <f>M41+P41+Q41+R41+S41+T41</f>
        <v>7859438.9475</v>
      </c>
      <c r="V41" s="2">
        <f>F41-K41-L41-U41</f>
        <v>-1248952.3348872159</v>
      </c>
      <c r="W41" s="2">
        <v>231951.1826234087</v>
      </c>
      <c r="X41" s="2">
        <v>201885.0563666183</v>
      </c>
      <c r="Y41" s="2">
        <f>W41+X41</f>
        <v>433836.23899002705</v>
      </c>
      <c r="Z41" s="2">
        <v>24242866.15935807</v>
      </c>
      <c r="AA41" s="2">
        <v>0</v>
      </c>
      <c r="AB41" s="2">
        <v>0</v>
      </c>
      <c r="AC41" s="2">
        <v>0</v>
      </c>
      <c r="AD41" s="2">
        <v>0</v>
      </c>
      <c r="AE41" s="2">
        <v>666735.4413550925</v>
      </c>
      <c r="AF41" s="2">
        <f>F41-H41-L41-U41-AA41-AC41-AD41</f>
        <v>-1882888.9368759254</v>
      </c>
      <c r="AG41" s="2">
        <f>F41-H41-L41-U41-AA41-AB41-AD41-Y41</f>
        <v>-2316725.1758659524</v>
      </c>
      <c r="AH41" s="2">
        <f>AH40+AG41</f>
        <v>36219762.50889491</v>
      </c>
      <c r="AI41" s="2">
        <v>26011563.35947008</v>
      </c>
      <c r="AJ41" s="2">
        <f>AH41-AI41</f>
        <v>10208199.149424832</v>
      </c>
      <c r="AK41" s="3">
        <v>0.25</v>
      </c>
    </row>
    <row r="42" spans="1:37">
      <c r="A42" s="2">
        <v>41</v>
      </c>
      <c r="B42" s="2">
        <v>2030</v>
      </c>
      <c r="C42" s="2">
        <v>39</v>
      </c>
      <c r="D42" s="2">
        <v>382443.52273</v>
      </c>
      <c r="E42" s="2">
        <v>14915297.38647</v>
      </c>
      <c r="F42" s="2">
        <f>E42/1.19</f>
        <v>12533863.34997479</v>
      </c>
      <c r="G42" s="2">
        <v>50</v>
      </c>
      <c r="H42" s="2">
        <v>4435590.092336135</v>
      </c>
      <c r="I42" s="2">
        <v>99</v>
      </c>
      <c r="J42" s="2">
        <v>8757686.838533694</v>
      </c>
      <c r="K42" s="2">
        <v>3449997.84548297</v>
      </c>
      <c r="L42" s="2">
        <v>1277462.814962137</v>
      </c>
      <c r="M42" s="2">
        <v>5015616.93</v>
      </c>
      <c r="N42" s="3">
        <v>1</v>
      </c>
      <c r="O42" s="3">
        <v>1</v>
      </c>
      <c r="P42" s="2">
        <v>174836.32</v>
      </c>
      <c r="Q42" s="2">
        <v>314159.0125</v>
      </c>
      <c r="R42" s="2">
        <v>273181.75</v>
      </c>
      <c r="S42" s="2">
        <v>305963.56</v>
      </c>
      <c r="T42" s="2">
        <v>1775681.375</v>
      </c>
      <c r="U42" s="2">
        <f>M42+P42+Q42+R42+S42+T42</f>
        <v>7859438.9475</v>
      </c>
      <c r="V42" s="2">
        <f>F42-K42-L42-U42</f>
        <v>-53036.257970316336</v>
      </c>
      <c r="W42" s="2">
        <v>230035.5371269592</v>
      </c>
      <c r="X42" s="2">
        <v>203800.7018630678</v>
      </c>
      <c r="Y42" s="2">
        <f>W42+X42</f>
        <v>433836.23899002705</v>
      </c>
      <c r="Z42" s="2">
        <v>24039065.457495</v>
      </c>
      <c r="AA42" s="2">
        <v>0</v>
      </c>
      <c r="AB42" s="2">
        <v>0</v>
      </c>
      <c r="AC42" s="2">
        <v>0</v>
      </c>
      <c r="AD42" s="2">
        <v>166683.8603387732</v>
      </c>
      <c r="AE42" s="2">
        <v>833419.3016938657</v>
      </c>
      <c r="AF42" s="2">
        <f>F42-H42-L42-U42-AA42-AC42-AD42</f>
        <v>-1205312.3651622548</v>
      </c>
      <c r="AG42" s="2">
        <f>F42-H42-L42-U42-AA42-AB42-AD42-Y42</f>
        <v>-1639148.6041522818</v>
      </c>
      <c r="AH42" s="2">
        <f>AH41+AG42</f>
        <v>34580613.90474263</v>
      </c>
      <c r="AI42" s="2">
        <v>26011563.35947008</v>
      </c>
      <c r="AJ42" s="2">
        <f>AH42-AI42</f>
        <v>8569050.545272548</v>
      </c>
      <c r="AK42" s="3">
        <v>0.25</v>
      </c>
    </row>
    <row r="43" spans="1:37">
      <c r="A43" s="2">
        <v>42</v>
      </c>
      <c r="B43" s="2">
        <v>2030</v>
      </c>
      <c r="C43" s="2">
        <v>46</v>
      </c>
      <c r="D43" s="2">
        <v>382443.52273</v>
      </c>
      <c r="E43" s="2">
        <v>17592402.04558</v>
      </c>
      <c r="F43" s="2">
        <f>E43/1.19</f>
        <v>14783531.130739497</v>
      </c>
      <c r="G43" s="2">
        <v>70</v>
      </c>
      <c r="H43" s="2">
        <v>6209826.129270589</v>
      </c>
      <c r="I43" s="2">
        <v>123</v>
      </c>
      <c r="J43" s="2">
        <v>10893515.35526584</v>
      </c>
      <c r="K43" s="2">
        <v>4073997.612538444</v>
      </c>
      <c r="L43" s="2">
        <v>1507132.563282076</v>
      </c>
      <c r="M43" s="2">
        <v>5015616.93</v>
      </c>
      <c r="N43" s="3">
        <v>1</v>
      </c>
      <c r="O43" s="3">
        <v>1</v>
      </c>
      <c r="P43" s="2">
        <v>174836.32</v>
      </c>
      <c r="Q43" s="2">
        <v>314159.0125</v>
      </c>
      <c r="R43" s="2">
        <v>273181.75</v>
      </c>
      <c r="S43" s="2">
        <v>305963.56</v>
      </c>
      <c r="T43" s="2">
        <v>1775681.375</v>
      </c>
      <c r="U43" s="2">
        <f>M43+P43+Q43+R43+S43+T43</f>
        <v>7859438.9475</v>
      </c>
      <c r="V43" s="2">
        <f>F43-K43-L43-U43</f>
        <v>1342962.007418977</v>
      </c>
      <c r="W43" s="2">
        <v>228101.7144670579</v>
      </c>
      <c r="X43" s="2">
        <v>205734.5245229692</v>
      </c>
      <c r="Y43" s="2">
        <f>W43+X43</f>
        <v>433836.23899002705</v>
      </c>
      <c r="Z43" s="2">
        <v>23833330.93297203</v>
      </c>
      <c r="AA43" s="2">
        <v>0</v>
      </c>
      <c r="AB43" s="2">
        <v>0</v>
      </c>
      <c r="AC43" s="2">
        <v>0</v>
      </c>
      <c r="AD43" s="2">
        <v>333367.7206775463</v>
      </c>
      <c r="AE43" s="2">
        <v>1166787.022371412</v>
      </c>
      <c r="AF43" s="2">
        <f>F43-H43-L43-U43-AA43-AC43-AD43</f>
        <v>-1126234.2299907133</v>
      </c>
      <c r="AG43" s="2">
        <f>F43-H43-L43-U43-AA43-AB43-AD43-Y43</f>
        <v>-1560070.4689807403</v>
      </c>
      <c r="AH43" s="2">
        <f>AH42+AG43</f>
        <v>33020543.435761888</v>
      </c>
      <c r="AI43" s="2">
        <v>26011563.35947008</v>
      </c>
      <c r="AJ43" s="2">
        <f>AH43-AI43</f>
        <v>7008980.076291807</v>
      </c>
      <c r="AK43" s="3">
        <v>0.25</v>
      </c>
    </row>
    <row r="44" spans="1:37">
      <c r="A44" s="2">
        <v>43</v>
      </c>
      <c r="B44" s="2">
        <v>2030</v>
      </c>
      <c r="C44" s="2">
        <v>52</v>
      </c>
      <c r="D44" s="2">
        <v>382443.52273</v>
      </c>
      <c r="E44" s="2">
        <v>19887063.18196</v>
      </c>
      <c r="F44" s="2">
        <f>E44/1.19</f>
        <v>16711817.79996639</v>
      </c>
      <c r="G44" s="2">
        <v>70</v>
      </c>
      <c r="H44" s="2">
        <v>6209826.129270589</v>
      </c>
      <c r="I44" s="2">
        <v>141</v>
      </c>
      <c r="J44" s="2">
        <v>12495187.30217428</v>
      </c>
      <c r="K44" s="2">
        <v>4608154.182362147</v>
      </c>
      <c r="L44" s="2">
        <v>1703936.317686972</v>
      </c>
      <c r="M44" s="2">
        <v>5015616.93</v>
      </c>
      <c r="N44" s="3">
        <v>1</v>
      </c>
      <c r="O44" s="3">
        <v>1</v>
      </c>
      <c r="P44" s="2">
        <v>174836.32</v>
      </c>
      <c r="Q44" s="2">
        <v>314159.0125</v>
      </c>
      <c r="R44" s="2">
        <v>273181.75</v>
      </c>
      <c r="S44" s="2">
        <v>305963.56</v>
      </c>
      <c r="T44" s="2">
        <v>1775681.375</v>
      </c>
      <c r="U44" s="2">
        <f>M44+P44+Q44+R44+S44+T44</f>
        <v>7859438.9475</v>
      </c>
      <c r="V44" s="2">
        <f>F44-K44-L44-U44</f>
        <v>2540288.3524172716</v>
      </c>
      <c r="W44" s="2">
        <v>226149.5421643645</v>
      </c>
      <c r="X44" s="2">
        <v>207686.6968256625</v>
      </c>
      <c r="Y44" s="2">
        <f>W44+X44</f>
        <v>433836.23899002705</v>
      </c>
      <c r="Z44" s="2">
        <v>23625644.23614637</v>
      </c>
      <c r="AA44" s="2">
        <v>0</v>
      </c>
      <c r="AB44" s="2">
        <v>0</v>
      </c>
      <c r="AC44" s="2">
        <v>0</v>
      </c>
      <c r="AD44" s="2">
        <v>0</v>
      </c>
      <c r="AE44" s="2">
        <v>1166787.022371412</v>
      </c>
      <c r="AF44" s="2">
        <f>F44-H44-L44-U44-AA44-AC44-AD44</f>
        <v>938616.4055088293</v>
      </c>
      <c r="AG44" s="2">
        <f>F44-H44-L44-U44-AA44-AB44-AD44-Y44</f>
        <v>504780.16651880223</v>
      </c>
      <c r="AH44" s="2">
        <f>AH43+AG44</f>
        <v>33525323.60228069</v>
      </c>
      <c r="AI44" s="2">
        <v>26011563.35947008</v>
      </c>
      <c r="AJ44" s="2">
        <f>AH44-AI44</f>
        <v>7513760.242810611</v>
      </c>
      <c r="AK44" s="3">
        <v>0.25</v>
      </c>
    </row>
    <row r="45" spans="1:37">
      <c r="A45" s="2">
        <v>44</v>
      </c>
      <c r="B45" s="2">
        <v>2030</v>
      </c>
      <c r="C45" s="2">
        <v>65</v>
      </c>
      <c r="D45" s="2">
        <v>382443.52273</v>
      </c>
      <c r="E45" s="2">
        <v>24858828.97745</v>
      </c>
      <c r="F45" s="2">
        <f>E45/1.19</f>
        <v>20889772.249957982</v>
      </c>
      <c r="G45" s="2">
        <v>80</v>
      </c>
      <c r="H45" s="2">
        <v>7096944.147737816</v>
      </c>
      <c r="I45" s="2">
        <v>156</v>
      </c>
      <c r="J45" s="2">
        <v>13829739.84699677</v>
      </c>
      <c r="K45" s="2">
        <v>5762391.602915322</v>
      </c>
      <c r="L45" s="2">
        <v>2130096.307105726</v>
      </c>
      <c r="M45" s="2">
        <v>5015616.93</v>
      </c>
      <c r="N45" s="3">
        <v>1</v>
      </c>
      <c r="O45" s="3">
        <v>1</v>
      </c>
      <c r="P45" s="2">
        <v>174836.32</v>
      </c>
      <c r="Q45" s="2">
        <v>314159.0125</v>
      </c>
      <c r="R45" s="2">
        <v>273181.75</v>
      </c>
      <c r="S45" s="2">
        <v>305963.56</v>
      </c>
      <c r="T45" s="2">
        <v>1775681.375</v>
      </c>
      <c r="U45" s="2">
        <f>M45+P45+Q45+R45+S45+T45</f>
        <v>7859438.9475</v>
      </c>
      <c r="V45" s="2">
        <f>F45-K45-L45-U45</f>
        <v>5137845.392436935</v>
      </c>
      <c r="W45" s="2">
        <v>224178.8461029183</v>
      </c>
      <c r="X45" s="2">
        <v>209657.3928871087</v>
      </c>
      <c r="Y45" s="2">
        <f>W45+X45</f>
        <v>433836.23899002705</v>
      </c>
      <c r="Z45" s="2">
        <v>23415986.84325926</v>
      </c>
      <c r="AA45" s="2">
        <v>0</v>
      </c>
      <c r="AB45" s="2">
        <v>0</v>
      </c>
      <c r="AC45" s="2">
        <v>0</v>
      </c>
      <c r="AD45" s="2">
        <v>166683.8603387729</v>
      </c>
      <c r="AE45" s="2">
        <v>1333470.882710185</v>
      </c>
      <c r="AF45" s="2">
        <f>F45-H45-L45-U45-AA45-AC45-AD45</f>
        <v>3636608.9872756684</v>
      </c>
      <c r="AG45" s="2">
        <f>F45-H45-L45-U45-AA45-AB45-AD45-Y45</f>
        <v>3202772.7482856414</v>
      </c>
      <c r="AH45" s="2">
        <f>AH44+AG45</f>
        <v>36728096.350566335</v>
      </c>
      <c r="AI45" s="2">
        <v>26011563.35947008</v>
      </c>
      <c r="AJ45" s="2">
        <f>AH45-AI45</f>
        <v>10716532.991096254</v>
      </c>
      <c r="AK45" s="3">
        <v>0.25</v>
      </c>
    </row>
    <row r="46" spans="1:37">
      <c r="A46" s="2">
        <v>45</v>
      </c>
      <c r="B46" s="2">
        <v>2030</v>
      </c>
      <c r="C46" s="2">
        <v>71</v>
      </c>
      <c r="D46" s="2">
        <v>382443.52273</v>
      </c>
      <c r="E46" s="2">
        <v>27153490.11383</v>
      </c>
      <c r="F46" s="2">
        <f>E46/1.19</f>
        <v>22818058.919184875</v>
      </c>
      <c r="G46" s="2">
        <v>90</v>
      </c>
      <c r="H46" s="2">
        <v>7984062.166205044</v>
      </c>
      <c r="I46" s="2">
        <v>175</v>
      </c>
      <c r="J46" s="2">
        <v>15517948.58662731</v>
      </c>
      <c r="K46" s="2">
        <v>6295853.426574509</v>
      </c>
      <c r="L46" s="2">
        <v>2326844.481817461</v>
      </c>
      <c r="M46" s="2">
        <v>5015616.93</v>
      </c>
      <c r="N46" s="3">
        <v>1</v>
      </c>
      <c r="O46" s="3">
        <v>1</v>
      </c>
      <c r="P46" s="2">
        <v>174836.32</v>
      </c>
      <c r="Q46" s="2">
        <v>314159.0125</v>
      </c>
      <c r="R46" s="2">
        <v>273181.75</v>
      </c>
      <c r="S46" s="2">
        <v>305963.56</v>
      </c>
      <c r="T46" s="2">
        <v>1775681.375</v>
      </c>
      <c r="U46" s="2">
        <f>M46+P46+Q46+R46+S46+T46</f>
        <v>7859438.9475</v>
      </c>
      <c r="V46" s="2">
        <f>F46-K46-L46-U46</f>
        <v>6335922.063292904</v>
      </c>
      <c r="W46" s="2">
        <v>222189.450514608</v>
      </c>
      <c r="X46" s="2">
        <v>211646.788475419</v>
      </c>
      <c r="Y46" s="2">
        <f>W46+X46</f>
        <v>433836.23899002705</v>
      </c>
      <c r="Z46" s="2">
        <v>23204340.05478384</v>
      </c>
      <c r="AA46" s="2">
        <v>0</v>
      </c>
      <c r="AB46" s="2">
        <v>0</v>
      </c>
      <c r="AC46" s="2">
        <v>0</v>
      </c>
      <c r="AD46" s="2">
        <v>166683.8603387733</v>
      </c>
      <c r="AE46" s="2">
        <v>1500154.743048958</v>
      </c>
      <c r="AF46" s="2">
        <f>F46-H46-L46-U46-AA46-AC46-AD46</f>
        <v>4481029.463323595</v>
      </c>
      <c r="AG46" s="2">
        <f>F46-H46-L46-U46-AA46-AB46-AD46-Y46</f>
        <v>4047193.224333568</v>
      </c>
      <c r="AH46" s="2">
        <f>AH45+AG46</f>
        <v>40775289.574899904</v>
      </c>
      <c r="AI46" s="2">
        <v>26011563.35947008</v>
      </c>
      <c r="AJ46" s="2">
        <f>AH46-AI46</f>
        <v>14763726.215429824</v>
      </c>
      <c r="AK46" s="3">
        <v>0.25</v>
      </c>
    </row>
    <row r="47" spans="1:37">
      <c r="A47" s="2">
        <v>46</v>
      </c>
      <c r="B47" s="2">
        <v>2030</v>
      </c>
      <c r="C47" s="2">
        <v>84</v>
      </c>
      <c r="D47" s="2">
        <v>382443.52273</v>
      </c>
      <c r="E47" s="2">
        <v>32125255.90932</v>
      </c>
      <c r="F47" s="2">
        <f>E47/1.19</f>
        <v>26996013.369176473</v>
      </c>
      <c r="G47" s="2">
        <v>110</v>
      </c>
      <c r="H47" s="2">
        <v>9758298.203139497</v>
      </c>
      <c r="I47" s="2">
        <v>201</v>
      </c>
      <c r="J47" s="2">
        <v>17826405.63067764</v>
      </c>
      <c r="K47" s="2">
        <v>7449841.159089164</v>
      </c>
      <c r="L47" s="2">
        <v>2752984.496193133</v>
      </c>
      <c r="M47" s="2">
        <v>5015616.93</v>
      </c>
      <c r="N47" s="3">
        <v>1</v>
      </c>
      <c r="O47" s="3">
        <v>1</v>
      </c>
      <c r="P47" s="2">
        <v>174836.32</v>
      </c>
      <c r="Q47" s="2">
        <v>314159.0125</v>
      </c>
      <c r="R47" s="2">
        <v>273181.75</v>
      </c>
      <c r="S47" s="2">
        <v>305963.56</v>
      </c>
      <c r="T47" s="2">
        <v>1775681.375</v>
      </c>
      <c r="U47" s="2">
        <f>M47+P47+Q47+R47+S47+T47</f>
        <v>7859438.9475</v>
      </c>
      <c r="V47" s="2">
        <f>F47-K47-L47-U47</f>
        <v>8933748.766394177</v>
      </c>
      <c r="W47" s="2">
        <v>220181.1779634953</v>
      </c>
      <c r="X47" s="2">
        <v>213655.0610265318</v>
      </c>
      <c r="Y47" s="2">
        <f>W47+X47</f>
        <v>433836.23899002705</v>
      </c>
      <c r="Z47" s="2">
        <v>22990684.99375731</v>
      </c>
      <c r="AA47" s="2">
        <v>0</v>
      </c>
      <c r="AB47" s="2">
        <v>0</v>
      </c>
      <c r="AC47" s="2">
        <v>0</v>
      </c>
      <c r="AD47" s="2">
        <v>333367.720677546</v>
      </c>
      <c r="AE47" s="2">
        <v>1833522.463726504</v>
      </c>
      <c r="AF47" s="2">
        <f>F47-H47-L47-U47-AA47-AC47-AD47</f>
        <v>6291924.001666299</v>
      </c>
      <c r="AG47" s="2">
        <f>F47-H47-L47-U47-AA47-AB47-AD47-Y47</f>
        <v>5858087.762676272</v>
      </c>
      <c r="AH47" s="2">
        <f>AH46+AG47</f>
        <v>46633377.33757617</v>
      </c>
      <c r="AI47" s="2">
        <v>26011563.35947008</v>
      </c>
      <c r="AJ47" s="2">
        <f>AH47-AI47</f>
        <v>20621813.978106093</v>
      </c>
      <c r="AK47" s="3">
        <v>0.25</v>
      </c>
    </row>
    <row r="48" spans="1:37">
      <c r="A48" s="2">
        <v>47</v>
      </c>
      <c r="B48" s="2">
        <v>2030</v>
      </c>
      <c r="C48" s="2">
        <v>91</v>
      </c>
      <c r="D48" s="2">
        <v>382443.52273</v>
      </c>
      <c r="E48" s="2">
        <v>34802360.56843</v>
      </c>
      <c r="F48" s="2">
        <f>E48/1.19</f>
        <v>29245681.149941176</v>
      </c>
      <c r="G48" s="2">
        <v>20</v>
      </c>
      <c r="H48" s="2">
        <v>1774236.036934454</v>
      </c>
      <c r="I48" s="2">
        <v>130</v>
      </c>
      <c r="J48" s="2">
        <v>11529789.21624241</v>
      </c>
      <c r="K48" s="2">
        <v>8070852.451369688</v>
      </c>
      <c r="L48" s="2">
        <v>2982415.166531075</v>
      </c>
      <c r="M48" s="2">
        <v>5015616.93</v>
      </c>
      <c r="N48" s="3">
        <v>1</v>
      </c>
      <c r="O48" s="3">
        <v>1</v>
      </c>
      <c r="P48" s="2">
        <v>174836.32</v>
      </c>
      <c r="Q48" s="2">
        <v>314159.0125</v>
      </c>
      <c r="R48" s="2">
        <v>273181.75</v>
      </c>
      <c r="S48" s="2">
        <v>305963.56</v>
      </c>
      <c r="T48" s="2">
        <v>1775681.375</v>
      </c>
      <c r="U48" s="2">
        <f>M48+P48+Q48+R48+S48+T48</f>
        <v>7859438.9475</v>
      </c>
      <c r="V48" s="2">
        <f>F48-K48-L48-U48</f>
        <v>10332974.584540414</v>
      </c>
      <c r="W48" s="2">
        <v>218153.8493299888</v>
      </c>
      <c r="X48" s="2">
        <v>215682.3896600383</v>
      </c>
      <c r="Y48" s="2">
        <f>W48+X48</f>
        <v>433836.23899002705</v>
      </c>
      <c r="Z48" s="2">
        <v>22775002.60409727</v>
      </c>
      <c r="AA48" s="2">
        <v>0</v>
      </c>
      <c r="AB48" s="2">
        <v>0</v>
      </c>
      <c r="AC48" s="2">
        <v>0</v>
      </c>
      <c r="AD48" s="2">
        <v>-1500154.743048958</v>
      </c>
      <c r="AE48" s="2">
        <v>333367.7206775462</v>
      </c>
      <c r="AF48" s="2">
        <f>F48-H48-L48-U48-AA48-AC48-AD48</f>
        <v>18129745.742024604</v>
      </c>
      <c r="AG48" s="2">
        <f>F48-H48-L48-U48-AA48-AB48-AD48-Y48</f>
        <v>17695909.503034577</v>
      </c>
      <c r="AH48" s="2">
        <f>AH47+AG48</f>
        <v>64329286.84061075</v>
      </c>
      <c r="AI48" s="2">
        <v>26011563.35947008</v>
      </c>
      <c r="AJ48" s="2">
        <f>AH48-AI48</f>
        <v>38317723.48114067</v>
      </c>
      <c r="AK48" s="3">
        <v>0.25</v>
      </c>
    </row>
    <row r="49" spans="1:37">
      <c r="A49" s="2">
        <v>48</v>
      </c>
      <c r="B49" s="2">
        <v>2030</v>
      </c>
      <c r="C49" s="2">
        <v>110</v>
      </c>
      <c r="D49" s="2">
        <v>382443.52273</v>
      </c>
      <c r="E49" s="2">
        <v>42068787.5003</v>
      </c>
      <c r="F49" s="2">
        <f>E49/1.19</f>
        <v>35351922.26915966</v>
      </c>
      <c r="G49" s="2">
        <v>30</v>
      </c>
      <c r="H49" s="2">
        <v>2661354.055401681</v>
      </c>
      <c r="I49" s="2">
        <v>50</v>
      </c>
      <c r="J49" s="2">
        <v>4434732.272388779</v>
      </c>
      <c r="K49" s="2">
        <v>9756410.999255313</v>
      </c>
      <c r="L49" s="2">
        <v>3605152.074955425</v>
      </c>
      <c r="M49" s="2">
        <v>5015616.93</v>
      </c>
      <c r="N49" s="3">
        <v>1</v>
      </c>
      <c r="O49" s="3">
        <v>1</v>
      </c>
      <c r="P49" s="2">
        <v>174836.32</v>
      </c>
      <c r="Q49" s="2">
        <v>314159.0125</v>
      </c>
      <c r="R49" s="2">
        <v>273181.75</v>
      </c>
      <c r="S49" s="2">
        <v>305963.56</v>
      </c>
      <c r="T49" s="2">
        <v>1775681.375</v>
      </c>
      <c r="U49" s="2">
        <f>M49+P49+Q49+R49+S49+T49</f>
        <v>7859438.9475</v>
      </c>
      <c r="V49" s="2">
        <f>F49-K49-L49-U49</f>
        <v>14130920.24744892</v>
      </c>
      <c r="W49" s="2">
        <v>216107.2837948687</v>
      </c>
      <c r="X49" s="2">
        <v>217728.9551951584</v>
      </c>
      <c r="Y49" s="2">
        <f>W49+X49</f>
        <v>433836.23899002705</v>
      </c>
      <c r="Z49" s="2">
        <v>22557273.64890211</v>
      </c>
      <c r="AA49" s="2">
        <v>0</v>
      </c>
      <c r="AB49" s="2">
        <v>7593886.811509897</v>
      </c>
      <c r="AC49" s="2">
        <v>8274941.00814808</v>
      </c>
      <c r="AD49" s="2">
        <v>166683.8603387731</v>
      </c>
      <c r="AE49" s="2">
        <v>500051.5810163193</v>
      </c>
      <c r="AF49" s="2">
        <f>F49-H49-L49-U49-AA49-AC49-AD49</f>
        <v>12784352.3228157</v>
      </c>
      <c r="AG49" s="2">
        <f>F49-H49-L49-U49-AA49-AB49-AD49-Y49</f>
        <v>13031570.280463856</v>
      </c>
      <c r="AH49" s="2">
        <f>AH48+AG49</f>
        <v>77360857.1210746</v>
      </c>
      <c r="AI49" s="2">
        <v>26011563.35947008</v>
      </c>
      <c r="AJ49" s="2">
        <f>AH49-AI49</f>
        <v>51349293.76160452</v>
      </c>
      <c r="AK49" s="3">
        <v>0.25</v>
      </c>
    </row>
    <row r="50" spans="1:37">
      <c r="A50" s="2">
        <v>49</v>
      </c>
      <c r="B50" s="2">
        <v>2031</v>
      </c>
      <c r="C50" s="2">
        <v>17</v>
      </c>
      <c r="D50" s="2">
        <v>393916.8284119</v>
      </c>
      <c r="E50" s="2">
        <v>6696586.083002301</v>
      </c>
      <c r="F50" s="2">
        <f>E50/1.19</f>
        <v>5627383.263027144</v>
      </c>
      <c r="G50" s="2">
        <v>30</v>
      </c>
      <c r="H50" s="2">
        <v>2741194.677063731</v>
      </c>
      <c r="I50" s="2">
        <v>63</v>
      </c>
      <c r="J50" s="2">
        <v>5651042.472693851</v>
      </c>
      <c r="K50" s="2">
        <v>1524884.476758658</v>
      </c>
      <c r="L50" s="2">
        <v>571621.9609108077</v>
      </c>
      <c r="M50" s="2">
        <v>6837466.020750001</v>
      </c>
      <c r="N50" s="3">
        <v>1.5</v>
      </c>
      <c r="O50" s="3">
        <v>1.5</v>
      </c>
      <c r="P50" s="2">
        <v>202591.5858</v>
      </c>
      <c r="Q50" s="2">
        <v>407996.9436250001</v>
      </c>
      <c r="R50" s="2">
        <v>281377.2025</v>
      </c>
      <c r="S50" s="2">
        <v>315142.4668000001</v>
      </c>
      <c r="T50" s="2">
        <v>2391706.22125</v>
      </c>
      <c r="U50" s="2">
        <f>M50+P50+Q50+R50+S50+T50</f>
        <v>10436280.440725002</v>
      </c>
      <c r="V50" s="2">
        <f>F50-K50-L50-U50</f>
        <v>-6905403.615367325</v>
      </c>
      <c r="W50" s="2">
        <v>214041.2988231587</v>
      </c>
      <c r="X50" s="2">
        <v>219794.9401668684</v>
      </c>
      <c r="Y50" s="2">
        <f>W50+X50</f>
        <v>433836.23899002705</v>
      </c>
      <c r="Z50" s="2">
        <v>22337478.70873524</v>
      </c>
      <c r="AA50" s="2">
        <v>0</v>
      </c>
      <c r="AB50" s="2">
        <v>0</v>
      </c>
      <c r="AC50" s="2">
        <v>0</v>
      </c>
      <c r="AD50" s="2">
        <v>15001.54743048968</v>
      </c>
      <c r="AE50" s="2">
        <v>515053.128446809</v>
      </c>
      <c r="AF50" s="2">
        <f>F50-H50-L50-U50-AA50-AC50-AD50</f>
        <v>-8136715.363102887</v>
      </c>
      <c r="AG50" s="2">
        <f>F50-H50-L50-U50-AA50-AB50-AD50-Y50</f>
        <v>-8570551.602092914</v>
      </c>
      <c r="AH50" s="2">
        <f>AH49+AG50</f>
        <v>68790305.5189817</v>
      </c>
      <c r="AI50" s="2">
        <v>33742087.83914509</v>
      </c>
      <c r="AJ50" s="2">
        <f>AH50-AI50</f>
        <v>35048217.67983661</v>
      </c>
      <c r="AK50" s="3">
        <v>0.25</v>
      </c>
    </row>
    <row r="51" spans="1:37">
      <c r="A51" s="2">
        <v>50</v>
      </c>
      <c r="B51" s="2">
        <v>2031</v>
      </c>
      <c r="C51" s="2">
        <v>26</v>
      </c>
      <c r="D51" s="2">
        <v>393916.8284119</v>
      </c>
      <c r="E51" s="2">
        <v>10241837.5387094</v>
      </c>
      <c r="F51" s="2">
        <f>E51/1.19</f>
        <v>8606586.166982692</v>
      </c>
      <c r="G51" s="2">
        <v>40</v>
      </c>
      <c r="H51" s="2">
        <v>3654926.236084975</v>
      </c>
      <c r="I51" s="2">
        <v>77</v>
      </c>
      <c r="J51" s="2">
        <v>6956889.228892909</v>
      </c>
      <c r="K51" s="2">
        <v>2349079.479885918</v>
      </c>
      <c r="L51" s="2">
        <v>875597.6096863436</v>
      </c>
      <c r="M51" s="2">
        <v>6837466.020750001</v>
      </c>
      <c r="N51" s="3">
        <v>1.5</v>
      </c>
      <c r="O51" s="3">
        <v>1.5</v>
      </c>
      <c r="P51" s="2">
        <v>202591.5858</v>
      </c>
      <c r="Q51" s="2">
        <v>407996.9436250001</v>
      </c>
      <c r="R51" s="2">
        <v>281377.2025</v>
      </c>
      <c r="S51" s="2">
        <v>315142.4668000001</v>
      </c>
      <c r="T51" s="2">
        <v>2391706.22125</v>
      </c>
      <c r="U51" s="2">
        <f>M51+P51+Q51+R51+S51+T51</f>
        <v>10436280.440725002</v>
      </c>
      <c r="V51" s="2">
        <f>F51-K51-L51-U51</f>
        <v>-5054371.363314572</v>
      </c>
      <c r="W51" s="2">
        <v>211955.7101478462</v>
      </c>
      <c r="X51" s="2">
        <v>221880.5288421809</v>
      </c>
      <c r="Y51" s="2">
        <f>W51+X51</f>
        <v>433836.23899002705</v>
      </c>
      <c r="Z51" s="2">
        <v>22115598.17989306</v>
      </c>
      <c r="AA51" s="2">
        <v>0</v>
      </c>
      <c r="AB51" s="2">
        <v>0</v>
      </c>
      <c r="AC51" s="2">
        <v>0</v>
      </c>
      <c r="AD51" s="2">
        <v>171684.3761489363</v>
      </c>
      <c r="AE51" s="2">
        <v>686737.5045957454</v>
      </c>
      <c r="AF51" s="2">
        <f>F51-H51-L51-U51-AA51-AC51-AD51</f>
        <v>-6531902.495662565</v>
      </c>
      <c r="AG51" s="2">
        <f>F51-H51-L51-U51-AA51-AB51-AD51-Y51</f>
        <v>-6965738.734652593</v>
      </c>
      <c r="AH51" s="2">
        <f>AH50+AG51</f>
        <v>61824566.7843291</v>
      </c>
      <c r="AI51" s="2">
        <v>33742087.83914509</v>
      </c>
      <c r="AJ51" s="2">
        <f>AH51-AI51</f>
        <v>28082478.945184015</v>
      </c>
      <c r="AK51" s="3">
        <v>0.25</v>
      </c>
    </row>
    <row r="52" spans="1:37">
      <c r="A52" s="2">
        <v>51</v>
      </c>
      <c r="B52" s="2">
        <v>2031</v>
      </c>
      <c r="C52" s="2">
        <v>34</v>
      </c>
      <c r="D52" s="2">
        <v>393916.8284119</v>
      </c>
      <c r="E52" s="2">
        <v>13393172.1660046</v>
      </c>
      <c r="F52" s="2">
        <f>E52/1.19</f>
        <v>11254766.526054287</v>
      </c>
      <c r="G52" s="2">
        <v>60</v>
      </c>
      <c r="H52" s="2">
        <v>5482389.354127463</v>
      </c>
      <c r="I52" s="2">
        <v>103</v>
      </c>
      <c r="J52" s="2">
        <v>9352158.350737944</v>
      </c>
      <c r="K52" s="2">
        <v>3087120.232282428</v>
      </c>
      <c r="L52" s="2">
        <v>1146232.024122824</v>
      </c>
      <c r="M52" s="2">
        <v>6837466.020750001</v>
      </c>
      <c r="N52" s="3">
        <v>1.5</v>
      </c>
      <c r="O52" s="3">
        <v>1.5</v>
      </c>
      <c r="P52" s="2">
        <v>202591.5858</v>
      </c>
      <c r="Q52" s="2">
        <v>407996.9436250001</v>
      </c>
      <c r="R52" s="2">
        <v>281377.2025</v>
      </c>
      <c r="S52" s="2">
        <v>315142.4668000001</v>
      </c>
      <c r="T52" s="2">
        <v>2391706.22125</v>
      </c>
      <c r="U52" s="2">
        <f>M52+P52+Q52+R52+S52+T52</f>
        <v>10436280.440725002</v>
      </c>
      <c r="V52" s="2">
        <f>F52-K52-L52-U52</f>
        <v>-3414866.171075968</v>
      </c>
      <c r="W52" s="2">
        <v>209850.331753447</v>
      </c>
      <c r="X52" s="2">
        <v>223985.9072365801</v>
      </c>
      <c r="Y52" s="2">
        <f>W52+X52</f>
        <v>433836.23899002705</v>
      </c>
      <c r="Z52" s="2">
        <v>21891612.27265648</v>
      </c>
      <c r="AA52" s="2">
        <v>0</v>
      </c>
      <c r="AB52" s="2">
        <v>0</v>
      </c>
      <c r="AC52" s="2">
        <v>0</v>
      </c>
      <c r="AD52" s="2">
        <v>343368.7522978727</v>
      </c>
      <c r="AE52" s="2">
        <v>1030106.256893618</v>
      </c>
      <c r="AF52" s="2">
        <f>F52-H52-L52-U52-AA52-AC52-AD52</f>
        <v>-6153504.045218876</v>
      </c>
      <c r="AG52" s="2">
        <f>F52-H52-L52-U52-AA52-AB52-AD52-Y52</f>
        <v>-6587340.284208903</v>
      </c>
      <c r="AH52" s="2">
        <f>AH51+AG52</f>
        <v>55237226.5001202</v>
      </c>
      <c r="AI52" s="2">
        <v>33742087.83914509</v>
      </c>
      <c r="AJ52" s="2">
        <f>AH52-AI52</f>
        <v>21495138.660975114</v>
      </c>
      <c r="AK52" s="3">
        <v>0.25</v>
      </c>
    </row>
    <row r="53" spans="1:37">
      <c r="A53" s="2">
        <v>52</v>
      </c>
      <c r="B53" s="2">
        <v>2031</v>
      </c>
      <c r="C53" s="2">
        <v>43</v>
      </c>
      <c r="D53" s="2">
        <v>393916.8284119</v>
      </c>
      <c r="E53" s="2">
        <v>16938423.6217117</v>
      </c>
      <c r="F53" s="2">
        <f>E53/1.19</f>
        <v>14233969.430009834</v>
      </c>
      <c r="G53" s="2">
        <v>60</v>
      </c>
      <c r="H53" s="2">
        <v>5482389.354127463</v>
      </c>
      <c r="I53" s="2">
        <v>120</v>
      </c>
      <c r="J53" s="2">
        <v>10921139.41462484</v>
      </c>
      <c r="K53" s="2">
        <v>3913408.290240568</v>
      </c>
      <c r="L53" s="2">
        <v>1450375.117284831</v>
      </c>
      <c r="M53" s="2">
        <v>6837466.020750001</v>
      </c>
      <c r="N53" s="3">
        <v>1.5</v>
      </c>
      <c r="O53" s="3">
        <v>1.5</v>
      </c>
      <c r="P53" s="2">
        <v>202591.5858</v>
      </c>
      <c r="Q53" s="2">
        <v>407996.9436250001</v>
      </c>
      <c r="R53" s="2">
        <v>281377.2025</v>
      </c>
      <c r="S53" s="2">
        <v>315142.4668000001</v>
      </c>
      <c r="T53" s="2">
        <v>2391706.22125</v>
      </c>
      <c r="U53" s="2">
        <f>M53+P53+Q53+R53+S53+T53</f>
        <v>10436280.440725002</v>
      </c>
      <c r="V53" s="2">
        <f>F53-K53-L53-U53</f>
        <v>-1566094.4182405658</v>
      </c>
      <c r="W53" s="2">
        <v>207724.9758594143</v>
      </c>
      <c r="X53" s="2">
        <v>226111.2631306127</v>
      </c>
      <c r="Y53" s="2">
        <f>W53+X53</f>
        <v>433836.23899002705</v>
      </c>
      <c r="Z53" s="2">
        <v>21665501.00952587</v>
      </c>
      <c r="AA53" s="2">
        <v>0</v>
      </c>
      <c r="AB53" s="2">
        <v>0</v>
      </c>
      <c r="AC53" s="2">
        <v>0</v>
      </c>
      <c r="AD53" s="2">
        <v>0</v>
      </c>
      <c r="AE53" s="2">
        <v>1030106.256893618</v>
      </c>
      <c r="AF53" s="2">
        <f>F53-H53-L53-U53-AA53-AC53-AD53</f>
        <v>-3135075.4821274616</v>
      </c>
      <c r="AG53" s="2">
        <f>F53-H53-L53-U53-AA53-AB53-AD53-Y53</f>
        <v>-3568911.7211174886</v>
      </c>
      <c r="AH53" s="2">
        <f>AH52+AG53</f>
        <v>51668314.77900271</v>
      </c>
      <c r="AI53" s="2">
        <v>33742087.83914509</v>
      </c>
      <c r="AJ53" s="2">
        <f>AH53-AI53</f>
        <v>17926226.939857624</v>
      </c>
      <c r="AK53" s="3">
        <v>0.25</v>
      </c>
    </row>
    <row r="54" spans="1:37">
      <c r="A54" s="2">
        <v>53</v>
      </c>
      <c r="B54" s="2">
        <v>2031</v>
      </c>
      <c r="C54" s="2">
        <v>51</v>
      </c>
      <c r="D54" s="2">
        <v>393916.8284119</v>
      </c>
      <c r="E54" s="2">
        <v>20089758.2490069</v>
      </c>
      <c r="F54" s="2">
        <f>E54/1.19</f>
        <v>16882149.789081432</v>
      </c>
      <c r="G54" s="2">
        <v>60</v>
      </c>
      <c r="H54" s="2">
        <v>5482389.354127463</v>
      </c>
      <c r="I54" s="2">
        <v>129</v>
      </c>
      <c r="J54" s="2">
        <v>11755862.28427248</v>
      </c>
      <c r="K54" s="2">
        <v>4647666.484479819</v>
      </c>
      <c r="L54" s="2">
        <v>1720706.927068731</v>
      </c>
      <c r="M54" s="2">
        <v>6837466.020750001</v>
      </c>
      <c r="N54" s="3">
        <v>1.5</v>
      </c>
      <c r="O54" s="3">
        <v>1.5</v>
      </c>
      <c r="P54" s="2">
        <v>202591.5858</v>
      </c>
      <c r="Q54" s="2">
        <v>407996.9436250001</v>
      </c>
      <c r="R54" s="2">
        <v>281377.2025</v>
      </c>
      <c r="S54" s="2">
        <v>315142.4668000001</v>
      </c>
      <c r="T54" s="2">
        <v>2391706.22125</v>
      </c>
      <c r="U54" s="2">
        <f>M54+P54+Q54+R54+S54+T54</f>
        <v>10436280.440725002</v>
      </c>
      <c r="V54" s="2">
        <f>F54-K54-L54-U54</f>
        <v>77495.93680788018</v>
      </c>
      <c r="W54" s="2">
        <v>205579.4529033909</v>
      </c>
      <c r="X54" s="2">
        <v>228256.7860866361</v>
      </c>
      <c r="Y54" s="2">
        <f>W54+X54</f>
        <v>433836.23899002705</v>
      </c>
      <c r="Z54" s="2">
        <v>21437244.22343923</v>
      </c>
      <c r="AA54" s="2">
        <v>0</v>
      </c>
      <c r="AB54" s="2">
        <v>0</v>
      </c>
      <c r="AC54" s="2">
        <v>0</v>
      </c>
      <c r="AD54" s="2">
        <v>0</v>
      </c>
      <c r="AE54" s="2">
        <v>1030106.256893618</v>
      </c>
      <c r="AF54" s="2">
        <f>F54-H54-L54-U54-AA54-AC54-AD54</f>
        <v>-757226.9328397643</v>
      </c>
      <c r="AG54" s="2">
        <f>F54-H54-L54-U54-AA54-AB54-AD54-Y54</f>
        <v>-1191063.1718297913</v>
      </c>
      <c r="AH54" s="2">
        <f>AH53+AG54</f>
        <v>50477251.60717292</v>
      </c>
      <c r="AI54" s="2">
        <v>33742087.83914509</v>
      </c>
      <c r="AJ54" s="2">
        <f>AH54-AI54</f>
        <v>16735163.768027835</v>
      </c>
      <c r="AK54" s="3">
        <v>0.25</v>
      </c>
    </row>
    <row r="55" spans="1:37">
      <c r="A55" s="2">
        <v>54</v>
      </c>
      <c r="B55" s="2">
        <v>2031</v>
      </c>
      <c r="C55" s="2">
        <v>60</v>
      </c>
      <c r="D55" s="2">
        <v>393916.8284119</v>
      </c>
      <c r="E55" s="2">
        <v>23635009.704714</v>
      </c>
      <c r="F55" s="2">
        <f>E55/1.19</f>
        <v>19861352.693036977</v>
      </c>
      <c r="G55" s="2">
        <v>90</v>
      </c>
      <c r="H55" s="2">
        <v>8223584.031191195</v>
      </c>
      <c r="I55" s="2">
        <v>159</v>
      </c>
      <c r="J55" s="2">
        <v>14505625.40711747</v>
      </c>
      <c r="K55" s="2">
        <v>5473820.908346214</v>
      </c>
      <c r="L55" s="2">
        <v>2024839.329503397</v>
      </c>
      <c r="M55" s="2">
        <v>6837466.020750001</v>
      </c>
      <c r="N55" s="3">
        <v>1.5</v>
      </c>
      <c r="O55" s="3">
        <v>1.5</v>
      </c>
      <c r="P55" s="2">
        <v>202591.5858</v>
      </c>
      <c r="Q55" s="2">
        <v>407996.9436250001</v>
      </c>
      <c r="R55" s="2">
        <v>281377.2025</v>
      </c>
      <c r="S55" s="2">
        <v>315142.4668000001</v>
      </c>
      <c r="T55" s="2">
        <v>2391706.22125</v>
      </c>
      <c r="U55" s="2">
        <f>M55+P55+Q55+R55+S55+T55</f>
        <v>10436280.440725002</v>
      </c>
      <c r="V55" s="2">
        <f>F55-K55-L55-U55</f>
        <v>1926412.014462363</v>
      </c>
      <c r="W55" s="2">
        <v>203413.5715243014</v>
      </c>
      <c r="X55" s="2">
        <v>230422.6674657257</v>
      </c>
      <c r="Y55" s="2">
        <f>W55+X55</f>
        <v>433836.23899002705</v>
      </c>
      <c r="Z55" s="2">
        <v>21206821.55597351</v>
      </c>
      <c r="AA55" s="2">
        <v>0</v>
      </c>
      <c r="AB55" s="2">
        <v>0</v>
      </c>
      <c r="AC55" s="2">
        <v>0</v>
      </c>
      <c r="AD55" s="2">
        <v>515053.128446809</v>
      </c>
      <c r="AE55" s="2">
        <v>1545159.385340427</v>
      </c>
      <c r="AF55" s="2">
        <f>F55-H55-L55-U55-AA55-AC55-AD55</f>
        <v>-1338404.236829429</v>
      </c>
      <c r="AG55" s="2">
        <f>F55-H55-L55-U55-AA55-AB55-AD55-Y55</f>
        <v>-1772240.475819456</v>
      </c>
      <c r="AH55" s="2">
        <f>AH54+AG55</f>
        <v>48705011.13135347</v>
      </c>
      <c r="AI55" s="2">
        <v>33742087.83914509</v>
      </c>
      <c r="AJ55" s="2">
        <f>AH55-AI55</f>
        <v>14962923.292208381</v>
      </c>
      <c r="AK55" s="3">
        <v>0.25</v>
      </c>
    </row>
    <row r="56" spans="1:37">
      <c r="A56" s="2">
        <v>55</v>
      </c>
      <c r="B56" s="2">
        <v>2031</v>
      </c>
      <c r="C56" s="2">
        <v>68</v>
      </c>
      <c r="D56" s="2">
        <v>393916.8284119</v>
      </c>
      <c r="E56" s="2">
        <v>26786344.3320092</v>
      </c>
      <c r="F56" s="2">
        <f>E56/1.19</f>
        <v>22509533.052108575</v>
      </c>
      <c r="G56" s="2">
        <v>90</v>
      </c>
      <c r="H56" s="2">
        <v>8223584.031191195</v>
      </c>
      <c r="I56" s="2">
        <v>181</v>
      </c>
      <c r="J56" s="2">
        <v>16522035.77644124</v>
      </c>
      <c r="K56" s="2">
        <v>6207173.661867425</v>
      </c>
      <c r="L56" s="2">
        <v>2295098.704029854</v>
      </c>
      <c r="M56" s="2">
        <v>6837466.020750001</v>
      </c>
      <c r="N56" s="3">
        <v>1.5</v>
      </c>
      <c r="O56" s="3">
        <v>1.5</v>
      </c>
      <c r="P56" s="2">
        <v>202591.5858</v>
      </c>
      <c r="Q56" s="2">
        <v>407996.9436250001</v>
      </c>
      <c r="R56" s="2">
        <v>281377.2025</v>
      </c>
      <c r="S56" s="2">
        <v>315142.4668000001</v>
      </c>
      <c r="T56" s="2">
        <v>2391706.22125</v>
      </c>
      <c r="U56" s="2">
        <f>M56+P56+Q56+R56+S56+T56</f>
        <v>10436280.440725002</v>
      </c>
      <c r="V56" s="2">
        <f>F56-K56-L56-U56</f>
        <v>3570980.245486293</v>
      </c>
      <c r="W56" s="2">
        <v>201227.1385452849</v>
      </c>
      <c r="X56" s="2">
        <v>232609.1004447422</v>
      </c>
      <c r="Y56" s="2">
        <f>W56+X56</f>
        <v>433836.23899002705</v>
      </c>
      <c r="Z56" s="2">
        <v>20974212.45552877</v>
      </c>
      <c r="AA56" s="2">
        <v>0</v>
      </c>
      <c r="AB56" s="2">
        <v>0</v>
      </c>
      <c r="AC56" s="2">
        <v>0</v>
      </c>
      <c r="AD56" s="2">
        <v>0</v>
      </c>
      <c r="AE56" s="2">
        <v>1545159.385340427</v>
      </c>
      <c r="AF56" s="2">
        <f>F56-H56-L56-U56-AA56-AC56-AD56</f>
        <v>1554569.8761625215</v>
      </c>
      <c r="AG56" s="2">
        <f>F56-H56-L56-U56-AA56-AB56-AD56-Y56</f>
        <v>1120733.6371724945</v>
      </c>
      <c r="AH56" s="2">
        <f>AH55+AG56</f>
        <v>49825744.768525966</v>
      </c>
      <c r="AI56" s="2">
        <v>33742087.83914509</v>
      </c>
      <c r="AJ56" s="2">
        <f>AH56-AI56</f>
        <v>16083656.929380879</v>
      </c>
      <c r="AK56" s="3">
        <v>0.25</v>
      </c>
    </row>
    <row r="57" spans="1:37">
      <c r="A57" s="2">
        <v>56</v>
      </c>
      <c r="B57" s="2">
        <v>2031</v>
      </c>
      <c r="C57" s="2">
        <v>85</v>
      </c>
      <c r="D57" s="2">
        <v>393916.8284119</v>
      </c>
      <c r="E57" s="2">
        <v>33482930.4150115</v>
      </c>
      <c r="F57" s="2">
        <f>E57/1.19</f>
        <v>28136916.315135717</v>
      </c>
      <c r="G57" s="2">
        <v>110</v>
      </c>
      <c r="H57" s="2">
        <v>10051047.14923368</v>
      </c>
      <c r="I57" s="2">
        <v>206</v>
      </c>
      <c r="J57" s="2">
        <v>18811185.85116506</v>
      </c>
      <c r="K57" s="2">
        <v>7761897.074509855</v>
      </c>
      <c r="L57" s="2">
        <v>2869107.779811364</v>
      </c>
      <c r="M57" s="2">
        <v>6837466.020750001</v>
      </c>
      <c r="N57" s="3">
        <v>1.5</v>
      </c>
      <c r="O57" s="3">
        <v>1.5</v>
      </c>
      <c r="P57" s="2">
        <v>202591.5858</v>
      </c>
      <c r="Q57" s="2">
        <v>407996.9436250001</v>
      </c>
      <c r="R57" s="2">
        <v>281377.2025</v>
      </c>
      <c r="S57" s="2">
        <v>315142.4668000001</v>
      </c>
      <c r="T57" s="2">
        <v>2391706.22125</v>
      </c>
      <c r="U57" s="2">
        <f>M57+P57+Q57+R57+S57+T57</f>
        <v>10436280.440725002</v>
      </c>
      <c r="V57" s="2">
        <f>F57-K57-L57-U57</f>
        <v>7069631.020089496</v>
      </c>
      <c r="W57" s="2">
        <v>199019.9589564651</v>
      </c>
      <c r="X57" s="2">
        <v>234816.280033562</v>
      </c>
      <c r="Y57" s="2">
        <f>W57+X57</f>
        <v>433836.23899002705</v>
      </c>
      <c r="Z57" s="2">
        <v>20739396.1754952</v>
      </c>
      <c r="AA57" s="2">
        <v>0</v>
      </c>
      <c r="AB57" s="2">
        <v>0</v>
      </c>
      <c r="AC57" s="2">
        <v>0</v>
      </c>
      <c r="AD57" s="2">
        <v>343368.7522978724</v>
      </c>
      <c r="AE57" s="2">
        <v>1888528.137638299</v>
      </c>
      <c r="AF57" s="2">
        <f>F57-H57-L57-U57-AA57-AC57-AD57</f>
        <v>4437112.193067795</v>
      </c>
      <c r="AG57" s="2">
        <f>F57-H57-L57-U57-AA57-AB57-AD57-Y57</f>
        <v>4003275.9540777677</v>
      </c>
      <c r="AH57" s="2">
        <f>AH56+AG57</f>
        <v>53829020.72260373</v>
      </c>
      <c r="AI57" s="2">
        <v>33742087.83914509</v>
      </c>
      <c r="AJ57" s="2">
        <f>AH57-AI57</f>
        <v>20086932.883458644</v>
      </c>
      <c r="AK57" s="3">
        <v>0.25</v>
      </c>
    </row>
    <row r="58" spans="1:37">
      <c r="A58" s="2">
        <v>57</v>
      </c>
      <c r="B58" s="2">
        <v>2031</v>
      </c>
      <c r="C58" s="2">
        <v>93</v>
      </c>
      <c r="D58" s="2">
        <v>393916.8284119</v>
      </c>
      <c r="E58" s="2">
        <v>36634265.04230671</v>
      </c>
      <c r="F58" s="2">
        <f>E58/1.19</f>
        <v>30785096.67420732</v>
      </c>
      <c r="G58" s="2">
        <v>120</v>
      </c>
      <c r="H58" s="2">
        <v>10964778.70825493</v>
      </c>
      <c r="I58" s="2">
        <v>233</v>
      </c>
      <c r="J58" s="2">
        <v>21281594.30167134</v>
      </c>
      <c r="K58" s="2">
        <v>8494370.257748649</v>
      </c>
      <c r="L58" s="2">
        <v>3139296.788715228</v>
      </c>
      <c r="M58" s="2">
        <v>6837466.020750001</v>
      </c>
      <c r="N58" s="3">
        <v>1.5</v>
      </c>
      <c r="O58" s="3">
        <v>1.5</v>
      </c>
      <c r="P58" s="2">
        <v>202591.5858</v>
      </c>
      <c r="Q58" s="2">
        <v>407996.9436250001</v>
      </c>
      <c r="R58" s="2">
        <v>281377.2025</v>
      </c>
      <c r="S58" s="2">
        <v>315142.4668000001</v>
      </c>
      <c r="T58" s="2">
        <v>2391706.22125</v>
      </c>
      <c r="U58" s="2">
        <f>M58+P58+Q58+R58+S58+T58</f>
        <v>10436280.440725002</v>
      </c>
      <c r="V58" s="2">
        <f>F58-K58-L58-U58</f>
        <v>8715149.18701844</v>
      </c>
      <c r="W58" s="2">
        <v>196791.8358975575</v>
      </c>
      <c r="X58" s="2">
        <v>237044.4030924695</v>
      </c>
      <c r="Y58" s="2">
        <f>W58+X58</f>
        <v>433836.23899002705</v>
      </c>
      <c r="Z58" s="2">
        <v>20502351.77240273</v>
      </c>
      <c r="AA58" s="2">
        <v>0</v>
      </c>
      <c r="AB58" s="2">
        <v>0</v>
      </c>
      <c r="AC58" s="2">
        <v>0</v>
      </c>
      <c r="AD58" s="2">
        <v>171684.3761489366</v>
      </c>
      <c r="AE58" s="2">
        <v>2060212.513787236</v>
      </c>
      <c r="AF58" s="2">
        <f>F58-H58-L58-U58-AA58-AC58-AD58</f>
        <v>6073056.360363225</v>
      </c>
      <c r="AG58" s="2">
        <f>F58-H58-L58-U58-AA58-AB58-AD58-Y58</f>
        <v>5639220.121373198</v>
      </c>
      <c r="AH58" s="2">
        <f>AH57+AG58</f>
        <v>59468240.84397693</v>
      </c>
      <c r="AI58" s="2">
        <v>33742087.83914509</v>
      </c>
      <c r="AJ58" s="2">
        <f>AH58-AI58</f>
        <v>25726153.004831843</v>
      </c>
      <c r="AK58" s="3">
        <v>0.25</v>
      </c>
    </row>
    <row r="59" spans="1:37">
      <c r="A59" s="2">
        <v>58</v>
      </c>
      <c r="B59" s="2">
        <v>2031</v>
      </c>
      <c r="C59" s="2">
        <v>110</v>
      </c>
      <c r="D59" s="2">
        <v>393916.8284119</v>
      </c>
      <c r="E59" s="2">
        <v>43330851.12530901</v>
      </c>
      <c r="F59" s="2">
        <f>E59/1.19</f>
        <v>36412479.93723446</v>
      </c>
      <c r="G59" s="2">
        <v>140</v>
      </c>
      <c r="H59" s="2">
        <v>12792241.82629741</v>
      </c>
      <c r="I59" s="2">
        <v>263</v>
      </c>
      <c r="J59" s="2">
        <v>24025251.74706644</v>
      </c>
      <c r="K59" s="2">
        <v>10048584.38090231</v>
      </c>
      <c r="L59" s="2">
        <v>3713265.121337636</v>
      </c>
      <c r="M59" s="2">
        <v>6837466.020750001</v>
      </c>
      <c r="N59" s="3">
        <v>1.5</v>
      </c>
      <c r="O59" s="3">
        <v>1.5</v>
      </c>
      <c r="P59" s="2">
        <v>202591.5858</v>
      </c>
      <c r="Q59" s="2">
        <v>407996.9436250001</v>
      </c>
      <c r="R59" s="2">
        <v>281377.2025</v>
      </c>
      <c r="S59" s="2">
        <v>315142.4668000001</v>
      </c>
      <c r="T59" s="2">
        <v>2391706.22125</v>
      </c>
      <c r="U59" s="2">
        <f>M59+P59+Q59+R59+S59+T59</f>
        <v>10436280.440725002</v>
      </c>
      <c r="V59" s="2">
        <f>F59-K59-L59-U59</f>
        <v>12214349.994269509</v>
      </c>
      <c r="W59" s="2">
        <v>194542.5706403113</v>
      </c>
      <c r="X59" s="2">
        <v>239293.6683497158</v>
      </c>
      <c r="Y59" s="2">
        <f>W59+X59</f>
        <v>433836.23899002705</v>
      </c>
      <c r="Z59" s="2">
        <v>20263058.10405302</v>
      </c>
      <c r="AA59" s="2">
        <v>0</v>
      </c>
      <c r="AB59" s="2">
        <v>0</v>
      </c>
      <c r="AC59" s="2">
        <v>0</v>
      </c>
      <c r="AD59" s="2">
        <v>343368.7522978727</v>
      </c>
      <c r="AE59" s="2">
        <v>2403581.266085109</v>
      </c>
      <c r="AF59" s="2">
        <f>F59-H59-L59-U59-AA59-AC59-AD59</f>
        <v>9127323.796576535</v>
      </c>
      <c r="AG59" s="2">
        <f>F59-H59-L59-U59-AA59-AB59-AD59-Y59</f>
        <v>8693487.557586508</v>
      </c>
      <c r="AH59" s="2">
        <f>AH58+AG59</f>
        <v>68161728.40156344</v>
      </c>
      <c r="AI59" s="2">
        <v>33742087.83914509</v>
      </c>
      <c r="AJ59" s="2">
        <f>AH59-AI59</f>
        <v>34419640.56241835</v>
      </c>
      <c r="AK59" s="3">
        <v>0.25</v>
      </c>
    </row>
    <row r="60" spans="1:37">
      <c r="A60" s="2">
        <v>59</v>
      </c>
      <c r="B60" s="2">
        <v>2031</v>
      </c>
      <c r="C60" s="2">
        <v>119</v>
      </c>
      <c r="D60" s="2">
        <v>393916.8284119</v>
      </c>
      <c r="E60" s="2">
        <v>46876102.58101611</v>
      </c>
      <c r="F60" s="2">
        <f>E60/1.19</f>
        <v>39391682.84119001</v>
      </c>
      <c r="G60" s="2">
        <v>20</v>
      </c>
      <c r="H60" s="2">
        <v>1827463.118042488</v>
      </c>
      <c r="I60" s="2">
        <v>164</v>
      </c>
      <c r="J60" s="2">
        <v>14981785.29285464</v>
      </c>
      <c r="K60" s="2">
        <v>10870929.57225428</v>
      </c>
      <c r="L60" s="2">
        <v>4017092.785171148</v>
      </c>
      <c r="M60" s="2">
        <v>6837466.020750001</v>
      </c>
      <c r="N60" s="3">
        <v>1.5</v>
      </c>
      <c r="O60" s="3">
        <v>1.5</v>
      </c>
      <c r="P60" s="2">
        <v>202591.5858</v>
      </c>
      <c r="Q60" s="2">
        <v>407996.9436250001</v>
      </c>
      <c r="R60" s="2">
        <v>281377.2025</v>
      </c>
      <c r="S60" s="2">
        <v>315142.4668000001</v>
      </c>
      <c r="T60" s="2">
        <v>2391706.22125</v>
      </c>
      <c r="U60" s="2">
        <f>M60+P60+Q60+R60+S60+T60</f>
        <v>10436280.440725002</v>
      </c>
      <c r="V60" s="2">
        <f>F60-K60-L60-U60</f>
        <v>14067380.043039575</v>
      </c>
      <c r="W60" s="2">
        <v>192271.962570784</v>
      </c>
      <c r="X60" s="2">
        <v>241564.276419243</v>
      </c>
      <c r="Y60" s="2">
        <f>W60+X60</f>
        <v>433836.23899002705</v>
      </c>
      <c r="Z60" s="2">
        <v>20021493.82763377</v>
      </c>
      <c r="AA60" s="2">
        <v>0</v>
      </c>
      <c r="AB60" s="2">
        <v>0</v>
      </c>
      <c r="AC60" s="2">
        <v>0</v>
      </c>
      <c r="AD60" s="2">
        <v>-2060212.513787236</v>
      </c>
      <c r="AE60" s="2">
        <v>343368.7522978727</v>
      </c>
      <c r="AF60" s="2">
        <f>F60-H60-L60-U60-AA60-AC60-AD60</f>
        <v>25171059.011038613</v>
      </c>
      <c r="AG60" s="2">
        <f>F60-H60-L60-U60-AA60-AB60-AD60-Y60</f>
        <v>24737222.772048585</v>
      </c>
      <c r="AH60" s="2">
        <f>AH59+AG60</f>
        <v>92898951.17361203</v>
      </c>
      <c r="AI60" s="2">
        <v>33742087.83914509</v>
      </c>
      <c r="AJ60" s="2">
        <f>AH60-AI60</f>
        <v>59156863.33446694</v>
      </c>
      <c r="AK60" s="3">
        <v>0.25</v>
      </c>
    </row>
    <row r="61" spans="1:37">
      <c r="A61" s="2">
        <v>60</v>
      </c>
      <c r="B61" s="2">
        <v>2031</v>
      </c>
      <c r="C61" s="2">
        <v>144</v>
      </c>
      <c r="D61" s="2">
        <v>393916.8284119</v>
      </c>
      <c r="E61" s="2">
        <v>56724023.2913136</v>
      </c>
      <c r="F61" s="2">
        <f>E61/1.19</f>
        <v>47667246.46328875</v>
      </c>
      <c r="G61" s="2">
        <v>30</v>
      </c>
      <c r="H61" s="2">
        <v>2741194.677063731</v>
      </c>
      <c r="I61" s="2">
        <v>50</v>
      </c>
      <c r="J61" s="2">
        <v>4567778.342762468</v>
      </c>
      <c r="K61" s="2">
        <v>13155201.62715591</v>
      </c>
      <c r="L61" s="2">
        <v>4861056.906578153</v>
      </c>
      <c r="M61" s="2">
        <v>6837466.020750001</v>
      </c>
      <c r="N61" s="3">
        <v>1.5</v>
      </c>
      <c r="O61" s="3">
        <v>1.5</v>
      </c>
      <c r="P61" s="2">
        <v>202591.5858</v>
      </c>
      <c r="Q61" s="2">
        <v>407996.9436250001</v>
      </c>
      <c r="R61" s="2">
        <v>281377.2025</v>
      </c>
      <c r="S61" s="2">
        <v>315142.4668000001</v>
      </c>
      <c r="T61" s="2">
        <v>2391706.22125</v>
      </c>
      <c r="U61" s="2">
        <f>M61+P61+Q61+R61+S61+T61</f>
        <v>10436280.440725002</v>
      </c>
      <c r="V61" s="2">
        <f>F61-K61-L61-U61</f>
        <v>19214707.488829684</v>
      </c>
      <c r="W61" s="2">
        <v>189979.8091714494</v>
      </c>
      <c r="X61" s="2">
        <v>243856.4298185777</v>
      </c>
      <c r="Y61" s="2">
        <f>W61+X61</f>
        <v>433836.23899002705</v>
      </c>
      <c r="Z61" s="2">
        <v>19777637.39781519</v>
      </c>
      <c r="AA61" s="2">
        <v>0</v>
      </c>
      <c r="AB61" s="2">
        <v>11838981.41870943</v>
      </c>
      <c r="AC61" s="2">
        <v>12445581.07290778</v>
      </c>
      <c r="AD61" s="2">
        <v>171684.3761489363</v>
      </c>
      <c r="AE61" s="2">
        <v>515053.128446809</v>
      </c>
      <c r="AF61" s="2">
        <f>F61-H61-L61-U61-AA61-AC61-AD61</f>
        <v>17011448.989865143</v>
      </c>
      <c r="AG61" s="2">
        <f>F61-H61-L61-U61-AA61-AB61-AD61-Y61</f>
        <v>17184212.405073468</v>
      </c>
      <c r="AH61" s="2">
        <f>AH60+AG61</f>
        <v>110083163.57868549</v>
      </c>
      <c r="AI61" s="2">
        <v>33742087.83914509</v>
      </c>
      <c r="AJ61" s="2">
        <f>AH61-AI61</f>
        <v>76341075.7395404</v>
      </c>
      <c r="AK61" s="3">
        <v>0.25</v>
      </c>
    </row>
    <row r="62" spans="1:37">
      <c r="A62" s="2">
        <v>61</v>
      </c>
      <c r="B62" s="2">
        <v>2032</v>
      </c>
      <c r="C62" s="2">
        <v>18</v>
      </c>
      <c r="D62" s="2">
        <v>405734.333264257</v>
      </c>
      <c r="E62" s="2">
        <v>7303217.998756627</v>
      </c>
      <c r="F62" s="2">
        <f>E62/1.19</f>
        <v>6137157.982148426</v>
      </c>
      <c r="G62" s="2">
        <v>40</v>
      </c>
      <c r="H62" s="2">
        <v>3764574.023167524</v>
      </c>
      <c r="I62" s="2">
        <v>72</v>
      </c>
      <c r="J62" s="2">
        <v>6665881.892743994</v>
      </c>
      <c r="K62" s="2">
        <v>1666470.473185999</v>
      </c>
      <c r="L62" s="2">
        <v>623680.1378171112</v>
      </c>
      <c r="M62" s="2">
        <v>7629472.501486875</v>
      </c>
      <c r="N62" s="3">
        <v>1.5</v>
      </c>
      <c r="O62" s="3">
        <v>2</v>
      </c>
      <c r="P62" s="2">
        <v>220262.074117</v>
      </c>
      <c r="Q62" s="2">
        <v>498024.14231928</v>
      </c>
      <c r="R62" s="2">
        <v>289818.518575</v>
      </c>
      <c r="S62" s="2">
        <v>324596.740804</v>
      </c>
      <c r="T62" s="2">
        <v>2585181.185689</v>
      </c>
      <c r="U62" s="2">
        <f>M62+P62+Q62+R62+S62+T62</f>
        <v>11547355.162991155</v>
      </c>
      <c r="V62" s="2">
        <f>F62-K62-L62-U62</f>
        <v>-7700347.7918458395</v>
      </c>
      <c r="W62" s="2">
        <v>187665.9060031342</v>
      </c>
      <c r="X62" s="2">
        <v>246170.3329868928</v>
      </c>
      <c r="Y62" s="2">
        <f>W62+X62</f>
        <v>433836.23899002705</v>
      </c>
      <c r="Z62" s="2">
        <v>19531467.0648283</v>
      </c>
      <c r="AA62" s="2">
        <v>0</v>
      </c>
      <c r="AB62" s="2">
        <v>0</v>
      </c>
      <c r="AC62" s="2">
        <v>0</v>
      </c>
      <c r="AD62" s="2">
        <v>192286.5012868086</v>
      </c>
      <c r="AE62" s="2">
        <v>707339.6297336177</v>
      </c>
      <c r="AF62" s="2">
        <f>F62-H62-L62-U62-AA62-AC62-AD62</f>
        <v>-9990737.843114173</v>
      </c>
      <c r="AG62" s="2">
        <f>F62-H62-L62-U62-AA62-AB62-AD62-Y62</f>
        <v>-10424574.0821042</v>
      </c>
      <c r="AH62" s="2">
        <f>AH61+AG62</f>
        <v>99658589.49658129</v>
      </c>
      <c r="AI62" s="2">
        <v>37075312.00594354</v>
      </c>
      <c r="AJ62" s="2">
        <f>AH62-AI62</f>
        <v>62583277.49063774</v>
      </c>
      <c r="AK62" s="3">
        <v>0.25</v>
      </c>
    </row>
    <row r="63" spans="1:37">
      <c r="A63" s="2">
        <v>62</v>
      </c>
      <c r="B63" s="2">
        <v>2032</v>
      </c>
      <c r="C63" s="2">
        <v>27</v>
      </c>
      <c r="D63" s="2">
        <v>405734.333264257</v>
      </c>
      <c r="E63" s="2">
        <v>10954826.99813494</v>
      </c>
      <c r="F63" s="2">
        <f>E63/1.19</f>
        <v>9205736.973222638</v>
      </c>
      <c r="G63" s="2">
        <v>40</v>
      </c>
      <c r="H63" s="2">
        <v>3764574.023167524</v>
      </c>
      <c r="I63" s="2">
        <v>85</v>
      </c>
      <c r="J63" s="2">
        <v>7915971.007611421</v>
      </c>
      <c r="K63" s="2">
        <v>2514484.908300098</v>
      </c>
      <c r="L63" s="2">
        <v>936702.5426073548</v>
      </c>
      <c r="M63" s="2">
        <v>7629472.501486875</v>
      </c>
      <c r="N63" s="3">
        <v>1.5</v>
      </c>
      <c r="O63" s="3">
        <v>2</v>
      </c>
      <c r="P63" s="2">
        <v>220262.074117</v>
      </c>
      <c r="Q63" s="2">
        <v>498024.14231928</v>
      </c>
      <c r="R63" s="2">
        <v>289818.518575</v>
      </c>
      <c r="S63" s="2">
        <v>324596.740804</v>
      </c>
      <c r="T63" s="2">
        <v>2585181.185689</v>
      </c>
      <c r="U63" s="2">
        <f>M63+P63+Q63+R63+S63+T63</f>
        <v>11547355.162991155</v>
      </c>
      <c r="V63" s="2">
        <f>F63-K63-L63-U63</f>
        <v>-5792805.64067597</v>
      </c>
      <c r="W63" s="2">
        <v>185330.0466867842</v>
      </c>
      <c r="X63" s="2">
        <v>248506.1923032428</v>
      </c>
      <c r="Y63" s="2">
        <f>W63+X63</f>
        <v>433836.23899002705</v>
      </c>
      <c r="Z63" s="2">
        <v>19282960.87252506</v>
      </c>
      <c r="AA63" s="2">
        <v>0</v>
      </c>
      <c r="AB63" s="2">
        <v>0</v>
      </c>
      <c r="AC63" s="2">
        <v>0</v>
      </c>
      <c r="AD63" s="2">
        <v>0</v>
      </c>
      <c r="AE63" s="2">
        <v>707339.6297336177</v>
      </c>
      <c r="AF63" s="2">
        <f>F63-H63-L63-U63-AA63-AC63-AD63</f>
        <v>-7042894.755543397</v>
      </c>
      <c r="AG63" s="2">
        <f>F63-H63-L63-U63-AA63-AB63-AD63-Y63</f>
        <v>-7476730.994533424</v>
      </c>
      <c r="AH63" s="2">
        <f>AH62+AG63</f>
        <v>92181858.50204787</v>
      </c>
      <c r="AI63" s="2">
        <v>37075312.00594354</v>
      </c>
      <c r="AJ63" s="2">
        <f>AH63-AI63</f>
        <v>55106546.49610432</v>
      </c>
      <c r="AK63" s="3">
        <v>0.25</v>
      </c>
    </row>
    <row r="64" spans="1:37">
      <c r="A64" s="2">
        <v>63</v>
      </c>
      <c r="B64" s="2">
        <v>2032</v>
      </c>
      <c r="C64" s="2">
        <v>36</v>
      </c>
      <c r="D64" s="2">
        <v>405734.333264257</v>
      </c>
      <c r="E64" s="2">
        <v>14606435.99751325</v>
      </c>
      <c r="F64" s="2">
        <f>E64/1.19</f>
        <v>12274315.964296851</v>
      </c>
      <c r="G64" s="2">
        <v>50</v>
      </c>
      <c r="H64" s="2">
        <v>4705717.528959407</v>
      </c>
      <c r="I64" s="2">
        <v>99</v>
      </c>
      <c r="J64" s="2">
        <v>9255904.926818606</v>
      </c>
      <c r="K64" s="2">
        <v>3365783.609752221</v>
      </c>
      <c r="L64" s="2">
        <v>1249987.68870464</v>
      </c>
      <c r="M64" s="2">
        <v>7629472.501486875</v>
      </c>
      <c r="N64" s="3">
        <v>1.5</v>
      </c>
      <c r="O64" s="3">
        <v>2</v>
      </c>
      <c r="P64" s="2">
        <v>220262.074117</v>
      </c>
      <c r="Q64" s="2">
        <v>498024.14231928</v>
      </c>
      <c r="R64" s="2">
        <v>289818.518575</v>
      </c>
      <c r="S64" s="2">
        <v>324596.740804</v>
      </c>
      <c r="T64" s="2">
        <v>2585181.185689</v>
      </c>
      <c r="U64" s="2">
        <f>M64+P64+Q64+R64+S64+T64</f>
        <v>11547355.162991155</v>
      </c>
      <c r="V64" s="2">
        <f>F64-K64-L64-U64</f>
        <v>-3888810.4971511653</v>
      </c>
      <c r="W64" s="2">
        <v>182972.0228850571</v>
      </c>
      <c r="X64" s="2">
        <v>250864.21610497</v>
      </c>
      <c r="Y64" s="2">
        <f>W64+X64</f>
        <v>433836.23899002705</v>
      </c>
      <c r="Z64" s="2">
        <v>19032096.65642009</v>
      </c>
      <c r="AA64" s="2">
        <v>0</v>
      </c>
      <c r="AB64" s="2">
        <v>0</v>
      </c>
      <c r="AC64" s="2">
        <v>0</v>
      </c>
      <c r="AD64" s="2">
        <v>176834.9074334046</v>
      </c>
      <c r="AE64" s="2">
        <v>884174.5371670222</v>
      </c>
      <c r="AF64" s="2">
        <f>F64-H64-L64-U64-AA64-AC64-AD64</f>
        <v>-5405579.323791755</v>
      </c>
      <c r="AG64" s="2">
        <f>F64-H64-L64-U64-AA64-AB64-AD64-Y64</f>
        <v>-5839415.562781783</v>
      </c>
      <c r="AH64" s="2">
        <f>AH63+AG64</f>
        <v>86342442.93926609</v>
      </c>
      <c r="AI64" s="2">
        <v>37075312.00594354</v>
      </c>
      <c r="AJ64" s="2">
        <f>AH64-AI64</f>
        <v>49267130.93332254</v>
      </c>
      <c r="AK64" s="3">
        <v>0.25</v>
      </c>
    </row>
    <row r="65" spans="1:37">
      <c r="A65" s="2">
        <v>64</v>
      </c>
      <c r="B65" s="2">
        <v>2032</v>
      </c>
      <c r="C65" s="2">
        <v>45</v>
      </c>
      <c r="D65" s="2">
        <v>405734.333264257</v>
      </c>
      <c r="E65" s="2">
        <v>18258044.99689157</v>
      </c>
      <c r="F65" s="2">
        <f>E65/1.19</f>
        <v>15342894.955371065</v>
      </c>
      <c r="G65" s="2">
        <v>70</v>
      </c>
      <c r="H65" s="2">
        <v>6588004.540543168</v>
      </c>
      <c r="I65" s="2">
        <v>124</v>
      </c>
      <c r="J65" s="2">
        <v>11625117.00563822</v>
      </c>
      <c r="K65" s="2">
        <v>4218792.461723549</v>
      </c>
      <c r="L65" s="2">
        <v>1563409.646843462</v>
      </c>
      <c r="M65" s="2">
        <v>7629472.501486875</v>
      </c>
      <c r="N65" s="3">
        <v>1.5</v>
      </c>
      <c r="O65" s="3">
        <v>2</v>
      </c>
      <c r="P65" s="2">
        <v>220262.074117</v>
      </c>
      <c r="Q65" s="2">
        <v>498024.14231928</v>
      </c>
      <c r="R65" s="2">
        <v>289818.518575</v>
      </c>
      <c r="S65" s="2">
        <v>324596.740804</v>
      </c>
      <c r="T65" s="2">
        <v>2585181.185689</v>
      </c>
      <c r="U65" s="2">
        <f>M65+P65+Q65+R65+S65+T65</f>
        <v>11547355.162991155</v>
      </c>
      <c r="V65" s="2">
        <f>F65-K65-L65-U65</f>
        <v>-1986662.3161871023</v>
      </c>
      <c r="W65" s="2">
        <v>180591.6242837406</v>
      </c>
      <c r="X65" s="2">
        <v>253244.6147062865</v>
      </c>
      <c r="Y65" s="2">
        <f>W65+X65</f>
        <v>433836.23899002705</v>
      </c>
      <c r="Z65" s="2">
        <v>18778852.0417138</v>
      </c>
      <c r="AA65" s="2">
        <v>0</v>
      </c>
      <c r="AB65" s="2">
        <v>0</v>
      </c>
      <c r="AC65" s="2">
        <v>0</v>
      </c>
      <c r="AD65" s="2">
        <v>353669.8148668087</v>
      </c>
      <c r="AE65" s="2">
        <v>1237844.352033831</v>
      </c>
      <c r="AF65" s="2">
        <f>F65-H65-L65-U65-AA65-AC65-AD65</f>
        <v>-4709544.209873527</v>
      </c>
      <c r="AG65" s="2">
        <f>F65-H65-L65-U65-AA65-AB65-AD65-Y65</f>
        <v>-5143380.448863555</v>
      </c>
      <c r="AH65" s="2">
        <f>AH64+AG65</f>
        <v>81199062.49040253</v>
      </c>
      <c r="AI65" s="2">
        <v>37075312.00594354</v>
      </c>
      <c r="AJ65" s="2">
        <f>AH65-AI65</f>
        <v>44123750.48445899</v>
      </c>
      <c r="AK65" s="3">
        <v>0.25</v>
      </c>
    </row>
    <row r="66" spans="1:37">
      <c r="A66" s="2">
        <v>65</v>
      </c>
      <c r="B66" s="2">
        <v>2032</v>
      </c>
      <c r="C66" s="2">
        <v>53</v>
      </c>
      <c r="D66" s="2">
        <v>405734.333264257</v>
      </c>
      <c r="E66" s="2">
        <v>21503919.66300562</v>
      </c>
      <c r="F66" s="2">
        <f>E66/1.19</f>
        <v>18070520.72521481</v>
      </c>
      <c r="G66" s="2">
        <v>70</v>
      </c>
      <c r="H66" s="2">
        <v>6588004.540543168</v>
      </c>
      <c r="I66" s="2">
        <v>141</v>
      </c>
      <c r="J66" s="2">
        <v>13237371.84542049</v>
      </c>
      <c r="K66" s="2">
        <v>4975749.700760895</v>
      </c>
      <c r="L66" s="2">
        <v>1841905.114838553</v>
      </c>
      <c r="M66" s="2">
        <v>7629472.501486875</v>
      </c>
      <c r="N66" s="3">
        <v>1.5</v>
      </c>
      <c r="O66" s="3">
        <v>2</v>
      </c>
      <c r="P66" s="2">
        <v>220262.074117</v>
      </c>
      <c r="Q66" s="2">
        <v>498024.14231928</v>
      </c>
      <c r="R66" s="2">
        <v>289818.518575</v>
      </c>
      <c r="S66" s="2">
        <v>324596.740804</v>
      </c>
      <c r="T66" s="2">
        <v>2585181.185689</v>
      </c>
      <c r="U66" s="2">
        <f>M66+P66+Q66+R66+S66+T66</f>
        <v>11547355.162991155</v>
      </c>
      <c r="V66" s="2">
        <f>F66-K66-L66-U66</f>
        <v>-294489.25337579474</v>
      </c>
      <c r="W66" s="2">
        <v>178188.6385729944</v>
      </c>
      <c r="X66" s="2">
        <v>255647.6004170327</v>
      </c>
      <c r="Y66" s="2">
        <f>W66+X66</f>
        <v>433836.23899002705</v>
      </c>
      <c r="Z66" s="2">
        <v>18523204.44129677</v>
      </c>
      <c r="AA66" s="2">
        <v>0</v>
      </c>
      <c r="AB66" s="2">
        <v>0</v>
      </c>
      <c r="AC66" s="2">
        <v>0</v>
      </c>
      <c r="AD66" s="2">
        <v>0</v>
      </c>
      <c r="AE66" s="2">
        <v>1237844.352033831</v>
      </c>
      <c r="AF66" s="2">
        <f>F66-H66-L66-U66-AA66-AC66-AD66</f>
        <v>-1906744.0931580681</v>
      </c>
      <c r="AG66" s="2">
        <f>F66-H66-L66-U66-AA66-AB66-AD66-Y66</f>
        <v>-2340580.332148095</v>
      </c>
      <c r="AH66" s="2">
        <f>AH65+AG66</f>
        <v>78858482.15825444</v>
      </c>
      <c r="AI66" s="2">
        <v>37075312.00594354</v>
      </c>
      <c r="AJ66" s="2">
        <f>AH66-AI66</f>
        <v>41783170.1523109</v>
      </c>
      <c r="AK66" s="3">
        <v>0.25</v>
      </c>
    </row>
    <row r="67" spans="1:37">
      <c r="A67" s="2">
        <v>66</v>
      </c>
      <c r="B67" s="2">
        <v>2032</v>
      </c>
      <c r="C67" s="2">
        <v>62</v>
      </c>
      <c r="D67" s="2">
        <v>405734.333264257</v>
      </c>
      <c r="E67" s="2">
        <v>25155528.66238394</v>
      </c>
      <c r="F67" s="2">
        <f>E67/1.19</f>
        <v>21139099.716289025</v>
      </c>
      <c r="G67" s="2">
        <v>90</v>
      </c>
      <c r="H67" s="2">
        <v>8470291.552126931</v>
      </c>
      <c r="I67" s="2">
        <v>169</v>
      </c>
      <c r="J67" s="2">
        <v>15881364.13067323</v>
      </c>
      <c r="K67" s="2">
        <v>5826299.266874201</v>
      </c>
      <c r="L67" s="2">
        <v>2155130.330108733</v>
      </c>
      <c r="M67" s="2">
        <v>7629472.501486875</v>
      </c>
      <c r="N67" s="3">
        <v>1.5</v>
      </c>
      <c r="O67" s="3">
        <v>2</v>
      </c>
      <c r="P67" s="2">
        <v>220262.074117</v>
      </c>
      <c r="Q67" s="2">
        <v>498024.14231928</v>
      </c>
      <c r="R67" s="2">
        <v>289818.518575</v>
      </c>
      <c r="S67" s="2">
        <v>324596.740804</v>
      </c>
      <c r="T67" s="2">
        <v>2585181.185689</v>
      </c>
      <c r="U67" s="2">
        <f>M67+P67+Q67+R67+S67+T67</f>
        <v>11547355.162991155</v>
      </c>
      <c r="V67" s="2">
        <f>F67-K67-L67-U67</f>
        <v>1610314.9563149363</v>
      </c>
      <c r="W67" s="2">
        <v>175762.8514284141</v>
      </c>
      <c r="X67" s="2">
        <v>258073.387561613</v>
      </c>
      <c r="Y67" s="2">
        <f>W67+X67</f>
        <v>433836.23899002705</v>
      </c>
      <c r="Z67" s="2">
        <v>18265131.05373516</v>
      </c>
      <c r="AA67" s="2">
        <v>0</v>
      </c>
      <c r="AB67" s="2">
        <v>0</v>
      </c>
      <c r="AC67" s="2">
        <v>0</v>
      </c>
      <c r="AD67" s="2">
        <v>353669.8148668089</v>
      </c>
      <c r="AE67" s="2">
        <v>1591514.16690064</v>
      </c>
      <c r="AF67" s="2">
        <f>F67-H67-L67-U67-AA67-AC67-AD67</f>
        <v>-1387347.143804604</v>
      </c>
      <c r="AG67" s="2">
        <f>F67-H67-L67-U67-AA67-AB67-AD67-Y67</f>
        <v>-1821183.382794631</v>
      </c>
      <c r="AH67" s="2">
        <f>AH66+AG67</f>
        <v>77037298.77545981</v>
      </c>
      <c r="AI67" s="2">
        <v>37075312.00594354</v>
      </c>
      <c r="AJ67" s="2">
        <f>AH67-AI67</f>
        <v>39961986.76951627</v>
      </c>
      <c r="AK67" s="3">
        <v>0.25</v>
      </c>
    </row>
    <row r="68" spans="1:37">
      <c r="A68" s="2">
        <v>67</v>
      </c>
      <c r="B68" s="2">
        <v>2032</v>
      </c>
      <c r="C68" s="2">
        <v>71</v>
      </c>
      <c r="D68" s="2">
        <v>405734.333264257</v>
      </c>
      <c r="E68" s="2">
        <v>28807137.66176225</v>
      </c>
      <c r="F68" s="2">
        <f>E68/1.19</f>
        <v>24207678.707363237</v>
      </c>
      <c r="G68" s="2">
        <v>90</v>
      </c>
      <c r="H68" s="2">
        <v>8470291.552126931</v>
      </c>
      <c r="I68" s="2">
        <v>188</v>
      </c>
      <c r="J68" s="2">
        <v>17676105.28326807</v>
      </c>
      <c r="K68" s="2">
        <v>6675550.399532089</v>
      </c>
      <c r="L68" s="2">
        <v>2468251.67070248</v>
      </c>
      <c r="M68" s="2">
        <v>7629472.501486875</v>
      </c>
      <c r="N68" s="3">
        <v>1.5</v>
      </c>
      <c r="O68" s="3">
        <v>2</v>
      </c>
      <c r="P68" s="2">
        <v>220262.074117</v>
      </c>
      <c r="Q68" s="2">
        <v>498024.14231928</v>
      </c>
      <c r="R68" s="2">
        <v>289818.518575</v>
      </c>
      <c r="S68" s="2">
        <v>324596.740804</v>
      </c>
      <c r="T68" s="2">
        <v>2585181.185689</v>
      </c>
      <c r="U68" s="2">
        <f>M68+P68+Q68+R68+S68+T68</f>
        <v>11547355.162991155</v>
      </c>
      <c r="V68" s="2">
        <f>F68-K68-L68-U68</f>
        <v>3516521.474137511</v>
      </c>
      <c r="W68" s="2">
        <v>173314.0464919156</v>
      </c>
      <c r="X68" s="2">
        <v>260522.1924981115</v>
      </c>
      <c r="Y68" s="2">
        <f>W68+X68</f>
        <v>433836.23899002705</v>
      </c>
      <c r="Z68" s="2">
        <v>18004608.86123705</v>
      </c>
      <c r="AA68" s="2">
        <v>0</v>
      </c>
      <c r="AB68" s="2">
        <v>0</v>
      </c>
      <c r="AC68" s="2">
        <v>0</v>
      </c>
      <c r="AD68" s="2">
        <v>0</v>
      </c>
      <c r="AE68" s="2">
        <v>1591514.16690064</v>
      </c>
      <c r="AF68" s="2">
        <f>F68-H68-L68-U68-AA68-AC68-AD68</f>
        <v>1721780.321542671</v>
      </c>
      <c r="AG68" s="2">
        <f>F68-H68-L68-U68-AA68-AB68-AD68-Y68</f>
        <v>1287944.082552644</v>
      </c>
      <c r="AH68" s="2">
        <f>AH67+AG68</f>
        <v>78325242.85801245</v>
      </c>
      <c r="AI68" s="2">
        <v>37075312.00594354</v>
      </c>
      <c r="AJ68" s="2">
        <f>AH68-AI68</f>
        <v>41249930.85206891</v>
      </c>
      <c r="AK68" s="3">
        <v>0.25</v>
      </c>
    </row>
    <row r="69" spans="1:37">
      <c r="A69" s="2">
        <v>68</v>
      </c>
      <c r="B69" s="2">
        <v>2032</v>
      </c>
      <c r="C69" s="2">
        <v>89</v>
      </c>
      <c r="D69" s="2">
        <v>405734.333264257</v>
      </c>
      <c r="E69" s="2">
        <v>36110355.66051888</v>
      </c>
      <c r="F69" s="2">
        <f>E69/1.19</f>
        <v>30344836.689511664</v>
      </c>
      <c r="G69" s="2">
        <v>120</v>
      </c>
      <c r="H69" s="2">
        <v>11293722.06950257</v>
      </c>
      <c r="I69" s="2">
        <v>219</v>
      </c>
      <c r="J69" s="2">
        <v>20598675.94239211</v>
      </c>
      <c r="K69" s="2">
        <v>8371151.41037853</v>
      </c>
      <c r="L69" s="2">
        <v>3094262.251532426</v>
      </c>
      <c r="M69" s="2">
        <v>7629472.501486875</v>
      </c>
      <c r="N69" s="3">
        <v>1.5</v>
      </c>
      <c r="O69" s="3">
        <v>2</v>
      </c>
      <c r="P69" s="2">
        <v>220262.074117</v>
      </c>
      <c r="Q69" s="2">
        <v>498024.14231928</v>
      </c>
      <c r="R69" s="2">
        <v>289818.518575</v>
      </c>
      <c r="S69" s="2">
        <v>324596.740804</v>
      </c>
      <c r="T69" s="2">
        <v>2585181.185689</v>
      </c>
      <c r="U69" s="2">
        <f>M69+P69+Q69+R69+S69+T69</f>
        <v>11547355.162991155</v>
      </c>
      <c r="V69" s="2">
        <f>F69-K69-L69-U69</f>
        <v>7332067.864609551</v>
      </c>
      <c r="W69" s="2">
        <v>170842.0053524374</v>
      </c>
      <c r="X69" s="2">
        <v>262994.2336375896</v>
      </c>
      <c r="Y69" s="2">
        <f>W69+X69</f>
        <v>433836.238990027</v>
      </c>
      <c r="Z69" s="2">
        <v>17741614.62759946</v>
      </c>
      <c r="AA69" s="2">
        <v>0</v>
      </c>
      <c r="AB69" s="2">
        <v>0</v>
      </c>
      <c r="AC69" s="2">
        <v>0</v>
      </c>
      <c r="AD69" s="2">
        <v>530504.7223002128</v>
      </c>
      <c r="AE69" s="2">
        <v>2122018.889200853</v>
      </c>
      <c r="AF69" s="2">
        <f>F69-H69-L69-U69-AA69-AC69-AD69</f>
        <v>3878992.483185297</v>
      </c>
      <c r="AG69" s="2">
        <f>F69-H69-L69-U69-AA69-AB69-AD69-Y69</f>
        <v>3445156.24419527</v>
      </c>
      <c r="AH69" s="2">
        <f>AH68+AG69</f>
        <v>81770399.10220772</v>
      </c>
      <c r="AI69" s="2">
        <v>37075312.00594354</v>
      </c>
      <c r="AJ69" s="2">
        <f>AH69-AI69</f>
        <v>44695087.096264176</v>
      </c>
      <c r="AK69" s="3">
        <v>0.25</v>
      </c>
    </row>
    <row r="70" spans="1:37">
      <c r="A70" s="2">
        <v>69</v>
      </c>
      <c r="B70" s="2">
        <v>2032</v>
      </c>
      <c r="C70" s="2">
        <v>98</v>
      </c>
      <c r="D70" s="2">
        <v>405734.333264257</v>
      </c>
      <c r="E70" s="2">
        <v>39761964.65989719</v>
      </c>
      <c r="F70" s="2">
        <f>E70/1.19</f>
        <v>33413415.680585872</v>
      </c>
      <c r="G70" s="2">
        <v>120</v>
      </c>
      <c r="H70" s="2">
        <v>11293722.06950257</v>
      </c>
      <c r="I70" s="2">
        <v>241</v>
      </c>
      <c r="J70" s="2">
        <v>22672766.72822011</v>
      </c>
      <c r="K70" s="2">
        <v>9219631.28367457</v>
      </c>
      <c r="L70" s="2">
        <v>3407321.891377225</v>
      </c>
      <c r="M70" s="2">
        <v>7629472.501486875</v>
      </c>
      <c r="N70" s="3">
        <v>1.5</v>
      </c>
      <c r="O70" s="3">
        <v>2</v>
      </c>
      <c r="P70" s="2">
        <v>220262.074117</v>
      </c>
      <c r="Q70" s="2">
        <v>498024.14231928</v>
      </c>
      <c r="R70" s="2">
        <v>289818.518575</v>
      </c>
      <c r="S70" s="2">
        <v>324596.740804</v>
      </c>
      <c r="T70" s="2">
        <v>2585181.185689</v>
      </c>
      <c r="U70" s="2">
        <f>M70+P70+Q70+R70+S70+T70</f>
        <v>11547355.162991155</v>
      </c>
      <c r="V70" s="2">
        <f>F70-K70-L70-U70</f>
        <v>9239107.34254292</v>
      </c>
      <c r="W70" s="2">
        <v>168346.5075264609</v>
      </c>
      <c r="X70" s="2">
        <v>265489.7314635661</v>
      </c>
      <c r="Y70" s="2">
        <f>W70+X70</f>
        <v>433836.238990027</v>
      </c>
      <c r="Z70" s="2">
        <v>17476124.89613589</v>
      </c>
      <c r="AA70" s="2">
        <v>0</v>
      </c>
      <c r="AB70" s="2">
        <v>0</v>
      </c>
      <c r="AC70" s="2">
        <v>0</v>
      </c>
      <c r="AD70" s="2">
        <v>0</v>
      </c>
      <c r="AE70" s="2">
        <v>2122018.889200853</v>
      </c>
      <c r="AF70" s="2">
        <f>F70-H70-L70-U70-AA70-AC70-AD70</f>
        <v>7165016.556714918</v>
      </c>
      <c r="AG70" s="2">
        <f>F70-H70-L70-U70-AA70-AB70-AD70-Y70</f>
        <v>6731180.317724891</v>
      </c>
      <c r="AH70" s="2">
        <f>AH69+AG70</f>
        <v>88501579.4199326</v>
      </c>
      <c r="AI70" s="2">
        <v>37075312.00594354</v>
      </c>
      <c r="AJ70" s="2">
        <f>AH70-AI70</f>
        <v>51426267.41398906</v>
      </c>
      <c r="AK70" s="3">
        <v>0.25</v>
      </c>
    </row>
    <row r="71" spans="1:37">
      <c r="A71" s="2">
        <v>70</v>
      </c>
      <c r="B71" s="2">
        <v>2032</v>
      </c>
      <c r="C71" s="2">
        <v>116</v>
      </c>
      <c r="D71" s="2">
        <v>405734.333264257</v>
      </c>
      <c r="E71" s="2">
        <v>47065182.65865382</v>
      </c>
      <c r="F71" s="2">
        <f>E71/1.19</f>
        <v>39550573.6627343</v>
      </c>
      <c r="G71" s="2">
        <v>160</v>
      </c>
      <c r="H71" s="2">
        <v>15058296.0926701</v>
      </c>
      <c r="I71" s="2">
        <v>285</v>
      </c>
      <c r="J71" s="2">
        <v>26816341.40636835</v>
      </c>
      <c r="K71" s="2">
        <v>10914721.41452186</v>
      </c>
      <c r="L71" s="2">
        <v>4033291.601807239</v>
      </c>
      <c r="M71" s="2">
        <v>7629472.501486875</v>
      </c>
      <c r="N71" s="3">
        <v>1.5</v>
      </c>
      <c r="O71" s="3">
        <v>2</v>
      </c>
      <c r="P71" s="2">
        <v>220262.074117</v>
      </c>
      <c r="Q71" s="2">
        <v>498024.14231928</v>
      </c>
      <c r="R71" s="2">
        <v>289818.518575</v>
      </c>
      <c r="S71" s="2">
        <v>324596.740804</v>
      </c>
      <c r="T71" s="2">
        <v>2585181.185689</v>
      </c>
      <c r="U71" s="2">
        <f>M71+P71+Q71+R71+S71+T71</f>
        <v>11547355.162991155</v>
      </c>
      <c r="V71" s="2">
        <f>F71-K71-L71-U71</f>
        <v>13055205.483414046</v>
      </c>
      <c r="W71" s="2">
        <v>165827.3304383451</v>
      </c>
      <c r="X71" s="2">
        <v>268008.9085516819</v>
      </c>
      <c r="Y71" s="2">
        <f>W71+X71</f>
        <v>433836.238990027</v>
      </c>
      <c r="Z71" s="2">
        <v>17208115.98758421</v>
      </c>
      <c r="AA71" s="2">
        <v>0</v>
      </c>
      <c r="AB71" s="2">
        <v>0</v>
      </c>
      <c r="AC71" s="2">
        <v>0</v>
      </c>
      <c r="AD71" s="2">
        <v>707339.6297336179</v>
      </c>
      <c r="AE71" s="2">
        <v>2829358.518934471</v>
      </c>
      <c r="AF71" s="2">
        <f>F71-H71-L71-U71-AA71-AC71-AD71</f>
        <v>8204291.175532188</v>
      </c>
      <c r="AG71" s="2">
        <f>F71-H71-L71-U71-AA71-AB71-AD71-Y71</f>
        <v>7770454.936542161</v>
      </c>
      <c r="AH71" s="2">
        <f>AH70+AG71</f>
        <v>96272034.35647476</v>
      </c>
      <c r="AI71" s="2">
        <v>37075312.00594354</v>
      </c>
      <c r="AJ71" s="2">
        <f>AH71-AI71</f>
        <v>59196722.35053121</v>
      </c>
      <c r="AK71" s="3">
        <v>0.25</v>
      </c>
    </row>
    <row r="72" spans="1:37">
      <c r="A72" s="2">
        <v>71</v>
      </c>
      <c r="B72" s="2">
        <v>2032</v>
      </c>
      <c r="C72" s="2">
        <v>125</v>
      </c>
      <c r="D72" s="2">
        <v>405734.333264257</v>
      </c>
      <c r="E72" s="2">
        <v>50716791.65803213</v>
      </c>
      <c r="F72" s="2">
        <f>E72/1.19</f>
        <v>42619152.65380851</v>
      </c>
      <c r="G72" s="2">
        <v>20</v>
      </c>
      <c r="H72" s="2">
        <v>1882287.011583762</v>
      </c>
      <c r="I72" s="2">
        <v>180</v>
      </c>
      <c r="J72" s="2">
        <v>16936895.45977502</v>
      </c>
      <c r="K72" s="2">
        <v>11761732.9581771</v>
      </c>
      <c r="L72" s="2">
        <v>4346233.775280774</v>
      </c>
      <c r="M72" s="2">
        <v>7629472.501486875</v>
      </c>
      <c r="N72" s="3">
        <v>1.5</v>
      </c>
      <c r="O72" s="3">
        <v>2</v>
      </c>
      <c r="P72" s="2">
        <v>220262.074117</v>
      </c>
      <c r="Q72" s="2">
        <v>498024.14231928</v>
      </c>
      <c r="R72" s="2">
        <v>289818.518575</v>
      </c>
      <c r="S72" s="2">
        <v>324596.740804</v>
      </c>
      <c r="T72" s="2">
        <v>2585181.185689</v>
      </c>
      <c r="U72" s="2">
        <f>M72+P72+Q72+R72+S72+T72</f>
        <v>11547355.162991155</v>
      </c>
      <c r="V72" s="2">
        <f>F72-K72-L72-U72</f>
        <v>14963830.757359486</v>
      </c>
      <c r="W72" s="2">
        <v>163284.2494004746</v>
      </c>
      <c r="X72" s="2">
        <v>270551.9895895525</v>
      </c>
      <c r="Y72" s="2">
        <f>W72+X72</f>
        <v>433836.23899002705</v>
      </c>
      <c r="Z72" s="2">
        <v>16937563.99799466</v>
      </c>
      <c r="AA72" s="2">
        <v>0</v>
      </c>
      <c r="AB72" s="2">
        <v>0</v>
      </c>
      <c r="AC72" s="2">
        <v>0</v>
      </c>
      <c r="AD72" s="2">
        <v>-2475688.704067662</v>
      </c>
      <c r="AE72" s="2">
        <v>353669.8148668088</v>
      </c>
      <c r="AF72" s="2">
        <f>F72-H72-L72-U72-AA72-AC72-AD72</f>
        <v>27318965.408020485</v>
      </c>
      <c r="AG72" s="2">
        <f>F72-H72-L72-U72-AA72-AB72-AD72-Y72</f>
        <v>26885129.169030458</v>
      </c>
      <c r="AH72" s="2">
        <f>AH71+AG72</f>
        <v>123157163.52550521</v>
      </c>
      <c r="AI72" s="2">
        <v>37075312.00594354</v>
      </c>
      <c r="AJ72" s="2">
        <f>AH72-AI72</f>
        <v>86081851.51956168</v>
      </c>
      <c r="AK72" s="3">
        <v>0.25</v>
      </c>
    </row>
    <row r="73" spans="1:37">
      <c r="A73" s="2">
        <v>72</v>
      </c>
      <c r="B73" s="2">
        <v>2032</v>
      </c>
      <c r="C73" s="2">
        <v>152</v>
      </c>
      <c r="D73" s="2">
        <v>405734.333264257</v>
      </c>
      <c r="E73" s="2">
        <v>61671618.65616707</v>
      </c>
      <c r="F73" s="2">
        <f>E73/1.19</f>
        <v>51824889.627031155</v>
      </c>
      <c r="G73" s="2">
        <v>20</v>
      </c>
      <c r="H73" s="2">
        <v>1882287.011583762</v>
      </c>
      <c r="I73" s="2">
        <v>48</v>
      </c>
      <c r="J73" s="2">
        <v>4516603.793126104</v>
      </c>
      <c r="K73" s="2">
        <v>14302578.67823268</v>
      </c>
      <c r="L73" s="2">
        <v>5285045.182828568</v>
      </c>
      <c r="M73" s="2">
        <v>7629472.501486875</v>
      </c>
      <c r="N73" s="3">
        <v>1.5</v>
      </c>
      <c r="O73" s="3">
        <v>2</v>
      </c>
      <c r="P73" s="2">
        <v>220262.074117</v>
      </c>
      <c r="Q73" s="2">
        <v>498024.14231928</v>
      </c>
      <c r="R73" s="2">
        <v>289818.518575</v>
      </c>
      <c r="S73" s="2">
        <v>324596.740804</v>
      </c>
      <c r="T73" s="2">
        <v>2585181.185689</v>
      </c>
      <c r="U73" s="2">
        <f>M73+P73+Q73+R73+S73+T73</f>
        <v>11547355.162991155</v>
      </c>
      <c r="V73" s="2">
        <f>F73-K73-L73-U73</f>
        <v>20689910.602978755</v>
      </c>
      <c r="W73" s="2">
        <v>160717.0375932199</v>
      </c>
      <c r="X73" s="2">
        <v>273119.2013968072</v>
      </c>
      <c r="Y73" s="2">
        <f>W73+X73</f>
        <v>433836.2389900271</v>
      </c>
      <c r="Z73" s="2">
        <v>16664444.79659785</v>
      </c>
      <c r="AA73" s="2">
        <v>0</v>
      </c>
      <c r="AB73" s="2">
        <v>12175543.81627368</v>
      </c>
      <c r="AC73" s="2">
        <v>12698754.38293942</v>
      </c>
      <c r="AD73" s="2">
        <v>0</v>
      </c>
      <c r="AE73" s="2">
        <v>353669.8148668088</v>
      </c>
      <c r="AF73" s="2">
        <f>F73-H73-L73-U73-AA73-AC73-AD73</f>
        <v>20411447.886688247</v>
      </c>
      <c r="AG73" s="2">
        <f>F73-H73-L73-U73-AA73-AB73-AD73-Y73</f>
        <v>20500822.214363962</v>
      </c>
      <c r="AH73" s="2">
        <f>AH72+AG73</f>
        <v>143657985.73986918</v>
      </c>
      <c r="AI73" s="2">
        <v>37075312.00594354</v>
      </c>
      <c r="AJ73" s="2">
        <f>AH73-AI73</f>
        <v>106582673.73392564</v>
      </c>
      <c r="AK73" s="3">
        <v>0.25</v>
      </c>
    </row>
    <row r="74" spans="1:37">
      <c r="A74" s="2">
        <v>73</v>
      </c>
      <c r="B74" s="2">
        <v>2033</v>
      </c>
      <c r="C74" s="2">
        <v>19</v>
      </c>
      <c r="D74" s="2">
        <v>417906.3632621848</v>
      </c>
      <c r="E74" s="2">
        <v>7940220.90198151</v>
      </c>
      <c r="F74" s="2">
        <f>E74/1.19</f>
        <v>6672454.539480261</v>
      </c>
      <c r="G74" s="2">
        <v>40</v>
      </c>
      <c r="H74" s="2">
        <v>3877511.24386255</v>
      </c>
      <c r="I74" s="2">
        <v>69</v>
      </c>
      <c r="J74" s="2">
        <v>6581749.290366104</v>
      </c>
      <c r="K74" s="2">
        <v>1812365.746622551</v>
      </c>
      <c r="L74" s="2">
        <v>678122.2666331856</v>
      </c>
      <c r="M74" s="2">
        <v>7858356.676531482</v>
      </c>
      <c r="N74" s="3">
        <v>1.5</v>
      </c>
      <c r="O74" s="3">
        <v>2</v>
      </c>
      <c r="P74" s="2">
        <v>226869.93634051</v>
      </c>
      <c r="Q74" s="2">
        <v>580369.1187279205</v>
      </c>
      <c r="R74" s="2">
        <v>298513.07413225</v>
      </c>
      <c r="S74" s="2">
        <v>334334.64302812</v>
      </c>
      <c r="T74" s="2">
        <v>2797067.504619183</v>
      </c>
      <c r="U74" s="2">
        <f>M74+P74+Q74+R74+S74+T74</f>
        <v>12095510.953379465</v>
      </c>
      <c r="V74" s="2">
        <f>F74-K74-L74-U74</f>
        <v>-7913544.427154941</v>
      </c>
      <c r="W74" s="2">
        <v>158125.4660447069</v>
      </c>
      <c r="X74" s="2">
        <v>275710.7729453202</v>
      </c>
      <c r="Y74" s="2">
        <f>W74+X74</f>
        <v>433836.23899002705</v>
      </c>
      <c r="Z74" s="2">
        <v>16388734.02365253</v>
      </c>
      <c r="AA74" s="2">
        <v>1791078.4447935</v>
      </c>
      <c r="AB74" s="2">
        <v>0</v>
      </c>
      <c r="AC74" s="2">
        <v>0</v>
      </c>
      <c r="AD74" s="2">
        <v>374890.0037588174</v>
      </c>
      <c r="AE74" s="2">
        <v>728559.8186256263</v>
      </c>
      <c r="AF74" s="2">
        <f>F74-H74-L74-U74-AA74-AC74-AD74</f>
        <v>-12144658.372947259</v>
      </c>
      <c r="AG74" s="2">
        <f>F74-H74-L74-U74-AA74-AB74-AD74-Y74</f>
        <v>-12578494.611937286</v>
      </c>
      <c r="AH74" s="2">
        <f>AH73+AG74</f>
        <v>131079491.1279319</v>
      </c>
      <c r="AI74" s="2">
        <v>38719779.37710848</v>
      </c>
      <c r="AJ74" s="2">
        <f>AH74-AI74</f>
        <v>92359711.75082341</v>
      </c>
      <c r="AK74" s="3">
        <v>0.25</v>
      </c>
    </row>
    <row r="75" spans="1:37">
      <c r="A75" s="2">
        <v>74</v>
      </c>
      <c r="B75" s="2">
        <v>2033</v>
      </c>
      <c r="C75" s="2">
        <v>28</v>
      </c>
      <c r="D75" s="2">
        <v>417906.3632621848</v>
      </c>
      <c r="E75" s="2">
        <v>11701378.17134117</v>
      </c>
      <c r="F75" s="2">
        <f>E75/1.19</f>
        <v>9833090.9002867</v>
      </c>
      <c r="G75" s="2">
        <v>50</v>
      </c>
      <c r="H75" s="2">
        <v>4846889.054828188</v>
      </c>
      <c r="I75" s="2">
        <v>91</v>
      </c>
      <c r="J75" s="2">
        <v>8739546.969854459</v>
      </c>
      <c r="K75" s="2">
        <v>2689091.375339833</v>
      </c>
      <c r="L75" s="2">
        <v>1000797.004411117</v>
      </c>
      <c r="M75" s="2">
        <v>7858356.676531482</v>
      </c>
      <c r="N75" s="3">
        <v>1.5</v>
      </c>
      <c r="O75" s="3">
        <v>2</v>
      </c>
      <c r="P75" s="2">
        <v>226869.93634051</v>
      </c>
      <c r="Q75" s="2">
        <v>580369.1187279205</v>
      </c>
      <c r="R75" s="2">
        <v>298513.07413225</v>
      </c>
      <c r="S75" s="2">
        <v>334334.64302812</v>
      </c>
      <c r="T75" s="2">
        <v>2797067.504619183</v>
      </c>
      <c r="U75" s="2">
        <f>M75+P75+Q75+R75+S75+T75</f>
        <v>12095510.953379465</v>
      </c>
      <c r="V75" s="2">
        <f>F75-K75-L75-U75</f>
        <v>-5952308.432843715</v>
      </c>
      <c r="W75" s="2">
        <v>155509.3036103949</v>
      </c>
      <c r="X75" s="2">
        <v>278326.9353796322</v>
      </c>
      <c r="Y75" s="2">
        <f>W75+X75</f>
        <v>433836.23899002705</v>
      </c>
      <c r="Z75" s="2">
        <v>16110407.0882729</v>
      </c>
      <c r="AA75" s="2">
        <v>0</v>
      </c>
      <c r="AB75" s="2">
        <v>0</v>
      </c>
      <c r="AC75" s="2">
        <v>0</v>
      </c>
      <c r="AD75" s="2">
        <v>182139.9546564067</v>
      </c>
      <c r="AE75" s="2">
        <v>910699.7732820329</v>
      </c>
      <c r="AF75" s="2">
        <f>F75-H75-L75-U75-AA75-AC75-AD75</f>
        <v>-8292246.066988477</v>
      </c>
      <c r="AG75" s="2">
        <f>F75-H75-L75-U75-AA75-AB75-AD75-Y75</f>
        <v>-8726082.305978503</v>
      </c>
      <c r="AH75" s="2">
        <f>AH74+AG75</f>
        <v>122353408.82195339</v>
      </c>
      <c r="AI75" s="2">
        <v>38719779.37710848</v>
      </c>
      <c r="AJ75" s="2">
        <f>AH75-AI75</f>
        <v>83633629.4448449</v>
      </c>
      <c r="AK75" s="3">
        <v>0.25</v>
      </c>
    </row>
    <row r="76" spans="1:37">
      <c r="A76" s="2">
        <v>75</v>
      </c>
      <c r="B76" s="2">
        <v>2033</v>
      </c>
      <c r="C76" s="2">
        <v>37</v>
      </c>
      <c r="D76" s="2">
        <v>417906.3632621848</v>
      </c>
      <c r="E76" s="2">
        <v>15462535.44070084</v>
      </c>
      <c r="F76" s="2">
        <f>E76/1.19</f>
        <v>12993727.26109314</v>
      </c>
      <c r="G76" s="2">
        <v>50</v>
      </c>
      <c r="H76" s="2">
        <v>4846889.054828188</v>
      </c>
      <c r="I76" s="2">
        <v>104</v>
      </c>
      <c r="J76" s="2">
        <v>10021201.03948224</v>
      </c>
      <c r="K76" s="2">
        <v>3565234.985200411</v>
      </c>
      <c r="L76" s="2">
        <v>1323425.180680513</v>
      </c>
      <c r="M76" s="2">
        <v>7858356.676531482</v>
      </c>
      <c r="N76" s="3">
        <v>1.5</v>
      </c>
      <c r="O76" s="3">
        <v>2</v>
      </c>
      <c r="P76" s="2">
        <v>226869.93634051</v>
      </c>
      <c r="Q76" s="2">
        <v>580369.1187279205</v>
      </c>
      <c r="R76" s="2">
        <v>298513.07413225</v>
      </c>
      <c r="S76" s="2">
        <v>334334.64302812</v>
      </c>
      <c r="T76" s="2">
        <v>2797067.504619183</v>
      </c>
      <c r="U76" s="2">
        <f>M76+P76+Q76+R76+S76+T76</f>
        <v>12095510.953379465</v>
      </c>
      <c r="V76" s="2">
        <f>F76-K76-L76-U76</f>
        <v>-3990443.858167249</v>
      </c>
      <c r="W76" s="2">
        <v>152868.3169524605</v>
      </c>
      <c r="X76" s="2">
        <v>280967.9220375665</v>
      </c>
      <c r="Y76" s="2">
        <f>W76+X76</f>
        <v>433836.238990027</v>
      </c>
      <c r="Z76" s="2">
        <v>15829439.16623533</v>
      </c>
      <c r="AA76" s="2">
        <v>0</v>
      </c>
      <c r="AB76" s="2">
        <v>0</v>
      </c>
      <c r="AC76" s="2">
        <v>0</v>
      </c>
      <c r="AD76" s="2">
        <v>0</v>
      </c>
      <c r="AE76" s="2">
        <v>910699.7732820329</v>
      </c>
      <c r="AF76" s="2">
        <f>F76-H76-L76-U76-AA76-AC76-AD76</f>
        <v>-5272097.927795026</v>
      </c>
      <c r="AG76" s="2">
        <f>F76-H76-L76-U76-AA76-AB76-AD76-Y76</f>
        <v>-5705934.166785054</v>
      </c>
      <c r="AH76" s="2">
        <f>AH75+AG76</f>
        <v>116647474.65516832</v>
      </c>
      <c r="AI76" s="2">
        <v>38719779.37710848</v>
      </c>
      <c r="AJ76" s="2">
        <f>AH76-AI76</f>
        <v>77927695.27805984</v>
      </c>
      <c r="AK76" s="3">
        <v>0.25</v>
      </c>
    </row>
    <row r="77" spans="1:37">
      <c r="A77" s="2">
        <v>76</v>
      </c>
      <c r="B77" s="2">
        <v>2033</v>
      </c>
      <c r="C77" s="2">
        <v>47</v>
      </c>
      <c r="D77" s="2">
        <v>417906.3632621848</v>
      </c>
      <c r="E77" s="2">
        <v>19641599.07332268</v>
      </c>
      <c r="F77" s="2">
        <f>E77/1.19</f>
        <v>16505545.439766962</v>
      </c>
      <c r="G77" s="2">
        <v>70</v>
      </c>
      <c r="H77" s="2">
        <v>6785644.676759463</v>
      </c>
      <c r="I77" s="2">
        <v>127</v>
      </c>
      <c r="J77" s="2">
        <v>12267065.55150975</v>
      </c>
      <c r="K77" s="2">
        <v>4539780.164731953</v>
      </c>
      <c r="L77" s="2">
        <v>1681985.114465869</v>
      </c>
      <c r="M77" s="2">
        <v>7858356.676531482</v>
      </c>
      <c r="N77" s="3">
        <v>1.5</v>
      </c>
      <c r="O77" s="3">
        <v>2</v>
      </c>
      <c r="P77" s="2">
        <v>226869.93634051</v>
      </c>
      <c r="Q77" s="2">
        <v>580369.1187279205</v>
      </c>
      <c r="R77" s="2">
        <v>298513.07413225</v>
      </c>
      <c r="S77" s="2">
        <v>334334.64302812</v>
      </c>
      <c r="T77" s="2">
        <v>2797067.504619183</v>
      </c>
      <c r="U77" s="2">
        <f>M77+P77+Q77+R77+S77+T77</f>
        <v>12095510.953379465</v>
      </c>
      <c r="V77" s="2">
        <f>F77-K77-L77-U77</f>
        <v>-1811730.7928103246</v>
      </c>
      <c r="W77" s="2">
        <v>150202.270518986</v>
      </c>
      <c r="X77" s="2">
        <v>283633.9684710411</v>
      </c>
      <c r="Y77" s="2">
        <f>W77+X77</f>
        <v>433836.238990027</v>
      </c>
      <c r="Z77" s="2">
        <v>15545805.19776429</v>
      </c>
      <c r="AA77" s="2">
        <v>0</v>
      </c>
      <c r="AB77" s="2">
        <v>0</v>
      </c>
      <c r="AC77" s="2">
        <v>0</v>
      </c>
      <c r="AD77" s="2">
        <v>364279.9093128131</v>
      </c>
      <c r="AE77" s="2">
        <v>1274979.682594846</v>
      </c>
      <c r="AF77" s="2">
        <f>F77-H77-L77-U77-AA77-AC77-AD77</f>
        <v>-4421875.214150647</v>
      </c>
      <c r="AG77" s="2">
        <f>F77-H77-L77-U77-AA77-AB77-AD77-Y77</f>
        <v>-4855711.453140674</v>
      </c>
      <c r="AH77" s="2">
        <f>AH76+AG77</f>
        <v>111791763.20202765</v>
      </c>
      <c r="AI77" s="2">
        <v>38719779.37710848</v>
      </c>
      <c r="AJ77" s="2">
        <f>AH77-AI77</f>
        <v>73071983.82491916</v>
      </c>
      <c r="AK77" s="3">
        <v>0.25</v>
      </c>
    </row>
    <row r="78" spans="1:37">
      <c r="A78" s="2">
        <v>77</v>
      </c>
      <c r="B78" s="2">
        <v>2033</v>
      </c>
      <c r="C78" s="2">
        <v>56</v>
      </c>
      <c r="D78" s="2">
        <v>417906.3632621848</v>
      </c>
      <c r="E78" s="2">
        <v>23402756.34268235</v>
      </c>
      <c r="F78" s="2">
        <f>E78/1.19</f>
        <v>19666181.8005734</v>
      </c>
      <c r="G78" s="2">
        <v>70</v>
      </c>
      <c r="H78" s="2">
        <v>6785644.676759463</v>
      </c>
      <c r="I78" s="2">
        <v>141</v>
      </c>
      <c r="J78" s="2">
        <v>13636711.38165461</v>
      </c>
      <c r="K78" s="2">
        <v>5415998.846614597</v>
      </c>
      <c r="L78" s="2">
        <v>2004619.296497029</v>
      </c>
      <c r="M78" s="2">
        <v>7858356.676531482</v>
      </c>
      <c r="N78" s="3">
        <v>1.5</v>
      </c>
      <c r="O78" s="3">
        <v>2</v>
      </c>
      <c r="P78" s="2">
        <v>226869.93634051</v>
      </c>
      <c r="Q78" s="2">
        <v>580369.1187279205</v>
      </c>
      <c r="R78" s="2">
        <v>298513.07413225</v>
      </c>
      <c r="S78" s="2">
        <v>334334.64302812</v>
      </c>
      <c r="T78" s="2">
        <v>2797067.504619183</v>
      </c>
      <c r="U78" s="2">
        <f>M78+P78+Q78+R78+S78+T78</f>
        <v>12095510.953379465</v>
      </c>
      <c r="V78" s="2">
        <f>F78-K78-L78-U78</f>
        <v>150052.70408230834</v>
      </c>
      <c r="W78" s="2">
        <v>147510.9265229502</v>
      </c>
      <c r="X78" s="2">
        <v>286325.3124670769</v>
      </c>
      <c r="Y78" s="2">
        <f>W78+X78</f>
        <v>433836.23899002705</v>
      </c>
      <c r="Z78" s="2">
        <v>15259479.88529721</v>
      </c>
      <c r="AA78" s="2">
        <v>0</v>
      </c>
      <c r="AB78" s="2">
        <v>0</v>
      </c>
      <c r="AC78" s="2">
        <v>0</v>
      </c>
      <c r="AD78" s="2">
        <v>0</v>
      </c>
      <c r="AE78" s="2">
        <v>1274979.682594846</v>
      </c>
      <c r="AF78" s="2">
        <f>F78-H78-L78-U78-AA78-AC78-AD78</f>
        <v>-1219593.1260625552</v>
      </c>
      <c r="AG78" s="2">
        <f>F78-H78-L78-U78-AA78-AB78-AD78-Y78</f>
        <v>-1653429.3650525822</v>
      </c>
      <c r="AH78" s="2">
        <f>AH77+AG78</f>
        <v>110138333.83697507</v>
      </c>
      <c r="AI78" s="2">
        <v>38719779.37710848</v>
      </c>
      <c r="AJ78" s="2">
        <f>AH78-AI78</f>
        <v>71418554.45986658</v>
      </c>
      <c r="AK78" s="3">
        <v>0.25</v>
      </c>
    </row>
    <row r="79" spans="1:37">
      <c r="A79" s="2">
        <v>78</v>
      </c>
      <c r="B79" s="2">
        <v>2033</v>
      </c>
      <c r="C79" s="2">
        <v>66</v>
      </c>
      <c r="D79" s="2">
        <v>417906.3632621848</v>
      </c>
      <c r="E79" s="2">
        <v>27581819.97530419</v>
      </c>
      <c r="F79" s="2">
        <f>E79/1.19</f>
        <v>23177999.979247224</v>
      </c>
      <c r="G79" s="2">
        <v>100</v>
      </c>
      <c r="H79" s="2">
        <v>9693778.109656377</v>
      </c>
      <c r="I79" s="2">
        <v>175</v>
      </c>
      <c r="J79" s="2">
        <v>16941226.80904325</v>
      </c>
      <c r="K79" s="2">
        <v>6389262.682267739</v>
      </c>
      <c r="L79" s="2">
        <v>2363076.722772113</v>
      </c>
      <c r="M79" s="2">
        <v>7858356.676531482</v>
      </c>
      <c r="N79" s="3">
        <v>1.5</v>
      </c>
      <c r="O79" s="3">
        <v>2</v>
      </c>
      <c r="P79" s="2">
        <v>226869.93634051</v>
      </c>
      <c r="Q79" s="2">
        <v>580369.1187279205</v>
      </c>
      <c r="R79" s="2">
        <v>298513.07413225</v>
      </c>
      <c r="S79" s="2">
        <v>334334.64302812</v>
      </c>
      <c r="T79" s="2">
        <v>2797067.504619183</v>
      </c>
      <c r="U79" s="2">
        <f>M79+P79+Q79+R79+S79+T79</f>
        <v>12095510.953379465</v>
      </c>
      <c r="V79" s="2">
        <f>F79-K79-L79-U79</f>
        <v>2330149.620827904</v>
      </c>
      <c r="W79" s="2">
        <v>144794.0449210203</v>
      </c>
      <c r="X79" s="2">
        <v>289042.1940690067</v>
      </c>
      <c r="Y79" s="2">
        <f>W79+X79</f>
        <v>433836.238990027</v>
      </c>
      <c r="Z79" s="2">
        <v>14970437.69122821</v>
      </c>
      <c r="AA79" s="2">
        <v>0</v>
      </c>
      <c r="AB79" s="2">
        <v>0</v>
      </c>
      <c r="AC79" s="2">
        <v>0</v>
      </c>
      <c r="AD79" s="2">
        <v>546419.8639692198</v>
      </c>
      <c r="AE79" s="2">
        <v>1821399.546564066</v>
      </c>
      <c r="AF79" s="2">
        <f>F79-H79-L79-U79-AA79-AC79-AD79</f>
        <v>-1520785.6705299504</v>
      </c>
      <c r="AG79" s="2">
        <f>F79-H79-L79-U79-AA79-AB79-AD79-Y79</f>
        <v>-1954621.9095199774</v>
      </c>
      <c r="AH79" s="2">
        <f>AH78+AG79</f>
        <v>108183711.9274551</v>
      </c>
      <c r="AI79" s="2">
        <v>38719779.37710848</v>
      </c>
      <c r="AJ79" s="2">
        <f>AH79-AI79</f>
        <v>69463932.55034661</v>
      </c>
      <c r="AK79" s="3">
        <v>0.25</v>
      </c>
    </row>
    <row r="80" spans="1:37">
      <c r="A80" s="2">
        <v>79</v>
      </c>
      <c r="B80" s="2">
        <v>2033</v>
      </c>
      <c r="C80" s="2">
        <v>75</v>
      </c>
      <c r="D80" s="2">
        <v>417906.3632621848</v>
      </c>
      <c r="E80" s="2">
        <v>31342977.24466386</v>
      </c>
      <c r="F80" s="2">
        <f>E80/1.19</f>
        <v>26338636.340053663</v>
      </c>
      <c r="G80" s="2">
        <v>100</v>
      </c>
      <c r="H80" s="2">
        <v>9693778.109656377</v>
      </c>
      <c r="I80" s="2">
        <v>200</v>
      </c>
      <c r="J80" s="2">
        <v>19370912.66814518</v>
      </c>
      <c r="K80" s="2">
        <v>7264092.250554442</v>
      </c>
      <c r="L80" s="2">
        <v>2685599.775715598</v>
      </c>
      <c r="M80" s="2">
        <v>7858356.676531482</v>
      </c>
      <c r="N80" s="3">
        <v>1.5</v>
      </c>
      <c r="O80" s="3">
        <v>2</v>
      </c>
      <c r="P80" s="2">
        <v>226869.93634051</v>
      </c>
      <c r="Q80" s="2">
        <v>580369.1187279205</v>
      </c>
      <c r="R80" s="2">
        <v>298513.07413225</v>
      </c>
      <c r="S80" s="2">
        <v>334334.64302812</v>
      </c>
      <c r="T80" s="2">
        <v>2797067.504619183</v>
      </c>
      <c r="U80" s="2">
        <f>M80+P80+Q80+R80+S80+T80</f>
        <v>12095510.953379465</v>
      </c>
      <c r="V80" s="2">
        <f>F80-K80-L80-U80</f>
        <v>4293433.360404156</v>
      </c>
      <c r="W80" s="2">
        <v>142051.3833921419</v>
      </c>
      <c r="X80" s="2">
        <v>291784.8555978851</v>
      </c>
      <c r="Y80" s="2">
        <f>W80+X80</f>
        <v>433836.238990027</v>
      </c>
      <c r="Z80" s="2">
        <v>14678652.83563032</v>
      </c>
      <c r="AA80" s="2">
        <v>0</v>
      </c>
      <c r="AB80" s="2">
        <v>0</v>
      </c>
      <c r="AC80" s="2">
        <v>0</v>
      </c>
      <c r="AD80" s="2">
        <v>0</v>
      </c>
      <c r="AE80" s="2">
        <v>1821399.546564066</v>
      </c>
      <c r="AF80" s="2">
        <f>F80-H80-L80-U80-AA80-AC80-AD80</f>
        <v>1863747.5013022218</v>
      </c>
      <c r="AG80" s="2">
        <f>F80-H80-L80-U80-AA80-AB80-AD80-Y80</f>
        <v>1429911.2623121948</v>
      </c>
      <c r="AH80" s="2">
        <f>AH79+AG80</f>
        <v>109613623.18976729</v>
      </c>
      <c r="AI80" s="2">
        <v>38719779.37710848</v>
      </c>
      <c r="AJ80" s="2">
        <f>AH80-AI80</f>
        <v>70893843.81265882</v>
      </c>
      <c r="AK80" s="3">
        <v>0.25</v>
      </c>
    </row>
    <row r="81" spans="1:37">
      <c r="A81" s="2">
        <v>80</v>
      </c>
      <c r="B81" s="2">
        <v>2033</v>
      </c>
      <c r="C81" s="2">
        <v>94</v>
      </c>
      <c r="D81" s="2">
        <v>417906.3632621848</v>
      </c>
      <c r="E81" s="2">
        <v>39283198.14664537</v>
      </c>
      <c r="F81" s="2">
        <f>E81/1.19</f>
        <v>33011090.879533924</v>
      </c>
      <c r="G81" s="2">
        <v>120</v>
      </c>
      <c r="H81" s="2">
        <v>11632533.73158765</v>
      </c>
      <c r="I81" s="2">
        <v>226</v>
      </c>
      <c r="J81" s="2">
        <v>21896184.01981131</v>
      </c>
      <c r="K81" s="2">
        <v>9107262.37992152</v>
      </c>
      <c r="L81" s="2">
        <v>3366186.392968346</v>
      </c>
      <c r="M81" s="2">
        <v>7858356.676531482</v>
      </c>
      <c r="N81" s="3">
        <v>1.5</v>
      </c>
      <c r="O81" s="3">
        <v>2</v>
      </c>
      <c r="P81" s="2">
        <v>226869.93634051</v>
      </c>
      <c r="Q81" s="2">
        <v>580369.1187279205</v>
      </c>
      <c r="R81" s="2">
        <v>298513.07413225</v>
      </c>
      <c r="S81" s="2">
        <v>334334.64302812</v>
      </c>
      <c r="T81" s="2">
        <v>2797067.504619183</v>
      </c>
      <c r="U81" s="2">
        <f>M81+P81+Q81+R81+S81+T81</f>
        <v>12095510.953379465</v>
      </c>
      <c r="V81" s="2">
        <f>F81-K81-L81-U81</f>
        <v>8442131.153264595</v>
      </c>
      <c r="W81" s="2">
        <v>139282.6973159264</v>
      </c>
      <c r="X81" s="2">
        <v>294553.5416741007</v>
      </c>
      <c r="Y81" s="2">
        <f>W81+X81</f>
        <v>433836.23899002705</v>
      </c>
      <c r="Z81" s="2">
        <v>14384099.29395622</v>
      </c>
      <c r="AA81" s="2">
        <v>0</v>
      </c>
      <c r="AB81" s="2">
        <v>0</v>
      </c>
      <c r="AC81" s="2">
        <v>0</v>
      </c>
      <c r="AD81" s="2">
        <v>364279.9093128131</v>
      </c>
      <c r="AE81" s="2">
        <v>2185679.455876879</v>
      </c>
      <c r="AF81" s="2">
        <f>F81-H81-L81-U81-AA81-AC81-AD81</f>
        <v>5552579.892285649</v>
      </c>
      <c r="AG81" s="2">
        <f>F81-H81-L81-U81-AA81-AB81-AD81-Y81</f>
        <v>5118743.653295621</v>
      </c>
      <c r="AH81" s="2">
        <f>AH80+AG81</f>
        <v>114732366.84306291</v>
      </c>
      <c r="AI81" s="2">
        <v>38719779.37710848</v>
      </c>
      <c r="AJ81" s="2">
        <f>AH81-AI81</f>
        <v>76012587.46595442</v>
      </c>
      <c r="AK81" s="3">
        <v>0.25</v>
      </c>
    </row>
    <row r="82" spans="1:37">
      <c r="A82" s="2">
        <v>81</v>
      </c>
      <c r="B82" s="2">
        <v>2033</v>
      </c>
      <c r="C82" s="2">
        <v>103</v>
      </c>
      <c r="D82" s="2">
        <v>417906.3632621848</v>
      </c>
      <c r="E82" s="2">
        <v>43044355.41600503</v>
      </c>
      <c r="F82" s="2">
        <f>E82/1.19</f>
        <v>36171727.24034036</v>
      </c>
      <c r="G82" s="2">
        <v>130</v>
      </c>
      <c r="H82" s="2">
        <v>12601911.54255329</v>
      </c>
      <c r="I82" s="2">
        <v>253</v>
      </c>
      <c r="J82" s="2">
        <v>24516904.99235462</v>
      </c>
      <c r="K82" s="2">
        <v>9981190.570009984</v>
      </c>
      <c r="L82" s="2">
        <v>3688637.335655972</v>
      </c>
      <c r="M82" s="2">
        <v>7858356.676531482</v>
      </c>
      <c r="N82" s="3">
        <v>1.5</v>
      </c>
      <c r="O82" s="3">
        <v>2</v>
      </c>
      <c r="P82" s="2">
        <v>226869.93634051</v>
      </c>
      <c r="Q82" s="2">
        <v>580369.1187279205</v>
      </c>
      <c r="R82" s="2">
        <v>298513.07413225</v>
      </c>
      <c r="S82" s="2">
        <v>334334.64302812</v>
      </c>
      <c r="T82" s="2">
        <v>2797067.504619183</v>
      </c>
      <c r="U82" s="2">
        <f>M82+P82+Q82+R82+S82+T82</f>
        <v>12095510.953379465</v>
      </c>
      <c r="V82" s="2">
        <f>F82-K82-L82-U82</f>
        <v>10406388.381294938</v>
      </c>
      <c r="W82" s="2">
        <v>136487.7397508328</v>
      </c>
      <c r="X82" s="2">
        <v>297348.4992391943</v>
      </c>
      <c r="Y82" s="2">
        <f>W82+X82</f>
        <v>433836.2389900271</v>
      </c>
      <c r="Z82" s="2">
        <v>14086750.79471703</v>
      </c>
      <c r="AA82" s="2">
        <v>0</v>
      </c>
      <c r="AB82" s="2">
        <v>0</v>
      </c>
      <c r="AC82" s="2">
        <v>0</v>
      </c>
      <c r="AD82" s="2">
        <v>182139.9546564063</v>
      </c>
      <c r="AE82" s="2">
        <v>2367819.410533285</v>
      </c>
      <c r="AF82" s="2">
        <f>F82-H82-L82-U82-AA82-AC82-AD82</f>
        <v>7603527.454095225</v>
      </c>
      <c r="AG82" s="2">
        <f>F82-H82-L82-U82-AA82-AB82-AD82-Y82</f>
        <v>7169691.215105197</v>
      </c>
      <c r="AH82" s="2">
        <f>AH81+AG82</f>
        <v>121902058.0581681</v>
      </c>
      <c r="AI82" s="2">
        <v>38719779.37710848</v>
      </c>
      <c r="AJ82" s="2">
        <f>AH82-AI82</f>
        <v>83182278.68105963</v>
      </c>
      <c r="AK82" s="3">
        <v>0.25</v>
      </c>
    </row>
    <row r="83" spans="1:37">
      <c r="A83" s="2">
        <v>82</v>
      </c>
      <c r="B83" s="2">
        <v>2033</v>
      </c>
      <c r="C83" s="2">
        <v>122</v>
      </c>
      <c r="D83" s="2">
        <v>417906.3632621848</v>
      </c>
      <c r="E83" s="2">
        <v>50984576.31798654</v>
      </c>
      <c r="F83" s="2">
        <f>E83/1.19</f>
        <v>42844181.77982062</v>
      </c>
      <c r="G83" s="2">
        <v>160</v>
      </c>
      <c r="H83" s="2">
        <v>15510044.9754502</v>
      </c>
      <c r="I83" s="2">
        <v>291</v>
      </c>
      <c r="J83" s="2">
        <v>28203008.33082616</v>
      </c>
      <c r="K83" s="2">
        <v>11823941.63697866</v>
      </c>
      <c r="L83" s="2">
        <v>4369190.427916849</v>
      </c>
      <c r="M83" s="2">
        <v>7858356.676531482</v>
      </c>
      <c r="N83" s="3">
        <v>1.5</v>
      </c>
      <c r="O83" s="3">
        <v>2</v>
      </c>
      <c r="P83" s="2">
        <v>226869.93634051</v>
      </c>
      <c r="Q83" s="2">
        <v>580369.1187279205</v>
      </c>
      <c r="R83" s="2">
        <v>298513.07413225</v>
      </c>
      <c r="S83" s="2">
        <v>334334.64302812</v>
      </c>
      <c r="T83" s="2">
        <v>2797067.504619183</v>
      </c>
      <c r="U83" s="2">
        <f>M83+P83+Q83+R83+S83+T83</f>
        <v>12095510.953379465</v>
      </c>
      <c r="V83" s="2">
        <f>F83-K83-L83-U83</f>
        <v>14555538.761545645</v>
      </c>
      <c r="W83" s="2">
        <v>133666.261412143</v>
      </c>
      <c r="X83" s="2">
        <v>300169.977577884</v>
      </c>
      <c r="Y83" s="2">
        <f>W83+X83</f>
        <v>433836.23899002705</v>
      </c>
      <c r="Z83" s="2">
        <v>13786580.81713914</v>
      </c>
      <c r="AA83" s="2">
        <v>0</v>
      </c>
      <c r="AB83" s="2">
        <v>0</v>
      </c>
      <c r="AC83" s="2">
        <v>0</v>
      </c>
      <c r="AD83" s="2">
        <v>546419.8639692198</v>
      </c>
      <c r="AE83" s="2">
        <v>2914239.274502505</v>
      </c>
      <c r="AF83" s="2">
        <f>F83-H83-L83-U83-AA83-AC83-AD83</f>
        <v>10323015.559104886</v>
      </c>
      <c r="AG83" s="2">
        <f>F83-H83-L83-U83-AA83-AB83-AD83-Y83</f>
        <v>9889179.320114858</v>
      </c>
      <c r="AH83" s="2">
        <f>AH82+AG83</f>
        <v>131791237.37828296</v>
      </c>
      <c r="AI83" s="2">
        <v>38719779.37710848</v>
      </c>
      <c r="AJ83" s="2">
        <f>AH83-AI83</f>
        <v>93071458.00117448</v>
      </c>
      <c r="AK83" s="3">
        <v>0.25</v>
      </c>
    </row>
    <row r="84" spans="1:37">
      <c r="A84" s="2">
        <v>83</v>
      </c>
      <c r="B84" s="2">
        <v>2033</v>
      </c>
      <c r="C84" s="2">
        <v>131</v>
      </c>
      <c r="D84" s="2">
        <v>417906.3632621848</v>
      </c>
      <c r="E84" s="2">
        <v>54745733.5873462</v>
      </c>
      <c r="F84" s="2">
        <f>E84/1.19</f>
        <v>46004818.140627064</v>
      </c>
      <c r="G84" s="2">
        <v>20</v>
      </c>
      <c r="H84" s="2">
        <v>1938755.621931275</v>
      </c>
      <c r="I84" s="2">
        <v>180</v>
      </c>
      <c r="J84" s="2">
        <v>17445393.92764096</v>
      </c>
      <c r="K84" s="2">
        <v>12696370.02511647</v>
      </c>
      <c r="L84" s="2">
        <v>4691521.386448422</v>
      </c>
      <c r="M84" s="2">
        <v>7858356.676531482</v>
      </c>
      <c r="N84" s="3">
        <v>1.5</v>
      </c>
      <c r="O84" s="3">
        <v>2</v>
      </c>
      <c r="P84" s="2">
        <v>226869.93634051</v>
      </c>
      <c r="Q84" s="2">
        <v>580369.1187279205</v>
      </c>
      <c r="R84" s="2">
        <v>298513.07413225</v>
      </c>
      <c r="S84" s="2">
        <v>334334.64302812</v>
      </c>
      <c r="T84" s="2">
        <v>2797067.504619183</v>
      </c>
      <c r="U84" s="2">
        <f>M84+P84+Q84+R84+S84+T84</f>
        <v>12095510.953379465</v>
      </c>
      <c r="V84" s="2">
        <f>F84-K84-L84-U84</f>
        <v>16521415.775682705</v>
      </c>
      <c r="W84" s="2">
        <v>130818.010649728</v>
      </c>
      <c r="X84" s="2">
        <v>303018.228340299</v>
      </c>
      <c r="Y84" s="2">
        <f>W84+X84</f>
        <v>433836.238990027</v>
      </c>
      <c r="Z84" s="2">
        <v>13483562.58879884</v>
      </c>
      <c r="AA84" s="2">
        <v>0</v>
      </c>
      <c r="AB84" s="2">
        <v>0</v>
      </c>
      <c r="AC84" s="2">
        <v>0</v>
      </c>
      <c r="AD84" s="2">
        <v>-2549959.365189692</v>
      </c>
      <c r="AE84" s="2">
        <v>364279.9093128131</v>
      </c>
      <c r="AF84" s="2">
        <f>F84-H84-L84-U84-AA84-AC84-AD84</f>
        <v>29828989.544057593</v>
      </c>
      <c r="AG84" s="2">
        <f>F84-H84-L84-U84-AA84-AB84-AD84-Y84</f>
        <v>29395153.305067565</v>
      </c>
      <c r="AH84" s="2">
        <f>AH83+AG84</f>
        <v>161186390.68335053</v>
      </c>
      <c r="AI84" s="2">
        <v>38719779.37710848</v>
      </c>
      <c r="AJ84" s="2">
        <f>AH84-AI84</f>
        <v>122466611.30624205</v>
      </c>
      <c r="AK84" s="3">
        <v>0.25</v>
      </c>
    </row>
    <row r="85" spans="1:37">
      <c r="A85" s="2">
        <v>84</v>
      </c>
      <c r="B85" s="2">
        <v>2033</v>
      </c>
      <c r="C85" s="2">
        <v>159</v>
      </c>
      <c r="D85" s="2">
        <v>417906.3632621848</v>
      </c>
      <c r="E85" s="2">
        <v>66447111.75868738</v>
      </c>
      <c r="F85" s="2">
        <f>E85/1.19</f>
        <v>55837909.04091377</v>
      </c>
      <c r="G85" s="2">
        <v>30</v>
      </c>
      <c r="H85" s="2">
        <v>2908133.432896913</v>
      </c>
      <c r="I85" s="2">
        <v>51</v>
      </c>
      <c r="J85" s="2">
        <v>4942999.501844913</v>
      </c>
      <c r="K85" s="2">
        <v>15410527.85869296</v>
      </c>
      <c r="L85" s="2">
        <v>5694323.707518472</v>
      </c>
      <c r="M85" s="2">
        <v>7858356.676531482</v>
      </c>
      <c r="N85" s="3">
        <v>1.5</v>
      </c>
      <c r="O85" s="3">
        <v>2</v>
      </c>
      <c r="P85" s="2">
        <v>226869.93634051</v>
      </c>
      <c r="Q85" s="2">
        <v>580369.1187279205</v>
      </c>
      <c r="R85" s="2">
        <v>298513.07413225</v>
      </c>
      <c r="S85" s="2">
        <v>334334.64302812</v>
      </c>
      <c r="T85" s="2">
        <v>2797067.504619183</v>
      </c>
      <c r="U85" s="2">
        <f>M85+P85+Q85+R85+S85+T85</f>
        <v>12095510.953379465</v>
      </c>
      <c r="V85" s="2">
        <f>F85-K85-L85-U85</f>
        <v>22637546.52132287</v>
      </c>
      <c r="W85" s="2">
        <v>127942.7334256027</v>
      </c>
      <c r="X85" s="2">
        <v>305893.5055644243</v>
      </c>
      <c r="Y85" s="2">
        <f>W85+X85</f>
        <v>433836.23899002705</v>
      </c>
      <c r="Z85" s="2">
        <v>13177669.08323442</v>
      </c>
      <c r="AA85" s="2">
        <v>0</v>
      </c>
      <c r="AB85" s="2">
        <v>13932973.86485492</v>
      </c>
      <c r="AC85" s="2">
        <v>14362788.65348414</v>
      </c>
      <c r="AD85" s="2">
        <v>182139.9546564066</v>
      </c>
      <c r="AE85" s="2">
        <v>546419.8639692197</v>
      </c>
      <c r="AF85" s="2">
        <f>F85-H85-L85-U85-AA85-AC85-AD85</f>
        <v>20595012.338978365</v>
      </c>
      <c r="AG85" s="2">
        <f>F85-H85-L85-U85-AA85-AB85-AD85-Y85</f>
        <v>20590990.888617557</v>
      </c>
      <c r="AH85" s="2">
        <f>AH84+AG85</f>
        <v>181777381.57196808</v>
      </c>
      <c r="AI85" s="2">
        <v>38719779.37710848</v>
      </c>
      <c r="AJ85" s="2">
        <f>AH85-AI85</f>
        <v>143057602.1948596</v>
      </c>
      <c r="AK85" s="3">
        <v>0.25</v>
      </c>
    </row>
    <row r="86" spans="1:37">
      <c r="A86" s="2">
        <v>85</v>
      </c>
      <c r="B86" s="2">
        <v>2034</v>
      </c>
      <c r="C86" s="2">
        <v>20</v>
      </c>
      <c r="D86" s="2">
        <v>430443.5541600503</v>
      </c>
      <c r="E86" s="2">
        <v>8608871.083201006</v>
      </c>
      <c r="F86" s="2">
        <f>E86/1.19</f>
        <v>7234345.448068073</v>
      </c>
      <c r="G86" s="2">
        <v>40</v>
      </c>
      <c r="H86" s="2">
        <v>3993836.581178427</v>
      </c>
      <c r="I86" s="2">
        <v>71</v>
      </c>
      <c r="J86" s="2">
        <v>6972696.284556672</v>
      </c>
      <c r="K86" s="2">
        <v>1964139.798466668</v>
      </c>
      <c r="L86" s="2">
        <v>735159.6018883683</v>
      </c>
      <c r="M86" s="2">
        <v>8716731.021198768</v>
      </c>
      <c r="N86" s="3">
        <v>1.5</v>
      </c>
      <c r="O86" s="3">
        <v>2.5</v>
      </c>
      <c r="P86" s="2">
        <v>245974.773084974</v>
      </c>
      <c r="Q86" s="2">
        <v>654415.8837925735</v>
      </c>
      <c r="R86" s="2">
        <v>307468.4663562176</v>
      </c>
      <c r="S86" s="2">
        <v>344364.6823189636</v>
      </c>
      <c r="T86" s="2">
        <v>3025489.708945181</v>
      </c>
      <c r="U86" s="2">
        <f>M86+P86+Q86+R86+S86+T86</f>
        <v>13294444.535696678</v>
      </c>
      <c r="V86" s="2">
        <f>F86-K86-L86-U86</f>
        <v>-8759398.48798364</v>
      </c>
      <c r="W86" s="2">
        <v>125040.1732912682</v>
      </c>
      <c r="X86" s="2">
        <v>308796.0656987589</v>
      </c>
      <c r="Y86" s="2">
        <f>W86+X86</f>
        <v>433836.23899002705</v>
      </c>
      <c r="Z86" s="2">
        <v>12868873.01753566</v>
      </c>
      <c r="AA86" s="2">
        <v>0</v>
      </c>
      <c r="AB86" s="2">
        <v>0</v>
      </c>
      <c r="AC86" s="2">
        <v>0</v>
      </c>
      <c r="AD86" s="2">
        <v>203996.7492151753</v>
      </c>
      <c r="AE86" s="2">
        <v>750416.613184395</v>
      </c>
      <c r="AF86" s="2">
        <f>F86-H86-L86-U86-AA86-AC86-AD86</f>
        <v>-10993092.019910574</v>
      </c>
      <c r="AG86" s="2">
        <f>F86-H86-L86-U86-AA86-AB86-AD86-Y86</f>
        <v>-11426928.258900601</v>
      </c>
      <c r="AH86" s="2">
        <f>AH85+AG86</f>
        <v>170350453.31306747</v>
      </c>
      <c r="AI86" s="2">
        <v>42316580.12406011</v>
      </c>
      <c r="AJ86" s="2">
        <f>AH86-AI86</f>
        <v>128033873.18900736</v>
      </c>
      <c r="AK86" s="3">
        <v>0.25</v>
      </c>
    </row>
    <row r="87" spans="1:37">
      <c r="A87" s="2">
        <v>86</v>
      </c>
      <c r="B87" s="2">
        <v>2034</v>
      </c>
      <c r="C87" s="2">
        <v>30</v>
      </c>
      <c r="D87" s="2">
        <v>430443.5541600503</v>
      </c>
      <c r="E87" s="2">
        <v>12913306.62480151</v>
      </c>
      <c r="F87" s="2">
        <f>E87/1.19</f>
        <v>10851518.172102109</v>
      </c>
      <c r="G87" s="2">
        <v>50</v>
      </c>
      <c r="H87" s="2">
        <v>4992295.726473034</v>
      </c>
      <c r="I87" s="2">
        <v>91</v>
      </c>
      <c r="J87" s="2">
        <v>8998465.066146309</v>
      </c>
      <c r="K87" s="2">
        <v>2966526.944883398</v>
      </c>
      <c r="L87" s="2">
        <v>1104364.782607224</v>
      </c>
      <c r="M87" s="2">
        <v>8716731.021198768</v>
      </c>
      <c r="N87" s="3">
        <v>1.5</v>
      </c>
      <c r="O87" s="3">
        <v>2.5</v>
      </c>
      <c r="P87" s="2">
        <v>245974.773084974</v>
      </c>
      <c r="Q87" s="2">
        <v>654415.8837925735</v>
      </c>
      <c r="R87" s="2">
        <v>307468.4663562176</v>
      </c>
      <c r="S87" s="2">
        <v>344364.6823189636</v>
      </c>
      <c r="T87" s="2">
        <v>3025489.708945181</v>
      </c>
      <c r="U87" s="2">
        <f>M87+P87+Q87+R87+S87+T87</f>
        <v>13294444.535696678</v>
      </c>
      <c r="V87" s="2">
        <f>F87-K87-L87-U87</f>
        <v>-6513818.091085191</v>
      </c>
      <c r="W87" s="2">
        <v>122110.0713648387</v>
      </c>
      <c r="X87" s="2">
        <v>311726.1676251883</v>
      </c>
      <c r="Y87" s="2">
        <f>W87+X87</f>
        <v>433836.23899002705</v>
      </c>
      <c r="Z87" s="2">
        <v>12557146.84991047</v>
      </c>
      <c r="AA87" s="2">
        <v>0</v>
      </c>
      <c r="AB87" s="2">
        <v>0</v>
      </c>
      <c r="AC87" s="2">
        <v>0</v>
      </c>
      <c r="AD87" s="2">
        <v>187604.1532960989</v>
      </c>
      <c r="AE87" s="2">
        <v>938020.7664804939</v>
      </c>
      <c r="AF87" s="2">
        <f>F87-H87-L87-U87-AA87-AC87-AD87</f>
        <v>-8727191.025970925</v>
      </c>
      <c r="AG87" s="2">
        <f>F87-H87-L87-U87-AA87-AB87-AD87-Y87</f>
        <v>-9161027.264960952</v>
      </c>
      <c r="AH87" s="2">
        <f>AH86+AG87</f>
        <v>161189426.04810652</v>
      </c>
      <c r="AI87" s="2">
        <v>42316580.12406011</v>
      </c>
      <c r="AJ87" s="2">
        <f>AH87-AI87</f>
        <v>118872845.92404641</v>
      </c>
      <c r="AK87" s="3">
        <v>0.25</v>
      </c>
    </row>
    <row r="88" spans="1:37">
      <c r="A88" s="2">
        <v>87</v>
      </c>
      <c r="B88" s="2">
        <v>2034</v>
      </c>
      <c r="C88" s="2">
        <v>39</v>
      </c>
      <c r="D88" s="2">
        <v>430443.5541600503</v>
      </c>
      <c r="E88" s="2">
        <v>16787298.61224196</v>
      </c>
      <c r="F88" s="2">
        <f>E88/1.19</f>
        <v>14106973.623732742</v>
      </c>
      <c r="G88" s="2">
        <v>60</v>
      </c>
      <c r="H88" s="2">
        <v>5990754.871767641</v>
      </c>
      <c r="I88" s="2">
        <v>112</v>
      </c>
      <c r="J88" s="2">
        <v>11117832.00692955</v>
      </c>
      <c r="K88" s="2">
        <v>3871387.930984398</v>
      </c>
      <c r="L88" s="2">
        <v>1436866.44960027</v>
      </c>
      <c r="M88" s="2">
        <v>8716731.021198768</v>
      </c>
      <c r="N88" s="3">
        <v>1.5</v>
      </c>
      <c r="O88" s="3">
        <v>2.5</v>
      </c>
      <c r="P88" s="2">
        <v>245974.773084974</v>
      </c>
      <c r="Q88" s="2">
        <v>654415.8837925735</v>
      </c>
      <c r="R88" s="2">
        <v>307468.4663562176</v>
      </c>
      <c r="S88" s="2">
        <v>344364.6823189636</v>
      </c>
      <c r="T88" s="2">
        <v>3025489.708945181</v>
      </c>
      <c r="U88" s="2">
        <f>M88+P88+Q88+R88+S88+T88</f>
        <v>13294444.535696678</v>
      </c>
      <c r="V88" s="2">
        <f>F88-K88-L88-U88</f>
        <v>-4495725.292548604</v>
      </c>
      <c r="W88" s="2">
        <v>119152.1663079522</v>
      </c>
      <c r="X88" s="2">
        <v>314684.0726820749</v>
      </c>
      <c r="Y88" s="2">
        <f>W88+X88</f>
        <v>433836.23899002705</v>
      </c>
      <c r="Z88" s="2">
        <v>12242462.77722839</v>
      </c>
      <c r="AA88" s="2">
        <v>0</v>
      </c>
      <c r="AB88" s="2">
        <v>0</v>
      </c>
      <c r="AC88" s="2">
        <v>0</v>
      </c>
      <c r="AD88" s="2">
        <v>187604.1532960987</v>
      </c>
      <c r="AE88" s="2">
        <v>1125624.919776593</v>
      </c>
      <c r="AF88" s="2">
        <f>F88-H88-L88-U88-AA88-AC88-AD88</f>
        <v>-6802696.386627945</v>
      </c>
      <c r="AG88" s="2">
        <f>F88-H88-L88-U88-AA88-AB88-AD88-Y88</f>
        <v>-7236532.625617973</v>
      </c>
      <c r="AH88" s="2">
        <f>AH87+AG88</f>
        <v>153952893.42248854</v>
      </c>
      <c r="AI88" s="2">
        <v>42316580.12406011</v>
      </c>
      <c r="AJ88" s="2">
        <f>AH88-AI88</f>
        <v>111636313.29842843</v>
      </c>
      <c r="AK88" s="3">
        <v>0.25</v>
      </c>
    </row>
    <row r="89" spans="1:37">
      <c r="A89" s="2">
        <v>88</v>
      </c>
      <c r="B89" s="2">
        <v>2034</v>
      </c>
      <c r="C89" s="2">
        <v>49</v>
      </c>
      <c r="D89" s="2">
        <v>430443.5541600503</v>
      </c>
      <c r="E89" s="2">
        <v>21091734.15384246</v>
      </c>
      <c r="F89" s="2">
        <f>E89/1.19</f>
        <v>17724146.347766776</v>
      </c>
      <c r="G89" s="2">
        <v>70</v>
      </c>
      <c r="H89" s="2">
        <v>6989214.017062248</v>
      </c>
      <c r="I89" s="2">
        <v>133</v>
      </c>
      <c r="J89" s="2">
        <v>13232072.09445555</v>
      </c>
      <c r="K89" s="2">
        <v>4874973.929536254</v>
      </c>
      <c r="L89" s="2">
        <v>1806167.538489935</v>
      </c>
      <c r="M89" s="2">
        <v>8716731.021198768</v>
      </c>
      <c r="N89" s="3">
        <v>1.5</v>
      </c>
      <c r="O89" s="3">
        <v>2.5</v>
      </c>
      <c r="P89" s="2">
        <v>245974.773084974</v>
      </c>
      <c r="Q89" s="2">
        <v>654415.8837925735</v>
      </c>
      <c r="R89" s="2">
        <v>307468.4663562176</v>
      </c>
      <c r="S89" s="2">
        <v>344364.6823189636</v>
      </c>
      <c r="T89" s="2">
        <v>3025489.708945181</v>
      </c>
      <c r="U89" s="2">
        <f>M89+P89+Q89+R89+S89+T89</f>
        <v>13294444.535696678</v>
      </c>
      <c r="V89" s="2">
        <f>F89-K89-L89-U89</f>
        <v>-2251439.6559560914</v>
      </c>
      <c r="W89" s="2">
        <v>116166.1943024607</v>
      </c>
      <c r="X89" s="2">
        <v>317670.0446875663</v>
      </c>
      <c r="Y89" s="2">
        <f>W89+X89</f>
        <v>433836.23899002705</v>
      </c>
      <c r="Z89" s="2">
        <v>11924792.73254083</v>
      </c>
      <c r="AA89" s="2">
        <v>0</v>
      </c>
      <c r="AB89" s="2">
        <v>0</v>
      </c>
      <c r="AC89" s="2">
        <v>0</v>
      </c>
      <c r="AD89" s="2">
        <v>187604.1532960986</v>
      </c>
      <c r="AE89" s="2">
        <v>1313229.073072691</v>
      </c>
      <c r="AF89" s="2">
        <f>F89-H89-L89-U89-AA89-AC89-AD89</f>
        <v>-4553283.896778183</v>
      </c>
      <c r="AG89" s="2">
        <f>F89-H89-L89-U89-AA89-AB89-AD89-Y89</f>
        <v>-4987120.1357682105</v>
      </c>
      <c r="AH89" s="2">
        <f>AH88+AG89</f>
        <v>148965773.28672034</v>
      </c>
      <c r="AI89" s="2">
        <v>42316580.12406011</v>
      </c>
      <c r="AJ89" s="2">
        <f>AH89-AI89</f>
        <v>106649193.16266023</v>
      </c>
      <c r="AK89" s="3">
        <v>0.25</v>
      </c>
    </row>
    <row r="90" spans="1:37">
      <c r="A90" s="2">
        <v>89</v>
      </c>
      <c r="B90" s="2">
        <v>2034</v>
      </c>
      <c r="C90" s="2">
        <v>59</v>
      </c>
      <c r="D90" s="2">
        <v>430443.5541600503</v>
      </c>
      <c r="E90" s="2">
        <v>25396169.69544297</v>
      </c>
      <c r="F90" s="2">
        <f>E90/1.19</f>
        <v>21341319.071800817</v>
      </c>
      <c r="G90" s="2">
        <v>80</v>
      </c>
      <c r="H90" s="2">
        <v>7987673.162356854</v>
      </c>
      <c r="I90" s="2">
        <v>154</v>
      </c>
      <c r="J90" s="2">
        <v>15341975.44389253</v>
      </c>
      <c r="K90" s="2">
        <v>5877769.812919867</v>
      </c>
      <c r="L90" s="2">
        <v>2175405.418166142</v>
      </c>
      <c r="M90" s="2">
        <v>8716731.021198768</v>
      </c>
      <c r="N90" s="3">
        <v>1.5</v>
      </c>
      <c r="O90" s="3">
        <v>2.5</v>
      </c>
      <c r="P90" s="2">
        <v>245974.773084974</v>
      </c>
      <c r="Q90" s="2">
        <v>654415.8837925735</v>
      </c>
      <c r="R90" s="2">
        <v>307468.4663562176</v>
      </c>
      <c r="S90" s="2">
        <v>344364.6823189636</v>
      </c>
      <c r="T90" s="2">
        <v>3025489.708945181</v>
      </c>
      <c r="U90" s="2">
        <f>M90+P90+Q90+R90+S90+T90</f>
        <v>13294444.535696678</v>
      </c>
      <c r="V90" s="2">
        <f>F90-K90-L90-U90</f>
        <v>-6300.69498186931</v>
      </c>
      <c r="W90" s="2">
        <v>113151.8890269007</v>
      </c>
      <c r="X90" s="2">
        <v>320684.3499631264</v>
      </c>
      <c r="Y90" s="2">
        <f>W90+X90</f>
        <v>433836.23899002705</v>
      </c>
      <c r="Z90" s="2">
        <v>11604108.3825777</v>
      </c>
      <c r="AA90" s="2">
        <v>0</v>
      </c>
      <c r="AB90" s="2">
        <v>0</v>
      </c>
      <c r="AC90" s="2">
        <v>0</v>
      </c>
      <c r="AD90" s="2">
        <v>187604.1532960988</v>
      </c>
      <c r="AE90" s="2">
        <v>1500833.22636879</v>
      </c>
      <c r="AF90" s="2">
        <f>F90-H90-L90-U90-AA90-AC90-AD90</f>
        <v>-2303808.1977149555</v>
      </c>
      <c r="AG90" s="2">
        <f>F90-H90-L90-U90-AA90-AB90-AD90-Y90</f>
        <v>-2737644.4367049825</v>
      </c>
      <c r="AH90" s="2">
        <f>AH89+AG90</f>
        <v>146228128.85001534</v>
      </c>
      <c r="AI90" s="2">
        <v>42316580.12406011</v>
      </c>
      <c r="AJ90" s="2">
        <f>AH90-AI90</f>
        <v>103911548.72595523</v>
      </c>
      <c r="AK90" s="3">
        <v>0.25</v>
      </c>
    </row>
    <row r="91" spans="1:37">
      <c r="A91" s="2">
        <v>90</v>
      </c>
      <c r="B91" s="2">
        <v>2034</v>
      </c>
      <c r="C91" s="2">
        <v>69</v>
      </c>
      <c r="D91" s="2">
        <v>430443.5541600503</v>
      </c>
      <c r="E91" s="2">
        <v>29700605.23704347</v>
      </c>
      <c r="F91" s="2">
        <f>E91/1.19</f>
        <v>24958491.795834854</v>
      </c>
      <c r="G91" s="2">
        <v>100</v>
      </c>
      <c r="H91" s="2">
        <v>9984591.452946069</v>
      </c>
      <c r="I91" s="2">
        <v>185</v>
      </c>
      <c r="J91" s="2">
        <v>18446515.25950843</v>
      </c>
      <c r="K91" s="2">
        <v>6880051.637330171</v>
      </c>
      <c r="L91" s="2">
        <v>2544602.173124484</v>
      </c>
      <c r="M91" s="2">
        <v>8716731.021198768</v>
      </c>
      <c r="N91" s="3">
        <v>1.5</v>
      </c>
      <c r="O91" s="3">
        <v>2.5</v>
      </c>
      <c r="P91" s="2">
        <v>245974.773084974</v>
      </c>
      <c r="Q91" s="2">
        <v>654415.8837925735</v>
      </c>
      <c r="R91" s="2">
        <v>307468.4663562176</v>
      </c>
      <c r="S91" s="2">
        <v>344364.6823189636</v>
      </c>
      <c r="T91" s="2">
        <v>3025489.708945181</v>
      </c>
      <c r="U91" s="2">
        <f>M91+P91+Q91+R91+S91+T91</f>
        <v>13294444.535696678</v>
      </c>
      <c r="V91" s="2">
        <f>F91-K91-L91-U91</f>
        <v>2239393.449683521</v>
      </c>
      <c r="W91" s="2">
        <v>110108.9816327392</v>
      </c>
      <c r="X91" s="2">
        <v>323727.2573572879</v>
      </c>
      <c r="Y91" s="2">
        <f>W91+X91</f>
        <v>433836.23899002705</v>
      </c>
      <c r="Z91" s="2">
        <v>11280381.12522041</v>
      </c>
      <c r="AA91" s="2">
        <v>0</v>
      </c>
      <c r="AB91" s="2">
        <v>0</v>
      </c>
      <c r="AC91" s="2">
        <v>0</v>
      </c>
      <c r="AD91" s="2">
        <v>375208.3065921979</v>
      </c>
      <c r="AE91" s="2">
        <v>1876041.532960988</v>
      </c>
      <c r="AF91" s="2">
        <f>F91-H91-L91-U91-AA91-AC91-AD91</f>
        <v>-1240354.672524573</v>
      </c>
      <c r="AG91" s="2">
        <f>F91-H91-L91-U91-AA91-AB91-AD91-Y91</f>
        <v>-1674190.9115146</v>
      </c>
      <c r="AH91" s="2">
        <f>AH90+AG91</f>
        <v>144553937.93850073</v>
      </c>
      <c r="AI91" s="2">
        <v>42316580.12406011</v>
      </c>
      <c r="AJ91" s="2">
        <f>AH91-AI91</f>
        <v>102237357.81444062</v>
      </c>
      <c r="AK91" s="3">
        <v>0.25</v>
      </c>
    </row>
    <row r="92" spans="1:37">
      <c r="A92" s="2">
        <v>91</v>
      </c>
      <c r="B92" s="2">
        <v>2034</v>
      </c>
      <c r="C92" s="2">
        <v>79</v>
      </c>
      <c r="D92" s="2">
        <v>430443.5541600503</v>
      </c>
      <c r="E92" s="2">
        <v>34005040.77864397</v>
      </c>
      <c r="F92" s="2">
        <f>E92/1.19</f>
        <v>28575664.519868888</v>
      </c>
      <c r="G92" s="2">
        <v>100</v>
      </c>
      <c r="H92" s="2">
        <v>9984591.452946069</v>
      </c>
      <c r="I92" s="2">
        <v>206</v>
      </c>
      <c r="J92" s="2">
        <v>20550203.44830044</v>
      </c>
      <c r="K92" s="2">
        <v>7880903.264154054</v>
      </c>
      <c r="L92" s="2">
        <v>2913684.512275911</v>
      </c>
      <c r="M92" s="2">
        <v>8716731.021198768</v>
      </c>
      <c r="N92" s="3">
        <v>1.5</v>
      </c>
      <c r="O92" s="3">
        <v>2.5</v>
      </c>
      <c r="P92" s="2">
        <v>245974.773084974</v>
      </c>
      <c r="Q92" s="2">
        <v>654415.8837925735</v>
      </c>
      <c r="R92" s="2">
        <v>307468.4663562176</v>
      </c>
      <c r="S92" s="2">
        <v>344364.6823189636</v>
      </c>
      <c r="T92" s="2">
        <v>3025489.708945181</v>
      </c>
      <c r="U92" s="2">
        <f>M92+P92+Q92+R92+S92+T92</f>
        <v>13294444.535696678</v>
      </c>
      <c r="V92" s="2">
        <f>F92-K92-L92-U92</f>
        <v>4486632.207742244</v>
      </c>
      <c r="W92" s="2">
        <v>107037.2007203954</v>
      </c>
      <c r="X92" s="2">
        <v>326799.0382696317</v>
      </c>
      <c r="Y92" s="2">
        <f>W92+X92</f>
        <v>433836.2389900271</v>
      </c>
      <c r="Z92" s="2">
        <v>10953582.08695078</v>
      </c>
      <c r="AA92" s="2">
        <v>0</v>
      </c>
      <c r="AB92" s="2">
        <v>0</v>
      </c>
      <c r="AC92" s="2">
        <v>0</v>
      </c>
      <c r="AD92" s="2">
        <v>0</v>
      </c>
      <c r="AE92" s="2">
        <v>1876041.532960988</v>
      </c>
      <c r="AF92" s="2">
        <f>F92-H92-L92-U92-AA92-AC92-AD92</f>
        <v>2382944.0189502314</v>
      </c>
      <c r="AG92" s="2">
        <f>F92-H92-L92-U92-AA92-AB92-AD92-Y92</f>
        <v>1949107.7799602044</v>
      </c>
      <c r="AH92" s="2">
        <f>AH91+AG92</f>
        <v>146503045.71846095</v>
      </c>
      <c r="AI92" s="2">
        <v>42316580.12406011</v>
      </c>
      <c r="AJ92" s="2">
        <f>AH92-AI92</f>
        <v>104186465.59440084</v>
      </c>
      <c r="AK92" s="3">
        <v>0.25</v>
      </c>
    </row>
    <row r="93" spans="1:37">
      <c r="A93" s="2">
        <v>92</v>
      </c>
      <c r="B93" s="2">
        <v>2034</v>
      </c>
      <c r="C93" s="2">
        <v>98</v>
      </c>
      <c r="D93" s="2">
        <v>430443.5541600503</v>
      </c>
      <c r="E93" s="2">
        <v>42183468.30768493</v>
      </c>
      <c r="F93" s="2">
        <f>E93/1.19</f>
        <v>35448292.69553355</v>
      </c>
      <c r="G93" s="2">
        <v>130</v>
      </c>
      <c r="H93" s="2">
        <v>12979968.88882989</v>
      </c>
      <c r="I93" s="2">
        <v>238</v>
      </c>
      <c r="J93" s="2">
        <v>23750538.73880065</v>
      </c>
      <c r="K93" s="2">
        <v>9779633.59832968</v>
      </c>
      <c r="L93" s="2">
        <v>3614709.936120444</v>
      </c>
      <c r="M93" s="2">
        <v>8716731.021198768</v>
      </c>
      <c r="N93" s="3">
        <v>1.5</v>
      </c>
      <c r="O93" s="3">
        <v>2.5</v>
      </c>
      <c r="P93" s="2">
        <v>245974.773084974</v>
      </c>
      <c r="Q93" s="2">
        <v>654415.8837925735</v>
      </c>
      <c r="R93" s="2">
        <v>307468.4663562176</v>
      </c>
      <c r="S93" s="2">
        <v>344364.6823189636</v>
      </c>
      <c r="T93" s="2">
        <v>3025489.708945181</v>
      </c>
      <c r="U93" s="2">
        <f>M93+P93+Q93+R93+S93+T93</f>
        <v>13294444.535696678</v>
      </c>
      <c r="V93" s="2">
        <f>F93-K93-L93-U93</f>
        <v>8759504.625386752</v>
      </c>
      <c r="W93" s="2">
        <v>103936.272315034</v>
      </c>
      <c r="X93" s="2">
        <v>329899.966674993</v>
      </c>
      <c r="Y93" s="2">
        <f>W93+X93</f>
        <v>433836.23899002705</v>
      </c>
      <c r="Z93" s="2">
        <v>10623682.12027579</v>
      </c>
      <c r="AA93" s="2">
        <v>0</v>
      </c>
      <c r="AB93" s="2">
        <v>0</v>
      </c>
      <c r="AC93" s="2">
        <v>0</v>
      </c>
      <c r="AD93" s="2">
        <v>562812.459888296</v>
      </c>
      <c r="AE93" s="2">
        <v>2438853.992849284</v>
      </c>
      <c r="AF93" s="2">
        <f>F93-H93-L93-U93-AA93-AC93-AD93</f>
        <v>4996356.874998247</v>
      </c>
      <c r="AG93" s="2">
        <f>F93-H93-L93-U93-AA93-AB93-AD93-Y93</f>
        <v>4562520.63600822</v>
      </c>
      <c r="AH93" s="2">
        <f>AH92+AG93</f>
        <v>151065566.35446918</v>
      </c>
      <c r="AI93" s="2">
        <v>42316580.12406011</v>
      </c>
      <c r="AJ93" s="2">
        <f>AH93-AI93</f>
        <v>108748986.23040907</v>
      </c>
      <c r="AK93" s="3">
        <v>0.25</v>
      </c>
    </row>
    <row r="94" spans="1:37">
      <c r="A94" s="2">
        <v>93</v>
      </c>
      <c r="B94" s="2">
        <v>2034</v>
      </c>
      <c r="C94" s="2">
        <v>108</v>
      </c>
      <c r="D94" s="2">
        <v>430443.5541600503</v>
      </c>
      <c r="E94" s="2">
        <v>46487903.84928543</v>
      </c>
      <c r="F94" s="2">
        <f>E94/1.19</f>
        <v>39065465.41956759</v>
      </c>
      <c r="G94" s="2">
        <v>140</v>
      </c>
      <c r="H94" s="2">
        <v>13978428.0341245</v>
      </c>
      <c r="I94" s="2">
        <v>270</v>
      </c>
      <c r="J94" s="2">
        <v>26949261.98066082</v>
      </c>
      <c r="K94" s="2">
        <v>10779704.79226433</v>
      </c>
      <c r="L94" s="2">
        <v>3983729.840640734</v>
      </c>
      <c r="M94" s="2">
        <v>8716731.021198768</v>
      </c>
      <c r="N94" s="3">
        <v>1.5</v>
      </c>
      <c r="O94" s="3">
        <v>2.5</v>
      </c>
      <c r="P94" s="2">
        <v>245974.773084974</v>
      </c>
      <c r="Q94" s="2">
        <v>654415.8837925735</v>
      </c>
      <c r="R94" s="2">
        <v>307468.4663562176</v>
      </c>
      <c r="S94" s="2">
        <v>344364.6823189636</v>
      </c>
      <c r="T94" s="2">
        <v>3025489.708945181</v>
      </c>
      <c r="U94" s="2">
        <f>M94+P94+Q94+R94+S94+T94</f>
        <v>13294444.535696678</v>
      </c>
      <c r="V94" s="2">
        <f>F94-K94-L94-U94</f>
        <v>11007586.250965852</v>
      </c>
      <c r="W94" s="2">
        <v>100805.9198421291</v>
      </c>
      <c r="X94" s="2">
        <v>333030.3191478979</v>
      </c>
      <c r="Y94" s="2">
        <f>W94+X94</f>
        <v>433836.23899002705</v>
      </c>
      <c r="Z94" s="2">
        <v>10290651.80112789</v>
      </c>
      <c r="AA94" s="2">
        <v>0</v>
      </c>
      <c r="AB94" s="2">
        <v>0</v>
      </c>
      <c r="AC94" s="2">
        <v>0</v>
      </c>
      <c r="AD94" s="2">
        <v>187604.1532960986</v>
      </c>
      <c r="AE94" s="2">
        <v>2626458.146145382</v>
      </c>
      <c r="AF94" s="2">
        <f>F94-H94-L94-U94-AA94-AC94-AD94</f>
        <v>7621258.855809588</v>
      </c>
      <c r="AG94" s="2">
        <f>F94-H94-L94-U94-AA94-AB94-AD94-Y94</f>
        <v>7187422.6168195605</v>
      </c>
      <c r="AH94" s="2">
        <f>AH93+AG94</f>
        <v>158252988.97128874</v>
      </c>
      <c r="AI94" s="2">
        <v>42316580.12406011</v>
      </c>
      <c r="AJ94" s="2">
        <f>AH94-AI94</f>
        <v>115936408.84722863</v>
      </c>
      <c r="AK94" s="3">
        <v>0.25</v>
      </c>
    </row>
    <row r="95" spans="1:37">
      <c r="A95" s="2">
        <v>94</v>
      </c>
      <c r="B95" s="2">
        <v>2034</v>
      </c>
      <c r="C95" s="2">
        <v>128</v>
      </c>
      <c r="D95" s="2">
        <v>430443.5541600503</v>
      </c>
      <c r="E95" s="2">
        <v>55096774.93248644</v>
      </c>
      <c r="F95" s="2">
        <f>E95/1.19</f>
        <v>46299810.86763567</v>
      </c>
      <c r="G95" s="2">
        <v>170</v>
      </c>
      <c r="H95" s="2">
        <v>16973805.47000832</v>
      </c>
      <c r="I95" s="2">
        <v>312</v>
      </c>
      <c r="J95" s="2">
        <v>31145447.82865629</v>
      </c>
      <c r="K95" s="2">
        <v>12777619.62201284</v>
      </c>
      <c r="L95" s="2">
        <v>4721591.44503165</v>
      </c>
      <c r="M95" s="2">
        <v>8716731.021198768</v>
      </c>
      <c r="N95" s="3">
        <v>1.5</v>
      </c>
      <c r="O95" s="3">
        <v>2.5</v>
      </c>
      <c r="P95" s="2">
        <v>245974.773084974</v>
      </c>
      <c r="Q95" s="2">
        <v>654415.8837925735</v>
      </c>
      <c r="R95" s="2">
        <v>307468.4663562176</v>
      </c>
      <c r="S95" s="2">
        <v>344364.6823189636</v>
      </c>
      <c r="T95" s="2">
        <v>3025489.708945181</v>
      </c>
      <c r="U95" s="2">
        <f>M95+P95+Q95+R95+S95+T95</f>
        <v>13294444.535696678</v>
      </c>
      <c r="V95" s="2">
        <f>F95-K95-L95-U95</f>
        <v>15506155.2648945</v>
      </c>
      <c r="W95" s="2">
        <v>97645.86410279662</v>
      </c>
      <c r="X95" s="2">
        <v>336190.3748872305</v>
      </c>
      <c r="Y95" s="2">
        <f>W95+X95</f>
        <v>433836.2389900271</v>
      </c>
      <c r="Z95" s="2">
        <v>9954461.42624066</v>
      </c>
      <c r="AA95" s="2">
        <v>0</v>
      </c>
      <c r="AB95" s="2">
        <v>0</v>
      </c>
      <c r="AC95" s="2">
        <v>0</v>
      </c>
      <c r="AD95" s="2">
        <v>562812.4598882971</v>
      </c>
      <c r="AE95" s="2">
        <v>3189270.60603368</v>
      </c>
      <c r="AF95" s="2">
        <f>F95-H95-L95-U95-AA95-AC95-AD95</f>
        <v>10747156.957010724</v>
      </c>
      <c r="AG95" s="2">
        <f>F95-H95-L95-U95-AA95-AB95-AD95-Y95</f>
        <v>10313320.718020696</v>
      </c>
      <c r="AH95" s="2">
        <f>AH94+AG95</f>
        <v>168566309.68930945</v>
      </c>
      <c r="AI95" s="2">
        <v>42316580.12406011</v>
      </c>
      <c r="AJ95" s="2">
        <f>AH95-AI95</f>
        <v>126249729.56524934</v>
      </c>
      <c r="AK95" s="3">
        <v>0.25</v>
      </c>
    </row>
    <row r="96" spans="1:37">
      <c r="A96" s="2">
        <v>95</v>
      </c>
      <c r="B96" s="2">
        <v>2034</v>
      </c>
      <c r="C96" s="2">
        <v>138</v>
      </c>
      <c r="D96" s="2">
        <v>430443.5541600503</v>
      </c>
      <c r="E96" s="2">
        <v>59401210.47408695</v>
      </c>
      <c r="F96" s="2">
        <f>E96/1.19</f>
        <v>49916983.59166971</v>
      </c>
      <c r="G96" s="2">
        <v>20</v>
      </c>
      <c r="H96" s="2">
        <v>1996918.290589214</v>
      </c>
      <c r="I96" s="2">
        <v>194</v>
      </c>
      <c r="J96" s="2">
        <v>19366322.37088442</v>
      </c>
      <c r="K96" s="2">
        <v>13776043.74836108</v>
      </c>
      <c r="L96" s="2">
        <v>5090479.584145026</v>
      </c>
      <c r="M96" s="2">
        <v>8716731.021198768</v>
      </c>
      <c r="N96" s="3">
        <v>1.5</v>
      </c>
      <c r="O96" s="3">
        <v>2.5</v>
      </c>
      <c r="P96" s="2">
        <v>245974.773084974</v>
      </c>
      <c r="Q96" s="2">
        <v>654415.8837925735</v>
      </c>
      <c r="R96" s="2">
        <v>307468.4663562176</v>
      </c>
      <c r="S96" s="2">
        <v>344364.6823189636</v>
      </c>
      <c r="T96" s="2">
        <v>3025489.708945181</v>
      </c>
      <c r="U96" s="2">
        <f>M96+P96+Q96+R96+S96+T96</f>
        <v>13294444.535696678</v>
      </c>
      <c r="V96" s="2">
        <f>F96-K96-L96-U96</f>
        <v>17756015.723466925</v>
      </c>
      <c r="W96" s="2">
        <v>94455.82324889184</v>
      </c>
      <c r="X96" s="2">
        <v>339380.4157411352</v>
      </c>
      <c r="Y96" s="2">
        <f>W96+X96</f>
        <v>433836.23899002705</v>
      </c>
      <c r="Z96" s="2">
        <v>9615081.010499526</v>
      </c>
      <c r="AA96" s="2">
        <v>0</v>
      </c>
      <c r="AB96" s="2">
        <v>0</v>
      </c>
      <c r="AC96" s="2">
        <v>0</v>
      </c>
      <c r="AD96" s="2">
        <v>-2814062.299441482</v>
      </c>
      <c r="AE96" s="2">
        <v>375208.3065921975</v>
      </c>
      <c r="AF96" s="2">
        <f>F96-H96-L96-U96-AA96-AC96-AD96</f>
        <v>32349203.480680276</v>
      </c>
      <c r="AG96" s="2">
        <f>F96-H96-L96-U96-AA96-AB96-AD96-Y96</f>
        <v>31915367.24169025</v>
      </c>
      <c r="AH96" s="2">
        <f>AH95+AG96</f>
        <v>200481676.9309997</v>
      </c>
      <c r="AI96" s="2">
        <v>42316580.12406011</v>
      </c>
      <c r="AJ96" s="2">
        <f>AH96-AI96</f>
        <v>158165096.8069396</v>
      </c>
      <c r="AK96" s="3">
        <v>0.25</v>
      </c>
    </row>
    <row r="97" spans="1:37">
      <c r="A97" s="2">
        <v>96</v>
      </c>
      <c r="B97" s="2">
        <v>2034</v>
      </c>
      <c r="C97" s="2">
        <v>167</v>
      </c>
      <c r="D97" s="2">
        <v>430443.5541600503</v>
      </c>
      <c r="E97" s="2">
        <v>71884073.5447284</v>
      </c>
      <c r="F97" s="2">
        <f>E97/1.19</f>
        <v>60406784.491368406</v>
      </c>
      <c r="G97" s="2">
        <v>30</v>
      </c>
      <c r="H97" s="2">
        <v>2995377.435883821</v>
      </c>
      <c r="I97" s="2">
        <v>57</v>
      </c>
      <c r="J97" s="2">
        <v>5690253.96868656</v>
      </c>
      <c r="K97" s="2">
        <v>16671445.83808168</v>
      </c>
      <c r="L97" s="2">
        <v>6160252.957438675</v>
      </c>
      <c r="M97" s="2">
        <v>8716731.021198768</v>
      </c>
      <c r="N97" s="3">
        <v>1.5</v>
      </c>
      <c r="O97" s="3">
        <v>2.5</v>
      </c>
      <c r="P97" s="2">
        <v>245974.773084974</v>
      </c>
      <c r="Q97" s="2">
        <v>654415.8837925735</v>
      </c>
      <c r="R97" s="2">
        <v>307468.4663562176</v>
      </c>
      <c r="S97" s="2">
        <v>344364.6823189636</v>
      </c>
      <c r="T97" s="2">
        <v>3025489.708945181</v>
      </c>
      <c r="U97" s="2">
        <f>M97+P97+Q97+R97+S97+T97</f>
        <v>13294444.535696678</v>
      </c>
      <c r="V97" s="2">
        <f>F97-K97-L97-U97</f>
        <v>24280641.16015137</v>
      </c>
      <c r="W97" s="2">
        <v>91235.51275787152</v>
      </c>
      <c r="X97" s="2">
        <v>342600.7262321555</v>
      </c>
      <c r="Y97" s="2">
        <f>W97+X97</f>
        <v>433836.23899002705</v>
      </c>
      <c r="Z97" s="2">
        <v>9272480.28426737</v>
      </c>
      <c r="AA97" s="2">
        <v>0</v>
      </c>
      <c r="AB97" s="2">
        <v>14990286.48099521</v>
      </c>
      <c r="AC97" s="2">
        <v>15315497.99822353</v>
      </c>
      <c r="AD97" s="2">
        <v>187604.1532960988</v>
      </c>
      <c r="AE97" s="2">
        <v>562812.4598882963</v>
      </c>
      <c r="AF97" s="2">
        <f>F97-H97-L97-U97-AA97-AC97-AD97</f>
        <v>22453607.410829604</v>
      </c>
      <c r="AG97" s="2">
        <f>F97-H97-L97-U97-AA97-AB97-AD97-Y97</f>
        <v>22344982.689067896</v>
      </c>
      <c r="AH97" s="2">
        <f>AH96+AG97</f>
        <v>222826659.6200676</v>
      </c>
      <c r="AI97" s="2">
        <v>42316580.12406011</v>
      </c>
      <c r="AJ97" s="2">
        <f>AH97-AI97</f>
        <v>180510079.4960075</v>
      </c>
      <c r="AK97" s="3">
        <v>0.25</v>
      </c>
    </row>
    <row r="98" spans="1:37">
      <c r="A98" s="2">
        <v>97</v>
      </c>
      <c r="B98" s="2">
        <v>2035</v>
      </c>
      <c r="C98" s="2">
        <v>21</v>
      </c>
      <c r="D98" s="2">
        <v>443356.8607848518</v>
      </c>
      <c r="E98" s="2">
        <v>9310494.076481888</v>
      </c>
      <c r="F98" s="2">
        <f>E98/1.19</f>
        <v>7823944.60208562</v>
      </c>
      <c r="G98" s="2">
        <v>40</v>
      </c>
      <c r="H98" s="2">
        <v>4113651.67861378</v>
      </c>
      <c r="I98" s="2">
        <v>76</v>
      </c>
      <c r="J98" s="2">
        <v>7681410.610255936</v>
      </c>
      <c r="K98" s="2">
        <v>2122495.037044404</v>
      </c>
      <c r="L98" s="2">
        <v>794937.3370424863</v>
      </c>
      <c r="M98" s="2">
        <v>8978232.951834733</v>
      </c>
      <c r="N98" s="3">
        <v>1.5</v>
      </c>
      <c r="O98" s="3">
        <v>2.5</v>
      </c>
      <c r="P98" s="2">
        <v>253354.0162775233</v>
      </c>
      <c r="Q98" s="2">
        <v>719462.0677240967</v>
      </c>
      <c r="R98" s="2">
        <v>316692.5203469041</v>
      </c>
      <c r="S98" s="2">
        <v>354695.6227885326</v>
      </c>
      <c r="T98" s="2">
        <v>3271433.735183519</v>
      </c>
      <c r="U98" s="2">
        <f>M98+P98+Q98+R98+S98+T98</f>
        <v>13893870.914155308</v>
      </c>
      <c r="V98" s="2">
        <f>F98-K98-L98-U98</f>
        <v>-8987358.686156578</v>
      </c>
      <c r="W98" s="2">
        <v>87984.64540741681</v>
      </c>
      <c r="X98" s="2">
        <v>345851.5935826103</v>
      </c>
      <c r="Y98" s="2">
        <f>W98+X98</f>
        <v>433836.23899002705</v>
      </c>
      <c r="Z98" s="2">
        <v>8926628.69068476</v>
      </c>
      <c r="AA98" s="2">
        <v>0</v>
      </c>
      <c r="AB98" s="2">
        <v>0</v>
      </c>
      <c r="AC98" s="2">
        <v>0</v>
      </c>
      <c r="AD98" s="2">
        <v>210116.6516916306</v>
      </c>
      <c r="AE98" s="2">
        <v>772929.1115799269</v>
      </c>
      <c r="AF98" s="2">
        <f>F98-H98-L98-U98-AA98-AC98-AD98</f>
        <v>-11188631.979417585</v>
      </c>
      <c r="AG98" s="2">
        <f>F98-H98-L98-U98-AA98-AB98-AD98-Y98</f>
        <v>-11622468.218407612</v>
      </c>
      <c r="AH98" s="2">
        <f>AH97+AG98</f>
        <v>211204191.40166</v>
      </c>
      <c r="AI98" s="2">
        <v>44114859.259436</v>
      </c>
      <c r="AJ98" s="2">
        <f>AH98-AI98</f>
        <v>167089332.14222398</v>
      </c>
      <c r="AK98" s="3">
        <v>0.25</v>
      </c>
    </row>
    <row r="99" spans="1:37">
      <c r="A99" s="2">
        <v>98</v>
      </c>
      <c r="B99" s="2">
        <v>2035</v>
      </c>
      <c r="C99" s="2">
        <v>31</v>
      </c>
      <c r="D99" s="2">
        <v>443356.8607848518</v>
      </c>
      <c r="E99" s="2">
        <v>13744062.68433041</v>
      </c>
      <c r="F99" s="2">
        <f>E99/1.19</f>
        <v>11549632.50784068</v>
      </c>
      <c r="G99" s="2">
        <v>50</v>
      </c>
      <c r="H99" s="2">
        <v>5142064.598267226</v>
      </c>
      <c r="I99" s="2">
        <v>95</v>
      </c>
      <c r="J99" s="2">
        <v>9668493.2127754</v>
      </c>
      <c r="K99" s="2">
        <v>3154981.995747762</v>
      </c>
      <c r="L99" s="2">
        <v>1175220.929014438</v>
      </c>
      <c r="M99" s="2">
        <v>8978232.951834733</v>
      </c>
      <c r="N99" s="3">
        <v>1.5</v>
      </c>
      <c r="O99" s="3">
        <v>2.5</v>
      </c>
      <c r="P99" s="2">
        <v>253354.0162775233</v>
      </c>
      <c r="Q99" s="2">
        <v>719462.0677240967</v>
      </c>
      <c r="R99" s="2">
        <v>316692.5203469041</v>
      </c>
      <c r="S99" s="2">
        <v>354695.6227885326</v>
      </c>
      <c r="T99" s="2">
        <v>3271433.735183519</v>
      </c>
      <c r="U99" s="2">
        <f>M99+P99+Q99+R99+S99+T99</f>
        <v>13893870.914155308</v>
      </c>
      <c r="V99" s="2">
        <f>F99-K99-L99-U99</f>
        <v>-6674441.331076828</v>
      </c>
      <c r="W99" s="2">
        <v>84702.93124981585</v>
      </c>
      <c r="X99" s="2">
        <v>349133.3077402112</v>
      </c>
      <c r="Y99" s="2">
        <f>W99+X99</f>
        <v>433836.23899002705</v>
      </c>
      <c r="Z99" s="2">
        <v>8577495.382944549</v>
      </c>
      <c r="AA99" s="2">
        <v>0</v>
      </c>
      <c r="AB99" s="2">
        <v>0</v>
      </c>
      <c r="AC99" s="2">
        <v>0</v>
      </c>
      <c r="AD99" s="2">
        <v>193232.2778949819</v>
      </c>
      <c r="AE99" s="2">
        <v>966161.3894749088</v>
      </c>
      <c r="AF99" s="2">
        <f>F99-H99-L99-U99-AA99-AC99-AD99</f>
        <v>-8854756.211491272</v>
      </c>
      <c r="AG99" s="2">
        <f>F99-H99-L99-U99-AA99-AB99-AD99-Y99</f>
        <v>-9288592.4504813</v>
      </c>
      <c r="AH99" s="2">
        <f>AH98+AG99</f>
        <v>201915598.9511787</v>
      </c>
      <c r="AI99" s="2">
        <v>44114859.259436</v>
      </c>
      <c r="AJ99" s="2">
        <f>AH99-AI99</f>
        <v>157800739.6917427</v>
      </c>
      <c r="AK99" s="3">
        <v>0.25</v>
      </c>
    </row>
    <row r="100" spans="1:37">
      <c r="A100" s="2">
        <v>99</v>
      </c>
      <c r="B100" s="2">
        <v>2035</v>
      </c>
      <c r="C100" s="2">
        <v>41</v>
      </c>
      <c r="D100" s="2">
        <v>443356.8607848518</v>
      </c>
      <c r="E100" s="2">
        <v>18177631.29217893</v>
      </c>
      <c r="F100" s="2">
        <f>E100/1.19</f>
        <v>15275320.413595736</v>
      </c>
      <c r="G100" s="2">
        <v>60</v>
      </c>
      <c r="H100" s="2">
        <v>6170477.51792067</v>
      </c>
      <c r="I100" s="2">
        <v>114</v>
      </c>
      <c r="J100" s="2">
        <v>11649307.50515711</v>
      </c>
      <c r="K100" s="2">
        <v>4189663.225538961</v>
      </c>
      <c r="L100" s="2">
        <v>1555680.062673417</v>
      </c>
      <c r="M100" s="2">
        <v>8978232.951834733</v>
      </c>
      <c r="N100" s="3">
        <v>1.5</v>
      </c>
      <c r="O100" s="3">
        <v>2.5</v>
      </c>
      <c r="P100" s="2">
        <v>253354.0162775233</v>
      </c>
      <c r="Q100" s="2">
        <v>719462.0677240967</v>
      </c>
      <c r="R100" s="2">
        <v>316692.5203469041</v>
      </c>
      <c r="S100" s="2">
        <v>354695.6227885326</v>
      </c>
      <c r="T100" s="2">
        <v>3271433.735183519</v>
      </c>
      <c r="U100" s="2">
        <f>M100+P100+Q100+R100+S100+T100</f>
        <v>13893870.914155308</v>
      </c>
      <c r="V100" s="2">
        <f>F100-K100-L100-U100</f>
        <v>-4363893.78877195</v>
      </c>
      <c r="W100" s="2">
        <v>81390.07758610293</v>
      </c>
      <c r="X100" s="2">
        <v>352446.1614039241</v>
      </c>
      <c r="Y100" s="2">
        <f>W100+X100</f>
        <v>433836.23899002705</v>
      </c>
      <c r="Z100" s="2">
        <v>8225049.221540624</v>
      </c>
      <c r="AA100" s="2">
        <v>0</v>
      </c>
      <c r="AB100" s="2">
        <v>0</v>
      </c>
      <c r="AC100" s="2">
        <v>0</v>
      </c>
      <c r="AD100" s="2">
        <v>193232.2778949817</v>
      </c>
      <c r="AE100" s="2">
        <v>1159393.66736989</v>
      </c>
      <c r="AF100" s="2">
        <f>F100-H100-L100-U100-AA100-AC100-AD100</f>
        <v>-6537940.35904864</v>
      </c>
      <c r="AG100" s="2">
        <f>F100-H100-L100-U100-AA100-AB100-AD100-Y100</f>
        <v>-6971776.598038668</v>
      </c>
      <c r="AH100" s="2">
        <f>AH99+AG100</f>
        <v>194943822.35314003</v>
      </c>
      <c r="AI100" s="2">
        <v>44114859.259436</v>
      </c>
      <c r="AJ100" s="2">
        <f>AH100-AI100</f>
        <v>150828963.09370402</v>
      </c>
      <c r="AK100" s="3">
        <v>0.25</v>
      </c>
    </row>
    <row r="101" spans="1:37">
      <c r="A101" s="2">
        <v>100</v>
      </c>
      <c r="B101" s="2">
        <v>2035</v>
      </c>
      <c r="C101" s="2">
        <v>52</v>
      </c>
      <c r="D101" s="2">
        <v>443356.8607848518</v>
      </c>
      <c r="E101" s="2">
        <v>23054556.7608123</v>
      </c>
      <c r="F101" s="2">
        <f>E101/1.19</f>
        <v>19373577.109926302</v>
      </c>
      <c r="G101" s="2">
        <v>80</v>
      </c>
      <c r="H101" s="2">
        <v>8227303.35722756</v>
      </c>
      <c r="I101" s="2">
        <v>142</v>
      </c>
      <c r="J101" s="2">
        <v>14548859.4972094</v>
      </c>
      <c r="K101" s="2">
        <v>5327751.365175272</v>
      </c>
      <c r="L101" s="2">
        <v>1974180.212647573</v>
      </c>
      <c r="M101" s="2">
        <v>8978232.951834733</v>
      </c>
      <c r="N101" s="3">
        <v>1.5</v>
      </c>
      <c r="O101" s="3">
        <v>2.5</v>
      </c>
      <c r="P101" s="2">
        <v>253354.0162775233</v>
      </c>
      <c r="Q101" s="2">
        <v>719462.0677240967</v>
      </c>
      <c r="R101" s="2">
        <v>316692.5203469041</v>
      </c>
      <c r="S101" s="2">
        <v>354695.6227885326</v>
      </c>
      <c r="T101" s="2">
        <v>3271433.735183519</v>
      </c>
      <c r="U101" s="2">
        <f>M101+P101+Q101+R101+S101+T101</f>
        <v>13893870.914155308</v>
      </c>
      <c r="V101" s="2">
        <f>F101-K101-L101-U101</f>
        <v>-1822225.3820518516</v>
      </c>
      <c r="W101" s="2">
        <v>78045.78893995246</v>
      </c>
      <c r="X101" s="2">
        <v>355790.4500500746</v>
      </c>
      <c r="Y101" s="2">
        <f>W101+X101</f>
        <v>433836.23899002705</v>
      </c>
      <c r="Z101" s="2">
        <v>7869258.77149055</v>
      </c>
      <c r="AA101" s="2">
        <v>0</v>
      </c>
      <c r="AB101" s="2">
        <v>0</v>
      </c>
      <c r="AC101" s="2">
        <v>0</v>
      </c>
      <c r="AD101" s="2">
        <v>386464.5557899633</v>
      </c>
      <c r="AE101" s="2">
        <v>1545858.223159854</v>
      </c>
      <c r="AF101" s="2">
        <f>F101-H101-L101-U101-AA101-AC101-AD101</f>
        <v>-5108241.929894102</v>
      </c>
      <c r="AG101" s="2">
        <f>F101-H101-L101-U101-AA101-AB101-AD101-Y101</f>
        <v>-5542078.168884129</v>
      </c>
      <c r="AH101" s="2">
        <f>AH100+AG101</f>
        <v>189401744.1842559</v>
      </c>
      <c r="AI101" s="2">
        <v>44114859.259436</v>
      </c>
      <c r="AJ101" s="2">
        <f>AH101-AI101</f>
        <v>145286884.9248199</v>
      </c>
      <c r="AK101" s="3">
        <v>0.25</v>
      </c>
    </row>
    <row r="102" spans="1:37">
      <c r="A102" s="2">
        <v>101</v>
      </c>
      <c r="B102" s="2">
        <v>2035</v>
      </c>
      <c r="C102" s="2">
        <v>62</v>
      </c>
      <c r="D102" s="2">
        <v>443356.8607848518</v>
      </c>
      <c r="E102" s="2">
        <v>27488125.36866082</v>
      </c>
      <c r="F102" s="2">
        <f>E102/1.19</f>
        <v>23099265.01568136</v>
      </c>
      <c r="G102" s="2">
        <v>80</v>
      </c>
      <c r="H102" s="2">
        <v>8227303.35722756</v>
      </c>
      <c r="I102" s="2">
        <v>160</v>
      </c>
      <c r="J102" s="2">
        <v>16415252.50770231</v>
      </c>
      <c r="K102" s="2">
        <v>6360910.346734645</v>
      </c>
      <c r="L102" s="2">
        <v>2354517.566448006</v>
      </c>
      <c r="M102" s="2">
        <v>8978232.951834733</v>
      </c>
      <c r="N102" s="3">
        <v>1.5</v>
      </c>
      <c r="O102" s="3">
        <v>2.5</v>
      </c>
      <c r="P102" s="2">
        <v>253354.0162775233</v>
      </c>
      <c r="Q102" s="2">
        <v>719462.0677240967</v>
      </c>
      <c r="R102" s="2">
        <v>316692.5203469041</v>
      </c>
      <c r="S102" s="2">
        <v>354695.6227885326</v>
      </c>
      <c r="T102" s="2">
        <v>3271433.735183519</v>
      </c>
      <c r="U102" s="2">
        <f>M102+P102+Q102+R102+S102+T102</f>
        <v>13893870.914155308</v>
      </c>
      <c r="V102" s="2">
        <f>F102-K102-L102-U102</f>
        <v>489966.188343402</v>
      </c>
      <c r="W102" s="2">
        <v>74669.76703132519</v>
      </c>
      <c r="X102" s="2">
        <v>359166.4719587018</v>
      </c>
      <c r="Y102" s="2">
        <f>W102+X102</f>
        <v>433836.23899002705</v>
      </c>
      <c r="Z102" s="2">
        <v>7510092.299531848</v>
      </c>
      <c r="AA102" s="2">
        <v>0</v>
      </c>
      <c r="AB102" s="2">
        <v>0</v>
      </c>
      <c r="AC102" s="2">
        <v>0</v>
      </c>
      <c r="AD102" s="2">
        <v>0</v>
      </c>
      <c r="AE102" s="2">
        <v>1545858.223159854</v>
      </c>
      <c r="AF102" s="2">
        <f>F102-H102-L102-U102-AA102-AC102-AD102</f>
        <v>-1376426.8221495152</v>
      </c>
      <c r="AG102" s="2">
        <f>F102-H102-L102-U102-AA102-AB102-AD102-Y102</f>
        <v>-1810263.0611395421</v>
      </c>
      <c r="AH102" s="2">
        <f>AH101+AG102</f>
        <v>187591481.12311634</v>
      </c>
      <c r="AI102" s="2">
        <v>44114859.259436</v>
      </c>
      <c r="AJ102" s="2">
        <f>AH102-AI102</f>
        <v>143476621.86368033</v>
      </c>
      <c r="AK102" s="3">
        <v>0.25</v>
      </c>
    </row>
    <row r="103" spans="1:37">
      <c r="A103" s="2">
        <v>102</v>
      </c>
      <c r="B103" s="2">
        <v>2035</v>
      </c>
      <c r="C103" s="2">
        <v>72</v>
      </c>
      <c r="D103" s="2">
        <v>443356.8607848518</v>
      </c>
      <c r="E103" s="2">
        <v>31921693.97650933</v>
      </c>
      <c r="F103" s="2">
        <f>E103/1.19</f>
        <v>26824952.921436414</v>
      </c>
      <c r="G103" s="2">
        <v>100</v>
      </c>
      <c r="H103" s="2">
        <v>10284129.19653445</v>
      </c>
      <c r="I103" s="2">
        <v>188</v>
      </c>
      <c r="J103" s="2">
        <v>19305706.77075581</v>
      </c>
      <c r="K103" s="2">
        <v>7393674.933480948</v>
      </c>
      <c r="L103" s="2">
        <v>2734823.368663393</v>
      </c>
      <c r="M103" s="2">
        <v>8978232.951834733</v>
      </c>
      <c r="N103" s="3">
        <v>1.5</v>
      </c>
      <c r="O103" s="3">
        <v>2.5</v>
      </c>
      <c r="P103" s="2">
        <v>253354.0162775233</v>
      </c>
      <c r="Q103" s="2">
        <v>719462.0677240967</v>
      </c>
      <c r="R103" s="2">
        <v>316692.5203469041</v>
      </c>
      <c r="S103" s="2">
        <v>354695.6227885326</v>
      </c>
      <c r="T103" s="2">
        <v>3271433.735183519</v>
      </c>
      <c r="U103" s="2">
        <f>M103+P103+Q103+R103+S103+T103</f>
        <v>13893870.914155308</v>
      </c>
      <c r="V103" s="2">
        <f>F103-K103-L103-U103</f>
        <v>2802583.705136765</v>
      </c>
      <c r="W103" s="2">
        <v>71261.71074986435</v>
      </c>
      <c r="X103" s="2">
        <v>362574.5282401627</v>
      </c>
      <c r="Y103" s="2">
        <f>W103+X103</f>
        <v>433836.23899002705</v>
      </c>
      <c r="Z103" s="2">
        <v>7147517.771291685</v>
      </c>
      <c r="AA103" s="2">
        <v>0</v>
      </c>
      <c r="AB103" s="2">
        <v>0</v>
      </c>
      <c r="AC103" s="2">
        <v>0</v>
      </c>
      <c r="AD103" s="2">
        <v>386464.5557899638</v>
      </c>
      <c r="AE103" s="2">
        <v>1932322.778949818</v>
      </c>
      <c r="AF103" s="2">
        <f>F103-H103-L103-U103-AA103-AC103-AD103</f>
        <v>-474335.1137067019</v>
      </c>
      <c r="AG103" s="2">
        <f>F103-H103-L103-U103-AA103-AB103-AD103-Y103</f>
        <v>-908171.3526967289</v>
      </c>
      <c r="AH103" s="2">
        <f>AH102+AG103</f>
        <v>186683309.77041963</v>
      </c>
      <c r="AI103" s="2">
        <v>44114859.259436</v>
      </c>
      <c r="AJ103" s="2">
        <f>AH103-AI103</f>
        <v>142568450.51098362</v>
      </c>
      <c r="AK103" s="3">
        <v>0.25</v>
      </c>
    </row>
    <row r="104" spans="1:37">
      <c r="A104" s="2">
        <v>103</v>
      </c>
      <c r="B104" s="2">
        <v>2035</v>
      </c>
      <c r="C104" s="2">
        <v>83</v>
      </c>
      <c r="D104" s="2">
        <v>443356.8607848518</v>
      </c>
      <c r="E104" s="2">
        <v>36798619.4451427</v>
      </c>
      <c r="F104" s="2">
        <f>E104/1.19</f>
        <v>30923209.617766976</v>
      </c>
      <c r="G104" s="2">
        <v>120</v>
      </c>
      <c r="H104" s="2">
        <v>12340955.03584134</v>
      </c>
      <c r="I104" s="2">
        <v>225</v>
      </c>
      <c r="J104" s="2">
        <v>23118502.94313104</v>
      </c>
      <c r="K104" s="2">
        <v>8528158.863466116</v>
      </c>
      <c r="L104" s="2">
        <v>3153035.181865457</v>
      </c>
      <c r="M104" s="2">
        <v>8978232.951834733</v>
      </c>
      <c r="N104" s="3">
        <v>1.5</v>
      </c>
      <c r="O104" s="3">
        <v>2.5</v>
      </c>
      <c r="P104" s="2">
        <v>253354.0162775233</v>
      </c>
      <c r="Q104" s="2">
        <v>719462.0677240967</v>
      </c>
      <c r="R104" s="2">
        <v>316692.5203469041</v>
      </c>
      <c r="S104" s="2">
        <v>354695.6227885326</v>
      </c>
      <c r="T104" s="2">
        <v>3271433.735183519</v>
      </c>
      <c r="U104" s="2">
        <f>M104+P104+Q104+R104+S104+T104</f>
        <v>13893870.914155308</v>
      </c>
      <c r="V104" s="2">
        <f>F104-K104-L104-U104</f>
        <v>5348144.658280097</v>
      </c>
      <c r="W104" s="2">
        <v>67821.3161280393</v>
      </c>
      <c r="X104" s="2">
        <v>366014.9228619877</v>
      </c>
      <c r="Y104" s="2">
        <f>W104+X104</f>
        <v>433836.238990027</v>
      </c>
      <c r="Z104" s="2">
        <v>6781502.848429698</v>
      </c>
      <c r="AA104" s="2">
        <v>0</v>
      </c>
      <c r="AB104" s="2">
        <v>0</v>
      </c>
      <c r="AC104" s="2">
        <v>0</v>
      </c>
      <c r="AD104" s="2">
        <v>386464.5557899633</v>
      </c>
      <c r="AE104" s="2">
        <v>2318787.334739781</v>
      </c>
      <c r="AF104" s="2">
        <f>F104-H104-L104-U104-AA104-AC104-AD104</f>
        <v>1148883.930114909</v>
      </c>
      <c r="AG104" s="2">
        <f>F104-H104-L104-U104-AA104-AB104-AD104-Y104</f>
        <v>715047.6911248821</v>
      </c>
      <c r="AH104" s="2">
        <f>AH103+AG104</f>
        <v>187398357.4615445</v>
      </c>
      <c r="AI104" s="2">
        <v>44114859.259436</v>
      </c>
      <c r="AJ104" s="2">
        <f>AH104-AI104</f>
        <v>143283498.2021085</v>
      </c>
      <c r="AK104" s="3">
        <v>0.25</v>
      </c>
    </row>
    <row r="105" spans="1:37">
      <c r="A105" s="2">
        <v>104</v>
      </c>
      <c r="B105" s="2">
        <v>2035</v>
      </c>
      <c r="C105" s="2">
        <v>103</v>
      </c>
      <c r="D105" s="2">
        <v>443356.8607848518</v>
      </c>
      <c r="E105" s="2">
        <v>45665756.66083974</v>
      </c>
      <c r="F105" s="2">
        <f>E105/1.19</f>
        <v>38374585.4292771</v>
      </c>
      <c r="G105" s="2">
        <v>130</v>
      </c>
      <c r="H105" s="2">
        <v>13369367.95549479</v>
      </c>
      <c r="I105" s="2">
        <v>252</v>
      </c>
      <c r="J105" s="2">
        <v>25901249.20127805</v>
      </c>
      <c r="K105" s="2">
        <v>10586621.69734777</v>
      </c>
      <c r="L105" s="2">
        <v>3913081.479127356</v>
      </c>
      <c r="M105" s="2">
        <v>8978232.951834733</v>
      </c>
      <c r="N105" s="3">
        <v>1.5</v>
      </c>
      <c r="O105" s="3">
        <v>2.5</v>
      </c>
      <c r="P105" s="2">
        <v>253354.0162775233</v>
      </c>
      <c r="Q105" s="2">
        <v>719462.0677240967</v>
      </c>
      <c r="R105" s="2">
        <v>316692.5203469041</v>
      </c>
      <c r="S105" s="2">
        <v>354695.6227885326</v>
      </c>
      <c r="T105" s="2">
        <v>3271433.735183519</v>
      </c>
      <c r="U105" s="2">
        <f>M105+P105+Q105+R105+S105+T105</f>
        <v>13893870.914155308</v>
      </c>
      <c r="V105" s="2">
        <f>F105-K105-L105-U105</f>
        <v>9981011.338646661</v>
      </c>
      <c r="W105" s="2">
        <v>64348.27631403451</v>
      </c>
      <c r="X105" s="2">
        <v>369487.9626759925</v>
      </c>
      <c r="Y105" s="2">
        <f>W105+X105</f>
        <v>433836.23899002705</v>
      </c>
      <c r="Z105" s="2">
        <v>6412014.885753705</v>
      </c>
      <c r="AA105" s="2">
        <v>0</v>
      </c>
      <c r="AB105" s="2">
        <v>0</v>
      </c>
      <c r="AC105" s="2">
        <v>0</v>
      </c>
      <c r="AD105" s="2">
        <v>193232.2778949817</v>
      </c>
      <c r="AE105" s="2">
        <v>2512019.612634763</v>
      </c>
      <c r="AF105" s="2">
        <f>F105-H105-L105-U105-AA105-AC105-AD105</f>
        <v>7005032.802604672</v>
      </c>
      <c r="AG105" s="2">
        <f>F105-H105-L105-U105-AA105-AB105-AD105-Y105</f>
        <v>6571196.563614644</v>
      </c>
      <c r="AH105" s="2">
        <f>AH104+AG105</f>
        <v>193969554.02515915</v>
      </c>
      <c r="AI105" s="2">
        <v>44114859.259436</v>
      </c>
      <c r="AJ105" s="2">
        <f>AH105-AI105</f>
        <v>149854694.76572314</v>
      </c>
      <c r="AK105" s="3">
        <v>0.25</v>
      </c>
    </row>
    <row r="106" spans="1:37">
      <c r="A106" s="2">
        <v>105</v>
      </c>
      <c r="B106" s="2">
        <v>2035</v>
      </c>
      <c r="C106" s="2">
        <v>114</v>
      </c>
      <c r="D106" s="2">
        <v>443356.8607848518</v>
      </c>
      <c r="E106" s="2">
        <v>50542682.12947311</v>
      </c>
      <c r="F106" s="2">
        <f>E106/1.19</f>
        <v>42472842.12560766</v>
      </c>
      <c r="G106" s="2">
        <v>150</v>
      </c>
      <c r="H106" s="2">
        <v>15426193.79480167</v>
      </c>
      <c r="I106" s="2">
        <v>288</v>
      </c>
      <c r="J106" s="2">
        <v>29607720.3554004</v>
      </c>
      <c r="K106" s="2">
        <v>11719722.64067933</v>
      </c>
      <c r="L106" s="2">
        <v>4331182.653397132</v>
      </c>
      <c r="M106" s="2">
        <v>8978232.951834733</v>
      </c>
      <c r="N106" s="3">
        <v>1.5</v>
      </c>
      <c r="O106" s="3">
        <v>2.5</v>
      </c>
      <c r="P106" s="2">
        <v>253354.0162775233</v>
      </c>
      <c r="Q106" s="2">
        <v>719462.0677240967</v>
      </c>
      <c r="R106" s="2">
        <v>316692.5203469041</v>
      </c>
      <c r="S106" s="2">
        <v>354695.6227885326</v>
      </c>
      <c r="T106" s="2">
        <v>3271433.735183519</v>
      </c>
      <c r="U106" s="2">
        <f>M106+P106+Q106+R106+S106+T106</f>
        <v>13893870.914155308</v>
      </c>
      <c r="V106" s="2">
        <f>F106-K106-L106-U106</f>
        <v>12528065.917375896</v>
      </c>
      <c r="W106" s="2">
        <v>60842.28154438108</v>
      </c>
      <c r="X106" s="2">
        <v>372993.957445646</v>
      </c>
      <c r="Y106" s="2">
        <f>W106+X106</f>
        <v>433836.23899002705</v>
      </c>
      <c r="Z106" s="2">
        <v>6039020.928308059</v>
      </c>
      <c r="AA106" s="2">
        <v>0</v>
      </c>
      <c r="AB106" s="2">
        <v>0</v>
      </c>
      <c r="AC106" s="2">
        <v>0</v>
      </c>
      <c r="AD106" s="2">
        <v>386464.5557899633</v>
      </c>
      <c r="AE106" s="2">
        <v>2898484.168424726</v>
      </c>
      <c r="AF106" s="2">
        <f>F106-H106-L106-U106-AA106-AC106-AD106</f>
        <v>8435130.207463585</v>
      </c>
      <c r="AG106" s="2">
        <f>F106-H106-L106-U106-AA106-AB106-AD106-Y106</f>
        <v>8001293.968473557</v>
      </c>
      <c r="AH106" s="2">
        <f>AH105+AG106</f>
        <v>201970847.9936327</v>
      </c>
      <c r="AI106" s="2">
        <v>44114859.259436</v>
      </c>
      <c r="AJ106" s="2">
        <f>AH106-AI106</f>
        <v>157855988.7341967</v>
      </c>
      <c r="AK106" s="3">
        <v>0.25</v>
      </c>
    </row>
    <row r="107" spans="1:37">
      <c r="A107" s="2">
        <v>106</v>
      </c>
      <c r="B107" s="2">
        <v>2035</v>
      </c>
      <c r="C107" s="2">
        <v>134</v>
      </c>
      <c r="D107" s="2">
        <v>443356.8607848518</v>
      </c>
      <c r="E107" s="2">
        <v>59409819.34517015</v>
      </c>
      <c r="F107" s="2">
        <f>E107/1.19</f>
        <v>49924217.93711777</v>
      </c>
      <c r="G107" s="2">
        <v>170</v>
      </c>
      <c r="H107" s="2">
        <v>17483019.63410857</v>
      </c>
      <c r="I107" s="2">
        <v>324</v>
      </c>
      <c r="J107" s="2">
        <v>33313099.90524215</v>
      </c>
      <c r="K107" s="2">
        <v>13777640.08426682</v>
      </c>
      <c r="L107" s="2">
        <v>5091185.319435496</v>
      </c>
      <c r="M107" s="2">
        <v>8978232.951834733</v>
      </c>
      <c r="N107" s="3">
        <v>1.5</v>
      </c>
      <c r="O107" s="3">
        <v>2.5</v>
      </c>
      <c r="P107" s="2">
        <v>253354.0162775233</v>
      </c>
      <c r="Q107" s="2">
        <v>719462.0677240967</v>
      </c>
      <c r="R107" s="2">
        <v>316692.5203469041</v>
      </c>
      <c r="S107" s="2">
        <v>354695.6227885326</v>
      </c>
      <c r="T107" s="2">
        <v>3271433.735183519</v>
      </c>
      <c r="U107" s="2">
        <f>M107+P107+Q107+R107+S107+T107</f>
        <v>13893870.914155308</v>
      </c>
      <c r="V107" s="2">
        <f>F107-K107-L107-U107</f>
        <v>17161521.619260147</v>
      </c>
      <c r="W107" s="2">
        <v>57303.01911632866</v>
      </c>
      <c r="X107" s="2">
        <v>376533.2198736984</v>
      </c>
      <c r="Y107" s="2">
        <f>W107+X107</f>
        <v>433836.23899002705</v>
      </c>
      <c r="Z107" s="2">
        <v>5662487.708434361</v>
      </c>
      <c r="AA107" s="2">
        <v>0</v>
      </c>
      <c r="AB107" s="2">
        <v>0</v>
      </c>
      <c r="AC107" s="2">
        <v>0</v>
      </c>
      <c r="AD107" s="2">
        <v>386464.5557899638</v>
      </c>
      <c r="AE107" s="2">
        <v>3284948.72421469</v>
      </c>
      <c r="AF107" s="2">
        <f>F107-H107-L107-U107-AA107-AC107-AD107</f>
        <v>13069677.513628433</v>
      </c>
      <c r="AG107" s="2">
        <f>F107-H107-L107-U107-AA107-AB107-AD107-Y107</f>
        <v>12635841.274638405</v>
      </c>
      <c r="AH107" s="2">
        <f>AH106+AG107</f>
        <v>214606689.26827112</v>
      </c>
      <c r="AI107" s="2">
        <v>44114859.259436</v>
      </c>
      <c r="AJ107" s="2">
        <f>AH107-AI107</f>
        <v>170491830.0088351</v>
      </c>
      <c r="AK107" s="3">
        <v>0.25</v>
      </c>
    </row>
    <row r="108" spans="1:37">
      <c r="A108" s="2">
        <v>107</v>
      </c>
      <c r="B108" s="2">
        <v>2035</v>
      </c>
      <c r="C108" s="2">
        <v>145</v>
      </c>
      <c r="D108" s="2">
        <v>443356.8607848518</v>
      </c>
      <c r="E108" s="2">
        <v>64286744.81380352</v>
      </c>
      <c r="F108" s="2">
        <f>E108/1.19</f>
        <v>54022474.63344833</v>
      </c>
      <c r="G108" s="2">
        <v>20</v>
      </c>
      <c r="H108" s="2">
        <v>2056825.83930689</v>
      </c>
      <c r="I108" s="2">
        <v>199</v>
      </c>
      <c r="J108" s="2">
        <v>20461090.76501529</v>
      </c>
      <c r="K108" s="2">
        <v>14908834.97953375</v>
      </c>
      <c r="L108" s="2">
        <v>5509134.009860102</v>
      </c>
      <c r="M108" s="2">
        <v>8978232.951834733</v>
      </c>
      <c r="N108" s="3">
        <v>1.5</v>
      </c>
      <c r="O108" s="3">
        <v>2.5</v>
      </c>
      <c r="P108" s="2">
        <v>253354.0162775233</v>
      </c>
      <c r="Q108" s="2">
        <v>719462.0677240967</v>
      </c>
      <c r="R108" s="2">
        <v>316692.5203469041</v>
      </c>
      <c r="S108" s="2">
        <v>354695.6227885326</v>
      </c>
      <c r="T108" s="2">
        <v>3271433.735183519</v>
      </c>
      <c r="U108" s="2">
        <f>M108+P108+Q108+R108+S108+T108</f>
        <v>13893870.914155308</v>
      </c>
      <c r="V108" s="2">
        <f>F108-K108-L108-U108</f>
        <v>19710634.729899164</v>
      </c>
      <c r="W108" s="2">
        <v>53730.1733599553</v>
      </c>
      <c r="X108" s="2">
        <v>380106.0656300717</v>
      </c>
      <c r="Y108" s="2">
        <f>W108+X108</f>
        <v>433836.23899002705</v>
      </c>
      <c r="Z108" s="2">
        <v>5282381.642804289</v>
      </c>
      <c r="AA108" s="2">
        <v>0</v>
      </c>
      <c r="AB108" s="2">
        <v>0</v>
      </c>
      <c r="AC108" s="2">
        <v>0</v>
      </c>
      <c r="AD108" s="2">
        <v>-2898484.168424726</v>
      </c>
      <c r="AE108" s="2">
        <v>386464.5557899635</v>
      </c>
      <c r="AF108" s="2">
        <f>F108-H108-L108-U108-AA108-AC108-AD108</f>
        <v>35461128.038550764</v>
      </c>
      <c r="AG108" s="2">
        <f>F108-H108-L108-U108-AA108-AB108-AD108-Y108</f>
        <v>35027291.79956074</v>
      </c>
      <c r="AH108" s="2">
        <f>AH107+AG108</f>
        <v>249633981.06783187</v>
      </c>
      <c r="AI108" s="2">
        <v>44114859.259436</v>
      </c>
      <c r="AJ108" s="2">
        <f>AH108-AI108</f>
        <v>205519121.80839586</v>
      </c>
      <c r="AK108" s="3">
        <v>0.25</v>
      </c>
    </row>
    <row r="109" spans="1:37">
      <c r="A109" s="2">
        <v>108</v>
      </c>
      <c r="B109" s="2">
        <v>2035</v>
      </c>
      <c r="C109" s="2">
        <v>175</v>
      </c>
      <c r="D109" s="2">
        <v>443356.8607848518</v>
      </c>
      <c r="E109" s="2">
        <v>77587450.63734907</v>
      </c>
      <c r="F109" s="2">
        <f>E109/1.19</f>
        <v>65199538.35071351</v>
      </c>
      <c r="G109" s="2">
        <v>40</v>
      </c>
      <c r="H109" s="2">
        <v>4113651.67861378</v>
      </c>
      <c r="I109" s="2">
        <v>64</v>
      </c>
      <c r="J109" s="2">
        <v>6580684.169005273</v>
      </c>
      <c r="K109" s="2">
        <v>17994058.2746238</v>
      </c>
      <c r="L109" s="2">
        <v>6649005.779294355</v>
      </c>
      <c r="M109" s="2">
        <v>8978232.951834733</v>
      </c>
      <c r="N109" s="3">
        <v>1.5</v>
      </c>
      <c r="O109" s="3">
        <v>2.5</v>
      </c>
      <c r="P109" s="2">
        <v>253354.0162775233</v>
      </c>
      <c r="Q109" s="2">
        <v>719462.0677240967</v>
      </c>
      <c r="R109" s="2">
        <v>316692.5203469041</v>
      </c>
      <c r="S109" s="2">
        <v>354695.6227885326</v>
      </c>
      <c r="T109" s="2">
        <v>3271433.735183519</v>
      </c>
      <c r="U109" s="2">
        <f>M109+P109+Q109+R109+S109+T109</f>
        <v>13893870.914155308</v>
      </c>
      <c r="V109" s="2">
        <f>F109-K109-L109-U109</f>
        <v>26662603.382640045</v>
      </c>
      <c r="W109" s="2">
        <v>50123.42561001252</v>
      </c>
      <c r="X109" s="2">
        <v>383712.8133800145</v>
      </c>
      <c r="Y109" s="2">
        <f>W109+X109</f>
        <v>433836.238990027</v>
      </c>
      <c r="Z109" s="2">
        <v>4898668.829424275</v>
      </c>
      <c r="AA109" s="2">
        <v>0</v>
      </c>
      <c r="AB109" s="2">
        <v>17778489.68454226</v>
      </c>
      <c r="AC109" s="2">
        <v>17986545.53780157</v>
      </c>
      <c r="AD109" s="2">
        <v>386464.5557899635</v>
      </c>
      <c r="AE109" s="2">
        <v>772929.1115799269</v>
      </c>
      <c r="AF109" s="2">
        <f>F109-H109-L109-U109-AA109-AC109-AD109</f>
        <v>22169999.885058533</v>
      </c>
      <c r="AG109" s="2">
        <f>F109-H109-L109-U109-AA109-AB109-AD109-Y109</f>
        <v>21944219.499327812</v>
      </c>
      <c r="AH109" s="2">
        <f>AH108+AG109</f>
        <v>271578200.5671597</v>
      </c>
      <c r="AI109" s="2">
        <v>44114859.259436</v>
      </c>
      <c r="AJ109" s="2">
        <f>AH109-AI109</f>
        <v>227463341.3077237</v>
      </c>
      <c r="AK109" s="3">
        <v>0.25</v>
      </c>
    </row>
    <row r="110" spans="1:37">
      <c r="A110" s="2">
        <v>109</v>
      </c>
      <c r="B110" s="2">
        <v>2036</v>
      </c>
      <c r="C110" s="2">
        <v>22</v>
      </c>
      <c r="D110" s="2">
        <v>456657.5666083974</v>
      </c>
      <c r="E110" s="2">
        <v>10046466.46538474</v>
      </c>
      <c r="F110" s="2">
        <f>E110/1.19</f>
        <v>8442408.794440962</v>
      </c>
      <c r="G110" s="2">
        <v>40</v>
      </c>
      <c r="H110" s="2">
        <v>4237061.228972194</v>
      </c>
      <c r="I110" s="2">
        <v>82</v>
      </c>
      <c r="J110" s="2">
        <v>8529376.179174541</v>
      </c>
      <c r="K110" s="2">
        <v>2288369.218802926</v>
      </c>
      <c r="L110" s="2">
        <v>857622.9210389317</v>
      </c>
      <c r="M110" s="2">
        <v>9247579.940389775</v>
      </c>
      <c r="N110" s="3">
        <v>1.5</v>
      </c>
      <c r="O110" s="3">
        <v>2.5</v>
      </c>
      <c r="P110" s="2">
        <v>260954.636765849</v>
      </c>
      <c r="Q110" s="2">
        <v>768315.6892978508</v>
      </c>
      <c r="R110" s="2">
        <v>326193.2959573112</v>
      </c>
      <c r="S110" s="2">
        <v>365336.4914721886</v>
      </c>
      <c r="T110" s="2">
        <v>3539197.261136827</v>
      </c>
      <c r="U110" s="2">
        <f>M110+P110+Q110+R110+S110+T110</f>
        <v>14507577.315019801</v>
      </c>
      <c r="V110" s="2">
        <f>F110-K110-L110-U110</f>
        <v>-9211160.660420695</v>
      </c>
      <c r="W110" s="2">
        <v>46482.45417750326</v>
      </c>
      <c r="X110" s="2">
        <v>387353.7848125238</v>
      </c>
      <c r="Y110" s="2">
        <f>W110+X110</f>
        <v>433836.23899002705</v>
      </c>
      <c r="Z110" s="2">
        <v>4511315.044611751</v>
      </c>
      <c r="AA110" s="2">
        <v>1957159.775743867</v>
      </c>
      <c r="AB110" s="2">
        <v>0</v>
      </c>
      <c r="AC110" s="2">
        <v>0</v>
      </c>
      <c r="AD110" s="2">
        <v>23187.87334739789</v>
      </c>
      <c r="AE110" s="2">
        <v>796116.9849273248</v>
      </c>
      <c r="AF110" s="2">
        <f>F110-H110-L110-U110-AA110-AC110-AD110</f>
        <v>-13140200.319681231</v>
      </c>
      <c r="AG110" s="2">
        <f>F110-H110-L110-U110-AA110-AB110-AD110-Y110</f>
        <v>-13574036.558671258</v>
      </c>
      <c r="AH110" s="2">
        <f>AH109+AG110</f>
        <v>258004164.00848845</v>
      </c>
      <c r="AI110" s="2">
        <v>45955978.46202949</v>
      </c>
      <c r="AJ110" s="2">
        <f>AH110-AI110</f>
        <v>212048185.54645896</v>
      </c>
      <c r="AK110" s="3">
        <v>0.25</v>
      </c>
    </row>
    <row r="111" spans="1:37">
      <c r="A111" s="2">
        <v>110</v>
      </c>
      <c r="B111" s="2">
        <v>2036</v>
      </c>
      <c r="C111" s="2">
        <v>33</v>
      </c>
      <c r="D111" s="2">
        <v>456657.5666083974</v>
      </c>
      <c r="E111" s="2">
        <v>15069699.69807711</v>
      </c>
      <c r="F111" s="2">
        <f>E111/1.19</f>
        <v>12663613.191661442</v>
      </c>
      <c r="G111" s="2">
        <v>50</v>
      </c>
      <c r="H111" s="2">
        <v>5296326.536215243</v>
      </c>
      <c r="I111" s="2">
        <v>99</v>
      </c>
      <c r="J111" s="2">
        <v>10369277.03654234</v>
      </c>
      <c r="K111" s="2">
        <v>3456425.678847446</v>
      </c>
      <c r="L111" s="2">
        <v>1288344.129609842</v>
      </c>
      <c r="M111" s="2">
        <v>9247579.940389775</v>
      </c>
      <c r="N111" s="3">
        <v>1.5</v>
      </c>
      <c r="O111" s="3">
        <v>2.5</v>
      </c>
      <c r="P111" s="2">
        <v>260954.636765849</v>
      </c>
      <c r="Q111" s="2">
        <v>768315.6892978508</v>
      </c>
      <c r="R111" s="2">
        <v>326193.2959573112</v>
      </c>
      <c r="S111" s="2">
        <v>365336.4914721886</v>
      </c>
      <c r="T111" s="2">
        <v>3539197.261136827</v>
      </c>
      <c r="U111" s="2">
        <f>M111+P111+Q111+R111+S111+T111</f>
        <v>14507577.315019801</v>
      </c>
      <c r="V111" s="2">
        <f>F111-K111-L111-U111</f>
        <v>-6588733.931815647</v>
      </c>
      <c r="W111" s="2">
        <v>42806.93432099018</v>
      </c>
      <c r="X111" s="2">
        <v>391029.3046690369</v>
      </c>
      <c r="Y111" s="2">
        <f>W111+X111</f>
        <v>433836.23899002705</v>
      </c>
      <c r="Z111" s="2">
        <v>4120285.739942714</v>
      </c>
      <c r="AA111" s="2">
        <v>0</v>
      </c>
      <c r="AB111" s="2">
        <v>0</v>
      </c>
      <c r="AC111" s="2">
        <v>0</v>
      </c>
      <c r="AD111" s="2">
        <v>199029.2462318313</v>
      </c>
      <c r="AE111" s="2">
        <v>995146.2311591561</v>
      </c>
      <c r="AF111" s="2">
        <f>F111-H111-L111-U111-AA111-AC111-AD111</f>
        <v>-8627664.035415277</v>
      </c>
      <c r="AG111" s="2">
        <f>F111-H111-L111-U111-AA111-AB111-AD111-Y111</f>
        <v>-9061500.274405304</v>
      </c>
      <c r="AH111" s="2">
        <f>AH110+AG111</f>
        <v>248942663.73408315</v>
      </c>
      <c r="AI111" s="2">
        <v>45955978.46202949</v>
      </c>
      <c r="AJ111" s="2">
        <f>AH111-AI111</f>
        <v>202986685.27205366</v>
      </c>
      <c r="AK111" s="3">
        <v>0.25</v>
      </c>
    </row>
    <row r="112" spans="1:37">
      <c r="A112" s="2">
        <v>111</v>
      </c>
      <c r="B112" s="2">
        <v>2036</v>
      </c>
      <c r="C112" s="2">
        <v>43</v>
      </c>
      <c r="D112" s="2">
        <v>456657.5666083974</v>
      </c>
      <c r="E112" s="2">
        <v>19636275.36416109</v>
      </c>
      <c r="F112" s="2">
        <f>E112/1.19</f>
        <v>16501071.734589152</v>
      </c>
      <c r="G112" s="2">
        <v>70</v>
      </c>
      <c r="H112" s="2">
        <v>7414857.150701339</v>
      </c>
      <c r="I112" s="2">
        <v>126</v>
      </c>
      <c r="J112" s="2">
        <v>13259176.96800416</v>
      </c>
      <c r="K112" s="2">
        <v>4524957.219239515</v>
      </c>
      <c r="L112" s="2">
        <v>1680441.827175161</v>
      </c>
      <c r="M112" s="2">
        <v>9247579.940389775</v>
      </c>
      <c r="N112" s="3">
        <v>1.5</v>
      </c>
      <c r="O112" s="3">
        <v>2.5</v>
      </c>
      <c r="P112" s="2">
        <v>260954.636765849</v>
      </c>
      <c r="Q112" s="2">
        <v>768315.6892978508</v>
      </c>
      <c r="R112" s="2">
        <v>326193.2959573112</v>
      </c>
      <c r="S112" s="2">
        <v>365336.4914721886</v>
      </c>
      <c r="T112" s="2">
        <v>3539197.261136827</v>
      </c>
      <c r="U112" s="2">
        <f>M112+P112+Q112+R112+S112+T112</f>
        <v>14507577.315019801</v>
      </c>
      <c r="V112" s="2">
        <f>F112-K112-L112-U112</f>
        <v>-4211904.626845324</v>
      </c>
      <c r="W112" s="2">
        <v>39096.5382176317</v>
      </c>
      <c r="X112" s="2">
        <v>394739.7007723954</v>
      </c>
      <c r="Y112" s="2">
        <f>W112+X112</f>
        <v>433836.23899002705</v>
      </c>
      <c r="Z112" s="2">
        <v>3725546.039170319</v>
      </c>
      <c r="AA112" s="2">
        <v>0</v>
      </c>
      <c r="AB112" s="2">
        <v>0</v>
      </c>
      <c r="AC112" s="2">
        <v>0</v>
      </c>
      <c r="AD112" s="2">
        <v>398058.4924636622</v>
      </c>
      <c r="AE112" s="2">
        <v>1393204.723622818</v>
      </c>
      <c r="AF112" s="2">
        <f>F112-H112-L112-U112-AA112-AC112-AD112</f>
        <v>-7499863.050770813</v>
      </c>
      <c r="AG112" s="2">
        <f>F112-H112-L112-U112-AA112-AB112-AD112-Y112</f>
        <v>-7933699.28976084</v>
      </c>
      <c r="AH112" s="2">
        <f>AH111+AG112</f>
        <v>241008964.44432232</v>
      </c>
      <c r="AI112" s="2">
        <v>45955978.46202949</v>
      </c>
      <c r="AJ112" s="2">
        <f>AH112-AI112</f>
        <v>195052985.98229283</v>
      </c>
      <c r="AK112" s="3">
        <v>0.25</v>
      </c>
    </row>
    <row r="113" spans="1:37">
      <c r="A113" s="2">
        <v>112</v>
      </c>
      <c r="B113" s="2">
        <v>2036</v>
      </c>
      <c r="C113" s="2">
        <v>54</v>
      </c>
      <c r="D113" s="2">
        <v>456657.5666083974</v>
      </c>
      <c r="E113" s="2">
        <v>24659508.59685346</v>
      </c>
      <c r="F113" s="2">
        <f>E113/1.19</f>
        <v>20722276.131809633</v>
      </c>
      <c r="G113" s="2">
        <v>70</v>
      </c>
      <c r="H113" s="2">
        <v>7414857.150701339</v>
      </c>
      <c r="I113" s="2">
        <v>142</v>
      </c>
      <c r="J113" s="2">
        <v>14978126.75947031</v>
      </c>
      <c r="K113" s="2">
        <v>5695907.359235188</v>
      </c>
      <c r="L113" s="2">
        <v>2111394.530142163</v>
      </c>
      <c r="M113" s="2">
        <v>9247579.940389775</v>
      </c>
      <c r="N113" s="3">
        <v>1.5</v>
      </c>
      <c r="O113" s="3">
        <v>2.5</v>
      </c>
      <c r="P113" s="2">
        <v>260954.636765849</v>
      </c>
      <c r="Q113" s="2">
        <v>768315.6892978508</v>
      </c>
      <c r="R113" s="2">
        <v>326193.2959573112</v>
      </c>
      <c r="S113" s="2">
        <v>365336.4914721886</v>
      </c>
      <c r="T113" s="2">
        <v>3539197.261136827</v>
      </c>
      <c r="U113" s="2">
        <f>M113+P113+Q113+R113+S113+T113</f>
        <v>14507577.315019801</v>
      </c>
      <c r="V113" s="2">
        <f>F113-K113-L113-U113</f>
        <v>-1592603.07258752</v>
      </c>
      <c r="W113" s="2">
        <v>35350.93493394317</v>
      </c>
      <c r="X113" s="2">
        <v>398485.3040560839</v>
      </c>
      <c r="Y113" s="2">
        <f>W113+X113</f>
        <v>433836.23899002705</v>
      </c>
      <c r="Z113" s="2">
        <v>3327060.735114235</v>
      </c>
      <c r="AA113" s="2">
        <v>0</v>
      </c>
      <c r="AB113" s="2">
        <v>0</v>
      </c>
      <c r="AC113" s="2">
        <v>0</v>
      </c>
      <c r="AD113" s="2">
        <v>0</v>
      </c>
      <c r="AE113" s="2">
        <v>1393204.723622818</v>
      </c>
      <c r="AF113" s="2">
        <f>F113-H113-L113-U113-AA113-AC113-AD113</f>
        <v>-3311552.864053672</v>
      </c>
      <c r="AG113" s="2">
        <f>F113-H113-L113-U113-AA113-AB113-AD113-Y113</f>
        <v>-3745389.103043699</v>
      </c>
      <c r="AH113" s="2">
        <f>AH112+AG113</f>
        <v>237263575.3412786</v>
      </c>
      <c r="AI113" s="2">
        <v>45955978.46202949</v>
      </c>
      <c r="AJ113" s="2">
        <f>AH113-AI113</f>
        <v>191307596.87924913</v>
      </c>
      <c r="AK113" s="3">
        <v>0.25</v>
      </c>
    </row>
    <row r="114" spans="1:37">
      <c r="A114" s="2">
        <v>113</v>
      </c>
      <c r="B114" s="2">
        <v>2036</v>
      </c>
      <c r="C114" s="2">
        <v>65</v>
      </c>
      <c r="D114" s="2">
        <v>456657.5666083974</v>
      </c>
      <c r="E114" s="2">
        <v>29682741.82954583</v>
      </c>
      <c r="F114" s="2">
        <f>E114/1.19</f>
        <v>24943480.529030114</v>
      </c>
      <c r="G114" s="2">
        <v>90</v>
      </c>
      <c r="H114" s="2">
        <v>9533387.765187437</v>
      </c>
      <c r="I114" s="2">
        <v>167</v>
      </c>
      <c r="J114" s="2">
        <v>17644064.33455968</v>
      </c>
      <c r="K114" s="2">
        <v>6867450.190098076</v>
      </c>
      <c r="L114" s="2">
        <v>2542394.648378544</v>
      </c>
      <c r="M114" s="2">
        <v>9247579.940389775</v>
      </c>
      <c r="N114" s="3">
        <v>1.5</v>
      </c>
      <c r="O114" s="3">
        <v>2.5</v>
      </c>
      <c r="P114" s="2">
        <v>260954.636765849</v>
      </c>
      <c r="Q114" s="2">
        <v>768315.6892978508</v>
      </c>
      <c r="R114" s="2">
        <v>326193.2959573112</v>
      </c>
      <c r="S114" s="2">
        <v>365336.4914721886</v>
      </c>
      <c r="T114" s="2">
        <v>3539197.261136827</v>
      </c>
      <c r="U114" s="2">
        <f>M114+P114+Q114+R114+S114+T114</f>
        <v>14507577.315019801</v>
      </c>
      <c r="V114" s="2">
        <f>F114-K114-L114-U114</f>
        <v>1026058.3755336925</v>
      </c>
      <c r="W114" s="2">
        <v>31569.79039628063</v>
      </c>
      <c r="X114" s="2">
        <v>402266.4485937464</v>
      </c>
      <c r="Y114" s="2">
        <f>W114+X114</f>
        <v>433836.23899002705</v>
      </c>
      <c r="Z114" s="2">
        <v>2924794.286520489</v>
      </c>
      <c r="AA114" s="2">
        <v>0</v>
      </c>
      <c r="AB114" s="2">
        <v>0</v>
      </c>
      <c r="AC114" s="2">
        <v>0</v>
      </c>
      <c r="AD114" s="2">
        <v>398058.492463663</v>
      </c>
      <c r="AE114" s="2">
        <v>1791263.216086481</v>
      </c>
      <c r="AF114" s="2">
        <f>F114-H114-L114-U114-AA114-AC114-AD114</f>
        <v>-2037937.69201933</v>
      </c>
      <c r="AG114" s="2">
        <f>F114-H114-L114-U114-AA114-AB114-AD114-Y114</f>
        <v>-2471773.9310093573</v>
      </c>
      <c r="AH114" s="2">
        <f>AH113+AG114</f>
        <v>234791801.41026926</v>
      </c>
      <c r="AI114" s="2">
        <v>45955978.46202949</v>
      </c>
      <c r="AJ114" s="2">
        <f>AH114-AI114</f>
        <v>188835822.94823977</v>
      </c>
      <c r="AK114" s="3">
        <v>0.25</v>
      </c>
    </row>
    <row r="115" spans="1:37">
      <c r="A115" s="2">
        <v>114</v>
      </c>
      <c r="B115" s="2">
        <v>2036</v>
      </c>
      <c r="C115" s="2">
        <v>76</v>
      </c>
      <c r="D115" s="2">
        <v>456657.5666083974</v>
      </c>
      <c r="E115" s="2">
        <v>34705975.0622382</v>
      </c>
      <c r="F115" s="2">
        <f>E115/1.19</f>
        <v>29164684.926250592</v>
      </c>
      <c r="G115" s="2">
        <v>110</v>
      </c>
      <c r="H115" s="2">
        <v>11651918.37967353</v>
      </c>
      <c r="I115" s="2">
        <v>201</v>
      </c>
      <c r="J115" s="2">
        <v>21258095.76014756</v>
      </c>
      <c r="K115" s="2">
        <v>8037886.954085645</v>
      </c>
      <c r="L115" s="2">
        <v>2973306.281264897</v>
      </c>
      <c r="M115" s="2">
        <v>9247579.940389775</v>
      </c>
      <c r="N115" s="3">
        <v>1.5</v>
      </c>
      <c r="O115" s="3">
        <v>2.5</v>
      </c>
      <c r="P115" s="2">
        <v>260954.636765849</v>
      </c>
      <c r="Q115" s="2">
        <v>768315.6892978508</v>
      </c>
      <c r="R115" s="2">
        <v>326193.2959573112</v>
      </c>
      <c r="S115" s="2">
        <v>365336.4914721886</v>
      </c>
      <c r="T115" s="2">
        <v>3539197.261136827</v>
      </c>
      <c r="U115" s="2">
        <f>M115+P115+Q115+R115+S115+T115</f>
        <v>14507577.315019801</v>
      </c>
      <c r="V115" s="2">
        <f>F115-K115-L115-U115</f>
        <v>3645914.375880249</v>
      </c>
      <c r="W115" s="2">
        <v>27752.76736104447</v>
      </c>
      <c r="X115" s="2">
        <v>406083.4716289826</v>
      </c>
      <c r="Y115" s="2">
        <f>W115+X115</f>
        <v>433836.23899002705</v>
      </c>
      <c r="Z115" s="2">
        <v>2518710.814891506</v>
      </c>
      <c r="AA115" s="2">
        <v>0</v>
      </c>
      <c r="AB115" s="2">
        <v>0</v>
      </c>
      <c r="AC115" s="2">
        <v>0</v>
      </c>
      <c r="AD115" s="2">
        <v>398058.4924636618</v>
      </c>
      <c r="AE115" s="2">
        <v>2189321.708550143</v>
      </c>
      <c r="AF115" s="2">
        <f>F115-H115-L115-U115-AA115-AC115-AD115</f>
        <v>-366175.5421713018</v>
      </c>
      <c r="AG115" s="2">
        <f>F115-H115-L115-U115-AA115-AB115-AD115-Y115</f>
        <v>-800011.7811613288</v>
      </c>
      <c r="AH115" s="2">
        <f>AH114+AG115</f>
        <v>233991789.62910792</v>
      </c>
      <c r="AI115" s="2">
        <v>45955978.46202949</v>
      </c>
      <c r="AJ115" s="2">
        <f>AH115-AI115</f>
        <v>188035811.16707844</v>
      </c>
      <c r="AK115" s="3">
        <v>0.25</v>
      </c>
    </row>
    <row r="116" spans="1:37">
      <c r="A116" s="2">
        <v>115</v>
      </c>
      <c r="B116" s="2">
        <v>2036</v>
      </c>
      <c r="C116" s="2">
        <v>87</v>
      </c>
      <c r="D116" s="2">
        <v>456657.5666083974</v>
      </c>
      <c r="E116" s="2">
        <v>39729208.29493058</v>
      </c>
      <c r="F116" s="2">
        <f>E116/1.19</f>
        <v>33385889.323471073</v>
      </c>
      <c r="G116" s="2">
        <v>120</v>
      </c>
      <c r="H116" s="2">
        <v>12711183.68691658</v>
      </c>
      <c r="I116" s="2">
        <v>234</v>
      </c>
      <c r="J116" s="2">
        <v>24762652.30720564</v>
      </c>
      <c r="K116" s="2">
        <v>9206627.139858507</v>
      </c>
      <c r="L116" s="2">
        <v>3404082.187894075</v>
      </c>
      <c r="M116" s="2">
        <v>9247579.940389775</v>
      </c>
      <c r="N116" s="3">
        <v>1.5</v>
      </c>
      <c r="O116" s="3">
        <v>2.5</v>
      </c>
      <c r="P116" s="2">
        <v>260954.636765849</v>
      </c>
      <c r="Q116" s="2">
        <v>768315.6892978508</v>
      </c>
      <c r="R116" s="2">
        <v>326193.2959573112</v>
      </c>
      <c r="S116" s="2">
        <v>365336.4914721886</v>
      </c>
      <c r="T116" s="2">
        <v>3539197.261136827</v>
      </c>
      <c r="U116" s="2">
        <f>M116+P116+Q116+R116+S116+T116</f>
        <v>14507577.315019801</v>
      </c>
      <c r="V116" s="2">
        <f>F116-K116-L116-U116</f>
        <v>6267602.680698689</v>
      </c>
      <c r="W116" s="2">
        <v>23899.52538460043</v>
      </c>
      <c r="X116" s="2">
        <v>409936.7136054266</v>
      </c>
      <c r="Y116" s="2">
        <f>W116+X116</f>
        <v>433836.23899002705</v>
      </c>
      <c r="Z116" s="2">
        <v>2108774.101286079</v>
      </c>
      <c r="AA116" s="2">
        <v>0</v>
      </c>
      <c r="AB116" s="2">
        <v>0</v>
      </c>
      <c r="AC116" s="2">
        <v>0</v>
      </c>
      <c r="AD116" s="2">
        <v>199029.2462318311</v>
      </c>
      <c r="AE116" s="2">
        <v>2388350.954781974</v>
      </c>
      <c r="AF116" s="2">
        <f>F116-H116-L116-U116-AA116-AC116-AD116</f>
        <v>2564016.887408786</v>
      </c>
      <c r="AG116" s="2">
        <f>F116-H116-L116-U116-AA116-AB116-AD116-Y116</f>
        <v>2130180.648418759</v>
      </c>
      <c r="AH116" s="2">
        <f>AH115+AG116</f>
        <v>236121970.27752668</v>
      </c>
      <c r="AI116" s="2">
        <v>45955978.46202949</v>
      </c>
      <c r="AJ116" s="2">
        <f>AH116-AI116</f>
        <v>190165991.8154972</v>
      </c>
      <c r="AK116" s="3">
        <v>0.25</v>
      </c>
    </row>
    <row r="117" spans="1:37">
      <c r="A117" s="2">
        <v>116</v>
      </c>
      <c r="B117" s="2">
        <v>2036</v>
      </c>
      <c r="C117" s="2">
        <v>109</v>
      </c>
      <c r="D117" s="2">
        <v>456657.5666083974</v>
      </c>
      <c r="E117" s="2">
        <v>49775674.76031532</v>
      </c>
      <c r="F117" s="2">
        <f>E117/1.19</f>
        <v>41828298.11791204</v>
      </c>
      <c r="G117" s="2">
        <v>140</v>
      </c>
      <c r="H117" s="2">
        <v>14829714.30140268</v>
      </c>
      <c r="I117" s="2">
        <v>265</v>
      </c>
      <c r="J117" s="2">
        <v>28053414.84299787</v>
      </c>
      <c r="K117" s="2">
        <v>11538951.76561045</v>
      </c>
      <c r="L117" s="2">
        <v>4265221.541488928</v>
      </c>
      <c r="M117" s="2">
        <v>9247579.940389775</v>
      </c>
      <c r="N117" s="3">
        <v>1.5</v>
      </c>
      <c r="O117" s="3">
        <v>2.5</v>
      </c>
      <c r="P117" s="2">
        <v>260954.636765849</v>
      </c>
      <c r="Q117" s="2">
        <v>768315.6892978508</v>
      </c>
      <c r="R117" s="2">
        <v>326193.2959573112</v>
      </c>
      <c r="S117" s="2">
        <v>365336.4914721886</v>
      </c>
      <c r="T117" s="2">
        <v>3539197.261136827</v>
      </c>
      <c r="U117" s="2">
        <f>M117+P117+Q117+R117+S117+T117</f>
        <v>14507577.315019801</v>
      </c>
      <c r="V117" s="2">
        <f>F117-K117-L117-U117</f>
        <v>11516547.495792866</v>
      </c>
      <c r="W117" s="2">
        <v>20009.72079291506</v>
      </c>
      <c r="X117" s="2">
        <v>413826.518197112</v>
      </c>
      <c r="Y117" s="2">
        <f>W117+X117</f>
        <v>433836.2389900271</v>
      </c>
      <c r="Z117" s="2">
        <v>1694947.583088967</v>
      </c>
      <c r="AA117" s="2">
        <v>0</v>
      </c>
      <c r="AB117" s="2">
        <v>0</v>
      </c>
      <c r="AC117" s="2">
        <v>0</v>
      </c>
      <c r="AD117" s="2">
        <v>398058.4924636623</v>
      </c>
      <c r="AE117" s="2">
        <v>2786409.447245636</v>
      </c>
      <c r="AF117" s="2">
        <f>F117-H117-L117-U117-AA117-AC117-AD117</f>
        <v>7827726.467536968</v>
      </c>
      <c r="AG117" s="2">
        <f>F117-H117-L117-U117-AA117-AB117-AD117-Y117</f>
        <v>7393890.228546941</v>
      </c>
      <c r="AH117" s="2">
        <f>AH116+AG117</f>
        <v>243515860.50607362</v>
      </c>
      <c r="AI117" s="2">
        <v>45955978.46202949</v>
      </c>
      <c r="AJ117" s="2">
        <f>AH117-AI117</f>
        <v>197559882.04404414</v>
      </c>
      <c r="AK117" s="3">
        <v>0.25</v>
      </c>
    </row>
    <row r="118" spans="1:37">
      <c r="A118" s="2">
        <v>117</v>
      </c>
      <c r="B118" s="2">
        <v>2036</v>
      </c>
      <c r="C118" s="2">
        <v>119</v>
      </c>
      <c r="D118" s="2">
        <v>456657.5666083974</v>
      </c>
      <c r="E118" s="2">
        <v>54342250.42639929</v>
      </c>
      <c r="F118" s="2">
        <f>E118/1.19</f>
        <v>45665756.660839744</v>
      </c>
      <c r="G118" s="2">
        <v>150</v>
      </c>
      <c r="H118" s="2">
        <v>15888979.60864573</v>
      </c>
      <c r="I118" s="2">
        <v>296</v>
      </c>
      <c r="J118" s="2">
        <v>31342045.19924459</v>
      </c>
      <c r="K118" s="2">
        <v>12600349.25239901</v>
      </c>
      <c r="L118" s="2">
        <v>4656748.514765967</v>
      </c>
      <c r="M118" s="2">
        <v>9247579.940389775</v>
      </c>
      <c r="N118" s="3">
        <v>1.5</v>
      </c>
      <c r="O118" s="3">
        <v>2.5</v>
      </c>
      <c r="P118" s="2">
        <v>260954.636765849</v>
      </c>
      <c r="Q118" s="2">
        <v>768315.6892978508</v>
      </c>
      <c r="R118" s="2">
        <v>326193.2959573112</v>
      </c>
      <c r="S118" s="2">
        <v>365336.4914721886</v>
      </c>
      <c r="T118" s="2">
        <v>3539197.261136827</v>
      </c>
      <c r="U118" s="2">
        <f>M118+P118+Q118+R118+S118+T118</f>
        <v>14507577.315019801</v>
      </c>
      <c r="V118" s="2">
        <f>F118-K118-L118-U118</f>
        <v>13901081.578654967</v>
      </c>
      <c r="W118" s="2">
        <v>16083.0066509032</v>
      </c>
      <c r="X118" s="2">
        <v>417753.2323391238</v>
      </c>
      <c r="Y118" s="2">
        <f>W118+X118</f>
        <v>433836.23899002705</v>
      </c>
      <c r="Z118" s="2">
        <v>1277194.350749843</v>
      </c>
      <c r="AA118" s="2">
        <v>0</v>
      </c>
      <c r="AB118" s="2">
        <v>0</v>
      </c>
      <c r="AC118" s="2">
        <v>0</v>
      </c>
      <c r="AD118" s="2">
        <v>199029.2462318316</v>
      </c>
      <c r="AE118" s="2">
        <v>2985438.693477468</v>
      </c>
      <c r="AF118" s="2">
        <f>F118-H118-L118-U118-AA118-AC118-AD118</f>
        <v>10413421.976176418</v>
      </c>
      <c r="AG118" s="2">
        <f>F118-H118-L118-U118-AA118-AB118-AD118-Y118</f>
        <v>9979585.73718639</v>
      </c>
      <c r="AH118" s="2">
        <f>AH117+AG118</f>
        <v>253495446.24326003</v>
      </c>
      <c r="AI118" s="2">
        <v>45955978.46202949</v>
      </c>
      <c r="AJ118" s="2">
        <f>AH118-AI118</f>
        <v>207539467.78123054</v>
      </c>
      <c r="AK118" s="3">
        <v>0.25</v>
      </c>
    </row>
    <row r="119" spans="1:37">
      <c r="A119" s="2">
        <v>118</v>
      </c>
      <c r="B119" s="2">
        <v>2036</v>
      </c>
      <c r="C119" s="2">
        <v>141</v>
      </c>
      <c r="D119" s="2">
        <v>456657.5666083974</v>
      </c>
      <c r="E119" s="2">
        <v>64388716.89178403</v>
      </c>
      <c r="F119" s="2">
        <f>E119/1.19</f>
        <v>54108165.45528071</v>
      </c>
      <c r="G119" s="2">
        <v>190</v>
      </c>
      <c r="H119" s="2">
        <v>20126040.83761792</v>
      </c>
      <c r="I119" s="2">
        <v>345</v>
      </c>
      <c r="J119" s="2">
        <v>36535987.00147647</v>
      </c>
      <c r="K119" s="2">
        <v>14932099.03538604</v>
      </c>
      <c r="L119" s="2">
        <v>5517841.880939626</v>
      </c>
      <c r="M119" s="2">
        <v>9247579.940389775</v>
      </c>
      <c r="N119" s="3">
        <v>1.5</v>
      </c>
      <c r="O119" s="3">
        <v>2.5</v>
      </c>
      <c r="P119" s="2">
        <v>260954.636765849</v>
      </c>
      <c r="Q119" s="2">
        <v>768315.6892978508</v>
      </c>
      <c r="R119" s="2">
        <v>326193.2959573112</v>
      </c>
      <c r="S119" s="2">
        <v>365336.4914721886</v>
      </c>
      <c r="T119" s="2">
        <v>3539197.261136827</v>
      </c>
      <c r="U119" s="2">
        <f>M119+P119+Q119+R119+S119+T119</f>
        <v>14507577.315019801</v>
      </c>
      <c r="V119" s="2">
        <f>F119-K119-L119-U119</f>
        <v>19150647.223935246</v>
      </c>
      <c r="W119" s="2">
        <v>12119.03273148449</v>
      </c>
      <c r="X119" s="2">
        <v>421717.2062585425</v>
      </c>
      <c r="Y119" s="2">
        <f>W119+X119</f>
        <v>433836.23899002705</v>
      </c>
      <c r="Z119" s="2">
        <v>855477.1444913007</v>
      </c>
      <c r="AA119" s="2">
        <v>0</v>
      </c>
      <c r="AB119" s="2">
        <v>0</v>
      </c>
      <c r="AC119" s="2">
        <v>0</v>
      </c>
      <c r="AD119" s="2">
        <v>796116.9849273246</v>
      </c>
      <c r="AE119" s="2">
        <v>3781555.678404793</v>
      </c>
      <c r="AF119" s="2">
        <f>F119-H119-L119-U119-AA119-AC119-AD119</f>
        <v>13160588.436776036</v>
      </c>
      <c r="AG119" s="2">
        <f>F119-H119-L119-U119-AA119-AB119-AD119-Y119</f>
        <v>12726752.197786009</v>
      </c>
      <c r="AH119" s="2">
        <f>AH118+AG119</f>
        <v>266222198.44104603</v>
      </c>
      <c r="AI119" s="2">
        <v>45955978.46202949</v>
      </c>
      <c r="AJ119" s="2">
        <f>AH119-AI119</f>
        <v>220266219.97901654</v>
      </c>
      <c r="AK119" s="3">
        <v>0.25</v>
      </c>
    </row>
    <row r="120" spans="1:37">
      <c r="A120" s="2">
        <v>119</v>
      </c>
      <c r="B120" s="2">
        <v>2036</v>
      </c>
      <c r="C120" s="2">
        <v>152</v>
      </c>
      <c r="D120" s="2">
        <v>456657.5666083974</v>
      </c>
      <c r="E120" s="2">
        <v>69411950.1244764</v>
      </c>
      <c r="F120" s="2">
        <f>E120/1.19</f>
        <v>58329369.852501184</v>
      </c>
      <c r="G120" s="2">
        <v>20</v>
      </c>
      <c r="H120" s="2">
        <v>2118530.614486097</v>
      </c>
      <c r="I120" s="2">
        <v>213</v>
      </c>
      <c r="J120" s="2">
        <v>22557293.84164391</v>
      </c>
      <c r="K120" s="2">
        <v>16097223.77431866</v>
      </c>
      <c r="L120" s="2">
        <v>5948328.551821584</v>
      </c>
      <c r="M120" s="2">
        <v>9247579.940389775</v>
      </c>
      <c r="N120" s="3">
        <v>1.5</v>
      </c>
      <c r="O120" s="3">
        <v>2.5</v>
      </c>
      <c r="P120" s="2">
        <v>260954.636765849</v>
      </c>
      <c r="Q120" s="2">
        <v>768315.6892978508</v>
      </c>
      <c r="R120" s="2">
        <v>326193.2959573112</v>
      </c>
      <c r="S120" s="2">
        <v>365336.4914721886</v>
      </c>
      <c r="T120" s="2">
        <v>3539197.261136827</v>
      </c>
      <c r="U120" s="2">
        <f>M120+P120+Q120+R120+S120+T120</f>
        <v>14507577.315019801</v>
      </c>
      <c r="V120" s="2">
        <f>F120-K120-L120-U120</f>
        <v>21776240.211341143</v>
      </c>
      <c r="W120" s="2">
        <v>8117.445484346334</v>
      </c>
      <c r="X120" s="2">
        <v>425718.7935056807</v>
      </c>
      <c r="Y120" s="2">
        <f>W120+X120</f>
        <v>433836.23899002705</v>
      </c>
      <c r="Z120" s="2">
        <v>429758.35098562</v>
      </c>
      <c r="AA120" s="2">
        <v>0</v>
      </c>
      <c r="AB120" s="2">
        <v>0</v>
      </c>
      <c r="AC120" s="2">
        <v>0</v>
      </c>
      <c r="AD120" s="2">
        <v>-3383497.18594113</v>
      </c>
      <c r="AE120" s="2">
        <v>398058.4924636624</v>
      </c>
      <c r="AF120" s="2">
        <f>F120-H120-L120-U120-AA120-AC120-AD120</f>
        <v>39138430.55711483</v>
      </c>
      <c r="AG120" s="2">
        <f>F120-H120-L120-U120-AA120-AB120-AD120-Y120</f>
        <v>38704594.31812481</v>
      </c>
      <c r="AH120" s="2">
        <f>AH119+AG120</f>
        <v>304926792.75917083</v>
      </c>
      <c r="AI120" s="2">
        <v>45955978.46202949</v>
      </c>
      <c r="AJ120" s="2">
        <f>AH120-AI120</f>
        <v>258970814.29714134</v>
      </c>
      <c r="AK120" s="3">
        <v>0.25</v>
      </c>
    </row>
    <row r="121" spans="1:37">
      <c r="A121" s="2">
        <v>120</v>
      </c>
      <c r="B121" s="2">
        <v>2036</v>
      </c>
      <c r="C121" s="2">
        <v>184</v>
      </c>
      <c r="D121" s="2">
        <v>456657.5666083974</v>
      </c>
      <c r="E121" s="2">
        <v>84024992.25594513</v>
      </c>
      <c r="F121" s="2">
        <f>E121/1.19</f>
        <v>70609237.18986987</v>
      </c>
      <c r="G121" s="2">
        <v>30</v>
      </c>
      <c r="H121" s="2">
        <v>3177795.921729145</v>
      </c>
      <c r="I121" s="2">
        <v>59</v>
      </c>
      <c r="J121" s="2">
        <v>6248437.432259304</v>
      </c>
      <c r="K121" s="2">
        <v>19486652.33111375</v>
      </c>
      <c r="L121" s="2">
        <v>7200651.394233843</v>
      </c>
      <c r="M121" s="2">
        <v>9247579.940389775</v>
      </c>
      <c r="N121" s="3">
        <v>1.5</v>
      </c>
      <c r="O121" s="3">
        <v>2.5</v>
      </c>
      <c r="P121" s="2">
        <v>260954.636765849</v>
      </c>
      <c r="Q121" s="2">
        <v>768315.6892978508</v>
      </c>
      <c r="R121" s="2">
        <v>326193.2959573112</v>
      </c>
      <c r="S121" s="2">
        <v>365336.4914721886</v>
      </c>
      <c r="T121" s="2">
        <v>3539197.261136827</v>
      </c>
      <c r="U121" s="2">
        <f>M121+P121+Q121+R121+S121+T121</f>
        <v>14507577.315019801</v>
      </c>
      <c r="V121" s="2">
        <f>F121-K121-L121-U121</f>
        <v>29414356.149502464</v>
      </c>
      <c r="W121" s="2">
        <v>4077.888004410412</v>
      </c>
      <c r="X121" s="2">
        <v>429758.3509856166</v>
      </c>
      <c r="Y121" s="2">
        <f>W121+X121</f>
        <v>433836.23899002705</v>
      </c>
      <c r="Z121" s="2">
        <v>3.37604433298111E-09</v>
      </c>
      <c r="AA121" s="2">
        <v>0</v>
      </c>
      <c r="AB121" s="2">
        <v>20790441.68055404</v>
      </c>
      <c r="AC121" s="2">
        <v>20867283.19016806</v>
      </c>
      <c r="AD121" s="2">
        <v>199029.2462318311</v>
      </c>
      <c r="AE121" s="2">
        <v>597087.7386954936</v>
      </c>
      <c r="AF121" s="2">
        <f>F121-H121-L121-U121-AA121-AC121-AD121</f>
        <v>24656900.12248718</v>
      </c>
      <c r="AG121" s="2">
        <f>F121-H121-L121-U121-AA121-AB121-AD121-Y121</f>
        <v>24299905.39311117</v>
      </c>
      <c r="AH121" s="2">
        <f>AH120+AG121</f>
        <v>329226698.152282</v>
      </c>
      <c r="AI121" s="2">
        <v>45955978.46202949</v>
      </c>
      <c r="AJ121" s="2">
        <f>AH121-AI121</f>
        <v>283270719.69025254</v>
      </c>
      <c r="AK121" s="3">
        <v>0.25</v>
      </c>
    </row>
    <row r="122" spans="1:37">
      <c r="A122" s="2">
        <v>121</v>
      </c>
      <c r="B122" s="2">
        <v>2037</v>
      </c>
      <c r="C122" s="2">
        <v>23</v>
      </c>
      <c r="D122" s="2">
        <v>470357.2936066493</v>
      </c>
      <c r="E122" s="2">
        <v>10818217.75295294</v>
      </c>
      <c r="F122" s="2">
        <f>E122/1.19</f>
        <v>9090939.288195744</v>
      </c>
      <c r="G122" s="2">
        <v>50</v>
      </c>
      <c r="H122" s="2">
        <v>5455216.3323017</v>
      </c>
      <c r="I122" s="2">
        <v>86</v>
      </c>
      <c r="J122" s="2">
        <v>9234075.447268315</v>
      </c>
      <c r="K122" s="2">
        <v>2469578.317292689</v>
      </c>
      <c r="L122" s="2">
        <v>923937.6133805509</v>
      </c>
      <c r="M122" s="2">
        <v>10205365.00564443</v>
      </c>
      <c r="N122" s="3">
        <v>1.5</v>
      </c>
      <c r="O122" s="3">
        <v>3</v>
      </c>
      <c r="P122" s="2">
        <v>282222.4396622656</v>
      </c>
      <c r="Q122" s="2">
        <v>820931.3203223571</v>
      </c>
      <c r="R122" s="2">
        <v>335979.0948360306</v>
      </c>
      <c r="S122" s="2">
        <v>376296.5862163542</v>
      </c>
      <c r="T122" s="2">
        <v>3826801.890182388</v>
      </c>
      <c r="U122" s="2">
        <f>M122+P122+Q122+R122+S122+T122</f>
        <v>15847596.336863827</v>
      </c>
      <c r="V122" s="2">
        <f>F122-K122-L122-U122</f>
        <v>-10150172.979341323</v>
      </c>
      <c r="W122" s="2">
        <v>0</v>
      </c>
      <c r="X122" s="2">
        <v>0</v>
      </c>
      <c r="Y122" s="2">
        <f>W122+X122</f>
        <v>0</v>
      </c>
      <c r="Z122" s="2">
        <v>3.37604433298111E-09</v>
      </c>
      <c r="AA122" s="2">
        <v>0</v>
      </c>
      <c r="AB122" s="2">
        <v>0</v>
      </c>
      <c r="AC122" s="2">
        <v>0</v>
      </c>
      <c r="AD122" s="2">
        <v>427912.8793984372</v>
      </c>
      <c r="AE122" s="2">
        <v>1025000.618093931</v>
      </c>
      <c r="AF122" s="2">
        <f>F122-H122-L122-U122-AA122-AC122-AD122</f>
        <v>-13563723.87374877</v>
      </c>
      <c r="AG122" s="2">
        <f>F122-H122-L122-U122-AA122-AB122-AD122-Y122</f>
        <v>-13563723.87374877</v>
      </c>
      <c r="AH122" s="2">
        <f>AH121+AG122</f>
        <v>315662974.2785332</v>
      </c>
      <c r="AI122" s="2">
        <v>48674526.81059147</v>
      </c>
      <c r="AJ122" s="2">
        <f>AH122-AI122</f>
        <v>266988447.46794176</v>
      </c>
      <c r="AK122" s="3">
        <v>0.25</v>
      </c>
    </row>
    <row r="123" spans="1:37">
      <c r="A123" s="2">
        <v>122</v>
      </c>
      <c r="B123" s="2">
        <v>2037</v>
      </c>
      <c r="C123" s="2">
        <v>34</v>
      </c>
      <c r="D123" s="2">
        <v>470357.2936066493</v>
      </c>
      <c r="E123" s="2">
        <v>15992147.98262608</v>
      </c>
      <c r="F123" s="2">
        <f>E123/1.19</f>
        <v>13438779.817332838</v>
      </c>
      <c r="G123" s="2">
        <v>60</v>
      </c>
      <c r="H123" s="2">
        <v>6546259.598762039</v>
      </c>
      <c r="I123" s="2">
        <v>112</v>
      </c>
      <c r="J123" s="2">
        <v>12105462.50106438</v>
      </c>
      <c r="K123" s="2">
        <v>3674872.544965973</v>
      </c>
      <c r="L123" s="2">
        <v>1367756.144114783</v>
      </c>
      <c r="M123" s="2">
        <v>10205365.00564443</v>
      </c>
      <c r="N123" s="3">
        <v>1.5</v>
      </c>
      <c r="O123" s="3">
        <v>3</v>
      </c>
      <c r="P123" s="2">
        <v>282222.4396622656</v>
      </c>
      <c r="Q123" s="2">
        <v>820931.3203223571</v>
      </c>
      <c r="R123" s="2">
        <v>335979.0948360306</v>
      </c>
      <c r="S123" s="2">
        <v>376296.5862163542</v>
      </c>
      <c r="T123" s="2">
        <v>3826801.890182388</v>
      </c>
      <c r="U123" s="2">
        <f>M123+P123+Q123+R123+S123+T123</f>
        <v>15847596.336863827</v>
      </c>
      <c r="V123" s="2">
        <f>F123-K123-L123-U123</f>
        <v>-7451445.208611745</v>
      </c>
      <c r="W123" s="2">
        <v>0</v>
      </c>
      <c r="X123" s="2">
        <v>0</v>
      </c>
      <c r="Y123" s="2">
        <f>W123+X123</f>
        <v>0</v>
      </c>
      <c r="Z123" s="2">
        <v>3.37604433298111E-09</v>
      </c>
      <c r="AA123" s="2">
        <v>0</v>
      </c>
      <c r="AB123" s="2">
        <v>0</v>
      </c>
      <c r="AC123" s="2">
        <v>0</v>
      </c>
      <c r="AD123" s="2">
        <v>205000.1236187861</v>
      </c>
      <c r="AE123" s="2">
        <v>1230000.741712717</v>
      </c>
      <c r="AF123" s="2">
        <f>F123-H123-L123-U123-AA123-AC123-AD123</f>
        <v>-10527832.386026597</v>
      </c>
      <c r="AG123" s="2">
        <f>F123-H123-L123-U123-AA123-AB123-AD123-Y123</f>
        <v>-10527832.386026597</v>
      </c>
      <c r="AH123" s="2">
        <f>AH122+AG123</f>
        <v>305135141.8925066</v>
      </c>
      <c r="AI123" s="2">
        <v>48674526.81059147</v>
      </c>
      <c r="AJ123" s="2">
        <f>AH123-AI123</f>
        <v>256460615.08191514</v>
      </c>
      <c r="AK123" s="3">
        <v>0.25</v>
      </c>
    </row>
    <row r="124" spans="1:37">
      <c r="A124" s="2">
        <v>123</v>
      </c>
      <c r="B124" s="2">
        <v>2037</v>
      </c>
      <c r="C124" s="2">
        <v>46</v>
      </c>
      <c r="D124" s="2">
        <v>470357.2936066493</v>
      </c>
      <c r="E124" s="2">
        <v>21636435.50590587</v>
      </c>
      <c r="F124" s="2">
        <f>E124/1.19</f>
        <v>18181878.57639149</v>
      </c>
      <c r="G124" s="2">
        <v>60</v>
      </c>
      <c r="H124" s="2">
        <v>6546259.598762039</v>
      </c>
      <c r="I124" s="2">
        <v>126</v>
      </c>
      <c r="J124" s="2">
        <v>13663470.84057052</v>
      </c>
      <c r="K124" s="2">
        <v>4988251.259255903</v>
      </c>
      <c r="L124" s="2">
        <v>1851802.796734744</v>
      </c>
      <c r="M124" s="2">
        <v>10205365.00564443</v>
      </c>
      <c r="N124" s="3">
        <v>1.5</v>
      </c>
      <c r="O124" s="3">
        <v>3</v>
      </c>
      <c r="P124" s="2">
        <v>282222.4396622656</v>
      </c>
      <c r="Q124" s="2">
        <v>820931.3203223571</v>
      </c>
      <c r="R124" s="2">
        <v>335979.0948360306</v>
      </c>
      <c r="S124" s="2">
        <v>376296.5862163542</v>
      </c>
      <c r="T124" s="2">
        <v>3826801.890182388</v>
      </c>
      <c r="U124" s="2">
        <f>M124+P124+Q124+R124+S124+T124</f>
        <v>15847596.336863827</v>
      </c>
      <c r="V124" s="2">
        <f>F124-K124-L124-U124</f>
        <v>-4505771.816462986</v>
      </c>
      <c r="W124" s="2">
        <v>0</v>
      </c>
      <c r="X124" s="2">
        <v>0</v>
      </c>
      <c r="Y124" s="2">
        <f>W124+X124</f>
        <v>0</v>
      </c>
      <c r="Z124" s="2">
        <v>3.37604433298111E-09</v>
      </c>
      <c r="AA124" s="2">
        <v>0</v>
      </c>
      <c r="AB124" s="2">
        <v>0</v>
      </c>
      <c r="AC124" s="2">
        <v>0</v>
      </c>
      <c r="AD124" s="2">
        <v>0</v>
      </c>
      <c r="AE124" s="2">
        <v>1230000.741712717</v>
      </c>
      <c r="AF124" s="2">
        <f>F124-H124-L124-U124-AA124-AC124-AD124</f>
        <v>-6063780.155969121</v>
      </c>
      <c r="AG124" s="2">
        <f>F124-H124-L124-U124-AA124-AB124-AD124-Y124</f>
        <v>-6063780.155969121</v>
      </c>
      <c r="AH124" s="2">
        <f>AH123+AG124</f>
        <v>299071361.73653746</v>
      </c>
      <c r="AI124" s="2">
        <v>48674526.81059147</v>
      </c>
      <c r="AJ124" s="2">
        <f>AH124-AI124</f>
        <v>250396834.925946</v>
      </c>
      <c r="AK124" s="3">
        <v>0.25</v>
      </c>
    </row>
    <row r="125" spans="1:37">
      <c r="A125" s="2">
        <v>124</v>
      </c>
      <c r="B125" s="2">
        <v>2037</v>
      </c>
      <c r="C125" s="2">
        <v>57</v>
      </c>
      <c r="D125" s="2">
        <v>470357.2936066493</v>
      </c>
      <c r="E125" s="2">
        <v>26810365.73557901</v>
      </c>
      <c r="F125" s="2">
        <f>E125/1.19</f>
        <v>22529719.105528586</v>
      </c>
      <c r="G125" s="2">
        <v>80</v>
      </c>
      <c r="H125" s="2">
        <v>8728346.131682718</v>
      </c>
      <c r="I125" s="2">
        <v>149</v>
      </c>
      <c r="J125" s="2">
        <v>16196022.95565889</v>
      </c>
      <c r="K125" s="2">
        <v>6195794.016594341</v>
      </c>
      <c r="L125" s="2">
        <v>2295801.209842188</v>
      </c>
      <c r="M125" s="2">
        <v>10205365.00564443</v>
      </c>
      <c r="N125" s="3">
        <v>1.5</v>
      </c>
      <c r="O125" s="3">
        <v>3</v>
      </c>
      <c r="P125" s="2">
        <v>282222.4396622656</v>
      </c>
      <c r="Q125" s="2">
        <v>820931.3203223571</v>
      </c>
      <c r="R125" s="2">
        <v>335979.0948360306</v>
      </c>
      <c r="S125" s="2">
        <v>376296.5862163542</v>
      </c>
      <c r="T125" s="2">
        <v>3826801.890182388</v>
      </c>
      <c r="U125" s="2">
        <f>M125+P125+Q125+R125+S125+T125</f>
        <v>15847596.336863827</v>
      </c>
      <c r="V125" s="2">
        <f>F125-K125-L125-U125</f>
        <v>-1809472.4577717707</v>
      </c>
      <c r="W125" s="2">
        <v>0</v>
      </c>
      <c r="X125" s="2">
        <v>0</v>
      </c>
      <c r="Y125" s="2">
        <f>W125+X125</f>
        <v>0</v>
      </c>
      <c r="Z125" s="2">
        <v>3.37604433298111E-09</v>
      </c>
      <c r="AA125" s="2">
        <v>0</v>
      </c>
      <c r="AB125" s="2">
        <v>0</v>
      </c>
      <c r="AC125" s="2">
        <v>0</v>
      </c>
      <c r="AD125" s="2">
        <v>410000.2472375722</v>
      </c>
      <c r="AE125" s="2">
        <v>1640000.988950289</v>
      </c>
      <c r="AF125" s="2">
        <f>F125-H125-L125-U125-AA125-AC125-AD125</f>
        <v>-4752024.82009772</v>
      </c>
      <c r="AG125" s="2">
        <f>F125-H125-L125-U125-AA125-AB125-AD125-Y125</f>
        <v>-4752024.82009772</v>
      </c>
      <c r="AH125" s="2">
        <f>AH124+AG125</f>
        <v>294319336.9164397</v>
      </c>
      <c r="AI125" s="2">
        <v>48674526.81059147</v>
      </c>
      <c r="AJ125" s="2">
        <f>AH125-AI125</f>
        <v>245644810.10584825</v>
      </c>
      <c r="AK125" s="3">
        <v>0.25</v>
      </c>
    </row>
    <row r="126" spans="1:37">
      <c r="A126" s="2">
        <v>125</v>
      </c>
      <c r="B126" s="2">
        <v>2037</v>
      </c>
      <c r="C126" s="2">
        <v>68</v>
      </c>
      <c r="D126" s="2">
        <v>470357.2936066493</v>
      </c>
      <c r="E126" s="2">
        <v>31984295.96525215</v>
      </c>
      <c r="F126" s="2">
        <f>E126/1.19</f>
        <v>26877559.634665675</v>
      </c>
      <c r="G126" s="2">
        <v>90</v>
      </c>
      <c r="H126" s="2">
        <v>9819389.398143061</v>
      </c>
      <c r="I126" s="2">
        <v>171</v>
      </c>
      <c r="J126" s="2">
        <v>18613537.70920558</v>
      </c>
      <c r="K126" s="2">
        <v>7401874.644596372</v>
      </c>
      <c r="L126" s="2">
        <v>2739682.65260272</v>
      </c>
      <c r="M126" s="2">
        <v>10205365.00564443</v>
      </c>
      <c r="N126" s="3">
        <v>1.5</v>
      </c>
      <c r="O126" s="3">
        <v>3</v>
      </c>
      <c r="P126" s="2">
        <v>282222.4396622656</v>
      </c>
      <c r="Q126" s="2">
        <v>820931.3203223571</v>
      </c>
      <c r="R126" s="2">
        <v>335979.0948360306</v>
      </c>
      <c r="S126" s="2">
        <v>376296.5862163542</v>
      </c>
      <c r="T126" s="2">
        <v>3826801.890182388</v>
      </c>
      <c r="U126" s="2">
        <f>M126+P126+Q126+R126+S126+T126</f>
        <v>15847596.336863827</v>
      </c>
      <c r="V126" s="2">
        <f>F126-K126-L126-U126</f>
        <v>888406.0006027576</v>
      </c>
      <c r="W126" s="2">
        <v>0</v>
      </c>
      <c r="X126" s="2">
        <v>0</v>
      </c>
      <c r="Y126" s="2">
        <f>W126+X126</f>
        <v>0</v>
      </c>
      <c r="Z126" s="2">
        <v>3.37604433298111E-09</v>
      </c>
      <c r="AA126" s="2">
        <v>0</v>
      </c>
      <c r="AB126" s="2">
        <v>0</v>
      </c>
      <c r="AC126" s="2">
        <v>0</v>
      </c>
      <c r="AD126" s="2">
        <v>205000.1236187862</v>
      </c>
      <c r="AE126" s="2">
        <v>1845001.112569075</v>
      </c>
      <c r="AF126" s="2">
        <f>F126-H126-L126-U126-AA126-AC126-AD126</f>
        <v>-1734108.8765627174</v>
      </c>
      <c r="AG126" s="2">
        <f>F126-H126-L126-U126-AA126-AB126-AD126-Y126</f>
        <v>-1734108.8765627174</v>
      </c>
      <c r="AH126" s="2">
        <f>AH125+AG126</f>
        <v>292585228.039877</v>
      </c>
      <c r="AI126" s="2">
        <v>48674526.81059147</v>
      </c>
      <c r="AJ126" s="2">
        <f>AH126-AI126</f>
        <v>243910701.22928554</v>
      </c>
      <c r="AK126" s="3">
        <v>0.25</v>
      </c>
    </row>
    <row r="127" spans="1:37">
      <c r="A127" s="2">
        <v>126</v>
      </c>
      <c r="B127" s="2">
        <v>2037</v>
      </c>
      <c r="C127" s="2">
        <v>80</v>
      </c>
      <c r="D127" s="2">
        <v>470357.2936066493</v>
      </c>
      <c r="E127" s="2">
        <v>37628583.48853195</v>
      </c>
      <c r="F127" s="2">
        <f>E127/1.19</f>
        <v>31620658.393724326</v>
      </c>
      <c r="G127" s="2">
        <v>120</v>
      </c>
      <c r="H127" s="2">
        <v>13092519.19752408</v>
      </c>
      <c r="I127" s="2">
        <v>211</v>
      </c>
      <c r="J127" s="2">
        <v>22989615.14542941</v>
      </c>
      <c r="K127" s="2">
        <v>8716441.761300251</v>
      </c>
      <c r="L127" s="2">
        <v>3223824.377415796</v>
      </c>
      <c r="M127" s="2">
        <v>10205365.00564443</v>
      </c>
      <c r="N127" s="3">
        <v>1.5</v>
      </c>
      <c r="O127" s="3">
        <v>3</v>
      </c>
      <c r="P127" s="2">
        <v>282222.4396622656</v>
      </c>
      <c r="Q127" s="2">
        <v>820931.3203223571</v>
      </c>
      <c r="R127" s="2">
        <v>335979.0948360306</v>
      </c>
      <c r="S127" s="2">
        <v>376296.5862163542</v>
      </c>
      <c r="T127" s="2">
        <v>3826801.890182388</v>
      </c>
      <c r="U127" s="2">
        <f>M127+P127+Q127+R127+S127+T127</f>
        <v>15847596.336863827</v>
      </c>
      <c r="V127" s="2">
        <f>F127-K127-L127-U127</f>
        <v>3832795.9181444533</v>
      </c>
      <c r="W127" s="2">
        <v>0</v>
      </c>
      <c r="X127" s="2">
        <v>0</v>
      </c>
      <c r="Y127" s="2">
        <f>W127+X127</f>
        <v>0</v>
      </c>
      <c r="Z127" s="2">
        <v>3.37604433298111E-09</v>
      </c>
      <c r="AA127" s="2">
        <v>0</v>
      </c>
      <c r="AB127" s="2">
        <v>0</v>
      </c>
      <c r="AC127" s="2">
        <v>0</v>
      </c>
      <c r="AD127" s="2">
        <v>615000.3708563584</v>
      </c>
      <c r="AE127" s="2">
        <v>2460001.483425434</v>
      </c>
      <c r="AF127" s="2">
        <f>F127-H127-L127-U127-AA127-AC127-AD127</f>
        <v>-1158281.8889357343</v>
      </c>
      <c r="AG127" s="2">
        <f>F127-H127-L127-U127-AA127-AB127-AD127-Y127</f>
        <v>-1158281.8889357343</v>
      </c>
      <c r="AH127" s="2">
        <f>AH126+AG127</f>
        <v>291426946.15094125</v>
      </c>
      <c r="AI127" s="2">
        <v>48674526.81059147</v>
      </c>
      <c r="AJ127" s="2">
        <f>AH127-AI127</f>
        <v>242752419.3403498</v>
      </c>
      <c r="AK127" s="3">
        <v>0.25</v>
      </c>
    </row>
    <row r="128" spans="1:37">
      <c r="A128" s="2">
        <v>127</v>
      </c>
      <c r="B128" s="2">
        <v>2037</v>
      </c>
      <c r="C128" s="2">
        <v>91</v>
      </c>
      <c r="D128" s="2">
        <v>470357.2936066493</v>
      </c>
      <c r="E128" s="2">
        <v>42802513.71820509</v>
      </c>
      <c r="F128" s="2">
        <f>E128/1.19</f>
        <v>35968498.92286142</v>
      </c>
      <c r="G128" s="2">
        <v>120</v>
      </c>
      <c r="H128" s="2">
        <v>13092519.19752408</v>
      </c>
      <c r="I128" s="2">
        <v>240</v>
      </c>
      <c r="J128" s="2">
        <v>26162272.63537413</v>
      </c>
      <c r="K128" s="2">
        <v>9919861.707579358</v>
      </c>
      <c r="L128" s="2">
        <v>3667492.965638494</v>
      </c>
      <c r="M128" s="2">
        <v>10205365.00564443</v>
      </c>
      <c r="N128" s="3">
        <v>1.5</v>
      </c>
      <c r="O128" s="3">
        <v>3</v>
      </c>
      <c r="P128" s="2">
        <v>282222.4396622656</v>
      </c>
      <c r="Q128" s="2">
        <v>820931.3203223571</v>
      </c>
      <c r="R128" s="2">
        <v>335979.0948360306</v>
      </c>
      <c r="S128" s="2">
        <v>376296.5862163542</v>
      </c>
      <c r="T128" s="2">
        <v>3826801.890182388</v>
      </c>
      <c r="U128" s="2">
        <f>M128+P128+Q128+R128+S128+T128</f>
        <v>15847596.336863827</v>
      </c>
      <c r="V128" s="2">
        <f>F128-K128-L128-U128</f>
        <v>6533547.912779741</v>
      </c>
      <c r="W128" s="2">
        <v>0</v>
      </c>
      <c r="X128" s="2">
        <v>0</v>
      </c>
      <c r="Y128" s="2">
        <f>W128+X128</f>
        <v>0</v>
      </c>
      <c r="Z128" s="2">
        <v>3.37604433298111E-09</v>
      </c>
      <c r="AA128" s="2">
        <v>0</v>
      </c>
      <c r="AB128" s="2">
        <v>0</v>
      </c>
      <c r="AC128" s="2">
        <v>0</v>
      </c>
      <c r="AD128" s="2">
        <v>0</v>
      </c>
      <c r="AE128" s="2">
        <v>2460001.483425434</v>
      </c>
      <c r="AF128" s="2">
        <f>F128-H128-L128-U128-AA128-AC128-AD128</f>
        <v>3360890.422835022</v>
      </c>
      <c r="AG128" s="2">
        <f>F128-H128-L128-U128-AA128-AB128-AD128-Y128</f>
        <v>3360890.422835022</v>
      </c>
      <c r="AH128" s="2">
        <f>AH127+AG128</f>
        <v>294787836.57377625</v>
      </c>
      <c r="AI128" s="2">
        <v>48674526.81059147</v>
      </c>
      <c r="AJ128" s="2">
        <f>AH128-AI128</f>
        <v>246113309.7631848</v>
      </c>
      <c r="AK128" s="3">
        <v>0.25</v>
      </c>
    </row>
    <row r="129" spans="1:37">
      <c r="A129" s="2">
        <v>128</v>
      </c>
      <c r="B129" s="2">
        <v>2037</v>
      </c>
      <c r="C129" s="2">
        <v>114</v>
      </c>
      <c r="D129" s="2">
        <v>470357.2936066493</v>
      </c>
      <c r="E129" s="2">
        <v>53620731.47115803</v>
      </c>
      <c r="F129" s="2">
        <f>E129/1.19</f>
        <v>45059438.21105717</v>
      </c>
      <c r="G129" s="2">
        <v>150</v>
      </c>
      <c r="H129" s="2">
        <v>16365648.9969051</v>
      </c>
      <c r="I129" s="2">
        <v>276</v>
      </c>
      <c r="J129" s="2">
        <v>30096683.0013053</v>
      </c>
      <c r="K129" s="2">
        <v>12431238.63097393</v>
      </c>
      <c r="L129" s="2">
        <v>4594774.467507196</v>
      </c>
      <c r="M129" s="2">
        <v>10205365.00564443</v>
      </c>
      <c r="N129" s="3">
        <v>1.5</v>
      </c>
      <c r="O129" s="3">
        <v>3</v>
      </c>
      <c r="P129" s="2">
        <v>282222.4396622656</v>
      </c>
      <c r="Q129" s="2">
        <v>820931.3203223571</v>
      </c>
      <c r="R129" s="2">
        <v>335979.0948360306</v>
      </c>
      <c r="S129" s="2">
        <v>376296.5862163542</v>
      </c>
      <c r="T129" s="2">
        <v>3826801.890182388</v>
      </c>
      <c r="U129" s="2">
        <f>M129+P129+Q129+R129+S129+T129</f>
        <v>15847596.336863827</v>
      </c>
      <c r="V129" s="2">
        <f>F129-K129-L129-U129</f>
        <v>12185828.775712222</v>
      </c>
      <c r="W129" s="2">
        <v>0</v>
      </c>
      <c r="X129" s="2">
        <v>0</v>
      </c>
      <c r="Y129" s="2">
        <f>W129+X129</f>
        <v>0</v>
      </c>
      <c r="Z129" s="2">
        <v>3.37604433298111E-09</v>
      </c>
      <c r="AA129" s="2">
        <v>0</v>
      </c>
      <c r="AB129" s="2">
        <v>0</v>
      </c>
      <c r="AC129" s="2">
        <v>0</v>
      </c>
      <c r="AD129" s="2">
        <v>615000.3708563582</v>
      </c>
      <c r="AE129" s="2">
        <v>3075001.854281792</v>
      </c>
      <c r="AF129" s="2">
        <f>F129-H129-L129-U129-AA129-AC129-AD129</f>
        <v>7636418.038924696</v>
      </c>
      <c r="AG129" s="2">
        <f>F129-H129-L129-U129-AA129-AB129-AD129-Y129</f>
        <v>7636418.038924696</v>
      </c>
      <c r="AH129" s="2">
        <f>AH128+AG129</f>
        <v>302424254.61270094</v>
      </c>
      <c r="AI129" s="2">
        <v>48674526.81059147</v>
      </c>
      <c r="AJ129" s="2">
        <f>AH129-AI129</f>
        <v>253749727.80210948</v>
      </c>
      <c r="AK129" s="3">
        <v>0.25</v>
      </c>
    </row>
    <row r="130" spans="1:37">
      <c r="A130" s="2">
        <v>129</v>
      </c>
      <c r="B130" s="2">
        <v>2037</v>
      </c>
      <c r="C130" s="2">
        <v>125</v>
      </c>
      <c r="D130" s="2">
        <v>470357.2936066493</v>
      </c>
      <c r="E130" s="2">
        <v>58794661.70083117</v>
      </c>
      <c r="F130" s="2">
        <f>E130/1.19</f>
        <v>49407278.74019426</v>
      </c>
      <c r="G130" s="2">
        <v>160</v>
      </c>
      <c r="H130" s="2">
        <v>17456692.26336544</v>
      </c>
      <c r="I130" s="2">
        <v>311</v>
      </c>
      <c r="J130" s="2">
        <v>33919953.45713899</v>
      </c>
      <c r="K130" s="2">
        <v>13633421.80753175</v>
      </c>
      <c r="L130" s="2">
        <v>5038344.114152189</v>
      </c>
      <c r="M130" s="2">
        <v>10205365.00564443</v>
      </c>
      <c r="N130" s="3">
        <v>1.5</v>
      </c>
      <c r="O130" s="3">
        <v>3</v>
      </c>
      <c r="P130" s="2">
        <v>282222.4396622656</v>
      </c>
      <c r="Q130" s="2">
        <v>820931.3203223571</v>
      </c>
      <c r="R130" s="2">
        <v>335979.0948360306</v>
      </c>
      <c r="S130" s="2">
        <v>376296.5862163542</v>
      </c>
      <c r="T130" s="2">
        <v>3826801.890182388</v>
      </c>
      <c r="U130" s="2">
        <f>M130+P130+Q130+R130+S130+T130</f>
        <v>15847596.336863827</v>
      </c>
      <c r="V130" s="2">
        <f>F130-K130-L130-U130</f>
        <v>14887916.4816465</v>
      </c>
      <c r="W130" s="2">
        <v>0</v>
      </c>
      <c r="X130" s="2">
        <v>0</v>
      </c>
      <c r="Y130" s="2">
        <f>W130+X130</f>
        <v>0</v>
      </c>
      <c r="Z130" s="2">
        <v>3.37604433298111E-09</v>
      </c>
      <c r="AA130" s="2">
        <v>0</v>
      </c>
      <c r="AB130" s="2">
        <v>0</v>
      </c>
      <c r="AC130" s="2">
        <v>0</v>
      </c>
      <c r="AD130" s="2">
        <v>205000.1236187862</v>
      </c>
      <c r="AE130" s="2">
        <v>3280001.977900578</v>
      </c>
      <c r="AF130" s="2">
        <f>F130-H130-L130-U130-AA130-AC130-AD130</f>
        <v>10859645.902194023</v>
      </c>
      <c r="AG130" s="2">
        <f>F130-H130-L130-U130-AA130-AB130-AD130-Y130</f>
        <v>10859645.902194023</v>
      </c>
      <c r="AH130" s="2">
        <f>AH129+AG130</f>
        <v>313283900.51489496</v>
      </c>
      <c r="AI130" s="2">
        <v>48674526.81059147</v>
      </c>
      <c r="AJ130" s="2">
        <f>AH130-AI130</f>
        <v>264609373.7043035</v>
      </c>
      <c r="AK130" s="3">
        <v>0.25</v>
      </c>
    </row>
    <row r="131" spans="1:37">
      <c r="A131" s="2">
        <v>130</v>
      </c>
      <c r="B131" s="2">
        <v>2037</v>
      </c>
      <c r="C131" s="2">
        <v>148</v>
      </c>
      <c r="D131" s="2">
        <v>470357.2936066493</v>
      </c>
      <c r="E131" s="2">
        <v>69612879.45378411</v>
      </c>
      <c r="F131" s="2">
        <f>E131/1.19</f>
        <v>58498218.02839001</v>
      </c>
      <c r="G131" s="2">
        <v>190</v>
      </c>
      <c r="H131" s="2">
        <v>20729822.06274646</v>
      </c>
      <c r="I131" s="2">
        <v>353</v>
      </c>
      <c r="J131" s="2">
        <v>38505730.05692527</v>
      </c>
      <c r="K131" s="2">
        <v>16144045.46296017</v>
      </c>
      <c r="L131" s="2">
        <v>5965565.354583601</v>
      </c>
      <c r="M131" s="2">
        <v>10205365.00564443</v>
      </c>
      <c r="N131" s="3">
        <v>1.5</v>
      </c>
      <c r="O131" s="3">
        <v>3</v>
      </c>
      <c r="P131" s="2">
        <v>282222.4396622656</v>
      </c>
      <c r="Q131" s="2">
        <v>820931.3203223571</v>
      </c>
      <c r="R131" s="2">
        <v>335979.0948360306</v>
      </c>
      <c r="S131" s="2">
        <v>376296.5862163542</v>
      </c>
      <c r="T131" s="2">
        <v>3826801.890182388</v>
      </c>
      <c r="U131" s="2">
        <f>M131+P131+Q131+R131+S131+T131</f>
        <v>15847596.336863827</v>
      </c>
      <c r="V131" s="2">
        <f>F131-K131-L131-U131</f>
        <v>20541010.87398241</v>
      </c>
      <c r="W131" s="2">
        <v>0</v>
      </c>
      <c r="X131" s="2">
        <v>0</v>
      </c>
      <c r="Y131" s="2">
        <f>W131+X131</f>
        <v>0</v>
      </c>
      <c r="Z131" s="2">
        <v>3.37604433298111E-09</v>
      </c>
      <c r="AA131" s="2">
        <v>0</v>
      </c>
      <c r="AB131" s="2">
        <v>0</v>
      </c>
      <c r="AC131" s="2">
        <v>0</v>
      </c>
      <c r="AD131" s="2">
        <v>615000.3708563587</v>
      </c>
      <c r="AE131" s="2">
        <v>3895002.348756937</v>
      </c>
      <c r="AF131" s="2">
        <f>F131-H131-L131-U131-AA131-AC131-AD131</f>
        <v>15340233.90333977</v>
      </c>
      <c r="AG131" s="2">
        <f>F131-H131-L131-U131-AA131-AB131-AD131-Y131</f>
        <v>15340233.90333977</v>
      </c>
      <c r="AH131" s="2">
        <f>AH130+AG131</f>
        <v>328624134.4182347</v>
      </c>
      <c r="AI131" s="2">
        <v>48674526.81059147</v>
      </c>
      <c r="AJ131" s="2">
        <f>AH131-AI131</f>
        <v>279949607.60764325</v>
      </c>
      <c r="AK131" s="3">
        <v>0.25</v>
      </c>
    </row>
    <row r="132" spans="1:37">
      <c r="A132" s="2">
        <v>131</v>
      </c>
      <c r="B132" s="2">
        <v>2037</v>
      </c>
      <c r="C132" s="2">
        <v>159</v>
      </c>
      <c r="D132" s="2">
        <v>470357.2936066493</v>
      </c>
      <c r="E132" s="2">
        <v>74786809.68345724</v>
      </c>
      <c r="F132" s="2">
        <f>E132/1.19</f>
        <v>62846058.557527095</v>
      </c>
      <c r="G132" s="2">
        <v>30</v>
      </c>
      <c r="H132" s="2">
        <v>3273129.79938102</v>
      </c>
      <c r="I132" s="2">
        <v>224</v>
      </c>
      <c r="J132" s="2">
        <v>24434633.440764</v>
      </c>
      <c r="K132" s="2">
        <v>17344226.4155423</v>
      </c>
      <c r="L132" s="2">
        <v>6408974.823310539</v>
      </c>
      <c r="M132" s="2">
        <v>10205365.00564443</v>
      </c>
      <c r="N132" s="3">
        <v>1.5</v>
      </c>
      <c r="O132" s="3">
        <v>3</v>
      </c>
      <c r="P132" s="2">
        <v>282222.4396622656</v>
      </c>
      <c r="Q132" s="2">
        <v>820931.3203223571</v>
      </c>
      <c r="R132" s="2">
        <v>335979.0948360306</v>
      </c>
      <c r="S132" s="2">
        <v>376296.5862163542</v>
      </c>
      <c r="T132" s="2">
        <v>3826801.890182388</v>
      </c>
      <c r="U132" s="2">
        <f>M132+P132+Q132+R132+S132+T132</f>
        <v>15847596.336863827</v>
      </c>
      <c r="V132" s="2">
        <f>F132-K132-L132-U132</f>
        <v>23245260.981810424</v>
      </c>
      <c r="W132" s="2">
        <v>0</v>
      </c>
      <c r="X132" s="2">
        <v>0</v>
      </c>
      <c r="Y132" s="2">
        <f>W132+X132</f>
        <v>0</v>
      </c>
      <c r="Z132" s="2">
        <v>3.37604433298111E-09</v>
      </c>
      <c r="AA132" s="2">
        <v>0</v>
      </c>
      <c r="AB132" s="2">
        <v>0</v>
      </c>
      <c r="AC132" s="2">
        <v>0</v>
      </c>
      <c r="AD132" s="2">
        <v>-3280001.977900579</v>
      </c>
      <c r="AE132" s="2">
        <v>615000.3708563584</v>
      </c>
      <c r="AF132" s="2">
        <f>F132-H132-L132-U132-AA132-AC132-AD132</f>
        <v>40596359.57587229</v>
      </c>
      <c r="AG132" s="2">
        <f>F132-H132-L132-U132-AA132-AB132-AD132-Y132</f>
        <v>40596359.57587229</v>
      </c>
      <c r="AH132" s="2">
        <f>AH131+AG132</f>
        <v>369220493.994107</v>
      </c>
      <c r="AI132" s="2">
        <v>48674526.81059147</v>
      </c>
      <c r="AJ132" s="2">
        <f>AH132-AI132</f>
        <v>320545967.18351555</v>
      </c>
      <c r="AK132" s="3">
        <v>0.25</v>
      </c>
    </row>
    <row r="133" spans="1:37">
      <c r="A133" s="2">
        <v>132</v>
      </c>
      <c r="B133" s="2">
        <v>2037</v>
      </c>
      <c r="C133" s="2">
        <v>194</v>
      </c>
      <c r="D133" s="2">
        <v>470357.2936066493</v>
      </c>
      <c r="E133" s="2">
        <v>91249314.95968997</v>
      </c>
      <c r="F133" s="2">
        <f>E133/1.19</f>
        <v>76680096.6047815</v>
      </c>
      <c r="G133" s="2">
        <v>30</v>
      </c>
      <c r="H133" s="2">
        <v>3273129.79938102</v>
      </c>
      <c r="I133" s="2">
        <v>60</v>
      </c>
      <c r="J133" s="2">
        <v>6545140.922868907</v>
      </c>
      <c r="K133" s="2">
        <v>21162622.31727611</v>
      </c>
      <c r="L133" s="2">
        <v>7819794.198923145</v>
      </c>
      <c r="M133" s="2">
        <v>10205365.00564443</v>
      </c>
      <c r="N133" s="3">
        <v>1.5</v>
      </c>
      <c r="O133" s="3">
        <v>3</v>
      </c>
      <c r="P133" s="2">
        <v>282222.4396622656</v>
      </c>
      <c r="Q133" s="2">
        <v>820931.3203223571</v>
      </c>
      <c r="R133" s="2">
        <v>335979.0948360306</v>
      </c>
      <c r="S133" s="2">
        <v>376296.5862163542</v>
      </c>
      <c r="T133" s="2">
        <v>3826801.890182388</v>
      </c>
      <c r="U133" s="2">
        <f>M133+P133+Q133+R133+S133+T133</f>
        <v>15847596.336863827</v>
      </c>
      <c r="V133" s="2">
        <f>F133-K133-L133-U133</f>
        <v>31850083.751718413</v>
      </c>
      <c r="W133" s="2">
        <v>0</v>
      </c>
      <c r="X133" s="2">
        <v>0</v>
      </c>
      <c r="Y133" s="2">
        <f>W133+X133</f>
        <v>0</v>
      </c>
      <c r="Z133" s="2">
        <v>3.37604433298111E-09</v>
      </c>
      <c r="AA133" s="2">
        <v>0</v>
      </c>
      <c r="AB133" s="2">
        <v>22437821.18589988</v>
      </c>
      <c r="AC133" s="2">
        <v>22437821.18589988</v>
      </c>
      <c r="AD133" s="2">
        <v>0</v>
      </c>
      <c r="AE133" s="2">
        <v>615000.3708563584</v>
      </c>
      <c r="AF133" s="2">
        <f>F133-H133-L133-U133-AA133-AC133-AD133</f>
        <v>27301755.08371363</v>
      </c>
      <c r="AG133" s="2">
        <f>F133-H133-L133-U133-AA133-AB133-AD133-Y133</f>
        <v>27301755.08371363</v>
      </c>
      <c r="AH133" s="2">
        <f>AH132+AG133</f>
        <v>396522249.07782066</v>
      </c>
      <c r="AI133" s="2">
        <v>48674526.81059147</v>
      </c>
      <c r="AJ133" s="2">
        <f>AH133-AI133</f>
        <v>347847722.2672292</v>
      </c>
      <c r="AK133" s="3">
        <v>0.25</v>
      </c>
    </row>
    <row r="134" spans="1:37">
      <c r="A134" s="2">
        <v>133</v>
      </c>
      <c r="B134" s="2">
        <v>2038</v>
      </c>
      <c r="C134" s="2">
        <v>24</v>
      </c>
      <c r="D134" s="2">
        <v>484468.0124148488</v>
      </c>
      <c r="E134" s="2">
        <v>11627232.29795637</v>
      </c>
      <c r="F134" s="2">
        <f>E134/1.19</f>
        <v>9770783.443660816</v>
      </c>
      <c r="G134" s="2">
        <v>50</v>
      </c>
      <c r="H134" s="2">
        <v>5618872.822270751</v>
      </c>
      <c r="I134" s="2">
        <v>86</v>
      </c>
      <c r="J134" s="2">
        <v>9510047.109836459</v>
      </c>
      <c r="K134" s="2">
        <v>2653966.635303198</v>
      </c>
      <c r="L134" s="2">
        <v>993008.6231063948</v>
      </c>
      <c r="M134" s="2">
        <v>11118858.56659411</v>
      </c>
      <c r="N134" s="3">
        <v>2</v>
      </c>
      <c r="O134" s="3">
        <v>3</v>
      </c>
      <c r="P134" s="2">
        <v>304531.4515593781</v>
      </c>
      <c r="Q134" s="2">
        <v>877465.8506522262</v>
      </c>
      <c r="R134" s="2">
        <v>346058.4676811115</v>
      </c>
      <c r="S134" s="2">
        <v>387585.4838028449</v>
      </c>
      <c r="T134" s="2">
        <v>4138859.273466093</v>
      </c>
      <c r="U134" s="2">
        <f>M134+P134+Q134+R134+S134+T134</f>
        <v>17173359.093755767</v>
      </c>
      <c r="V134" s="2">
        <f>F134-K134-L134-U134</f>
        <v>-11049550.908504544</v>
      </c>
      <c r="W134" s="2">
        <v>0</v>
      </c>
      <c r="X134" s="2">
        <v>0</v>
      </c>
      <c r="Y134" s="2">
        <f>W134+X134</f>
        <v>0</v>
      </c>
      <c r="Z134" s="2">
        <v>3.37604433298111E-09</v>
      </c>
      <c r="AA134" s="2">
        <v>0</v>
      </c>
      <c r="AB134" s="2">
        <v>0</v>
      </c>
      <c r="AC134" s="2">
        <v>0</v>
      </c>
      <c r="AD134" s="2">
        <v>440750.2657803902</v>
      </c>
      <c r="AE134" s="2">
        <v>1055750.636636749</v>
      </c>
      <c r="AF134" s="2">
        <f>F134-H134-L134-U134-AA134-AC134-AD134</f>
        <v>-14455207.361252487</v>
      </c>
      <c r="AG134" s="2">
        <f>F134-H134-L134-U134-AA134-AB134-AD134-Y134</f>
        <v>-14455207.361252487</v>
      </c>
      <c r="AH134" s="2">
        <f>AH133+AG134</f>
        <v>382067041.7165682</v>
      </c>
      <c r="AI134" s="2">
        <v>52651815.0812673</v>
      </c>
      <c r="AJ134" s="2">
        <f>AH134-AI134</f>
        <v>329415226.6353009</v>
      </c>
      <c r="AK134" s="3">
        <v>0.25</v>
      </c>
    </row>
    <row r="135" spans="1:37">
      <c r="A135" s="2">
        <v>134</v>
      </c>
      <c r="B135" s="2">
        <v>2038</v>
      </c>
      <c r="C135" s="2">
        <v>36</v>
      </c>
      <c r="D135" s="2">
        <v>484468.0124148488</v>
      </c>
      <c r="E135" s="2">
        <v>17440848.44693456</v>
      </c>
      <c r="F135" s="2">
        <f>E135/1.19</f>
        <v>14656175.165491227</v>
      </c>
      <c r="G135" s="2">
        <v>60</v>
      </c>
      <c r="H135" s="2">
        <v>6742647.3867249</v>
      </c>
      <c r="I135" s="2">
        <v>110</v>
      </c>
      <c r="J135" s="2">
        <v>12245180.78508048</v>
      </c>
      <c r="K135" s="2">
        <v>4007513.711480883</v>
      </c>
      <c r="L135" s="2">
        <v>1491638.035341679</v>
      </c>
      <c r="M135" s="2">
        <v>11118858.56659411</v>
      </c>
      <c r="N135" s="3">
        <v>2</v>
      </c>
      <c r="O135" s="3">
        <v>3</v>
      </c>
      <c r="P135" s="2">
        <v>304531.4515593781</v>
      </c>
      <c r="Q135" s="2">
        <v>877465.8506522262</v>
      </c>
      <c r="R135" s="2">
        <v>346058.4676811115</v>
      </c>
      <c r="S135" s="2">
        <v>387585.4838028449</v>
      </c>
      <c r="T135" s="2">
        <v>4138859.273466093</v>
      </c>
      <c r="U135" s="2">
        <f>M135+P135+Q135+R135+S135+T135</f>
        <v>17173359.093755767</v>
      </c>
      <c r="V135" s="2">
        <f>F135-K135-L135-U135</f>
        <v>-8016335.675087102</v>
      </c>
      <c r="W135" s="2">
        <v>0</v>
      </c>
      <c r="X135" s="2">
        <v>0</v>
      </c>
      <c r="Y135" s="2">
        <f>W135+X135</f>
        <v>0</v>
      </c>
      <c r="Z135" s="2">
        <v>3.37604433298111E-09</v>
      </c>
      <c r="AA135" s="2">
        <v>0</v>
      </c>
      <c r="AB135" s="2">
        <v>0</v>
      </c>
      <c r="AC135" s="2">
        <v>0</v>
      </c>
      <c r="AD135" s="2">
        <v>211150.1273273497</v>
      </c>
      <c r="AE135" s="2">
        <v>1266900.763964098</v>
      </c>
      <c r="AF135" s="2">
        <f>F135-H135-L135-U135-AA135-AC135-AD135</f>
        <v>-10962619.47765847</v>
      </c>
      <c r="AG135" s="2">
        <f>F135-H135-L135-U135-AA135-AB135-AD135-Y135</f>
        <v>-10962619.47765847</v>
      </c>
      <c r="AH135" s="2">
        <f>AH134+AG135</f>
        <v>371104422.2389097</v>
      </c>
      <c r="AI135" s="2">
        <v>52651815.0812673</v>
      </c>
      <c r="AJ135" s="2">
        <f>AH135-AI135</f>
        <v>318452607.1576424</v>
      </c>
      <c r="AK135" s="3">
        <v>0.25</v>
      </c>
    </row>
    <row r="136" spans="1:37">
      <c r="A136" s="2">
        <v>135</v>
      </c>
      <c r="B136" s="2">
        <v>2038</v>
      </c>
      <c r="C136" s="2">
        <v>48</v>
      </c>
      <c r="D136" s="2">
        <v>484468.0124148488</v>
      </c>
      <c r="E136" s="2">
        <v>23254464.59591274</v>
      </c>
      <c r="F136" s="2">
        <f>E136/1.19</f>
        <v>19541566.887321632</v>
      </c>
      <c r="G136" s="2">
        <v>70</v>
      </c>
      <c r="H136" s="2">
        <v>7866421.951179051</v>
      </c>
      <c r="I136" s="2">
        <v>132</v>
      </c>
      <c r="J136" s="2">
        <v>14748508.67325699</v>
      </c>
      <c r="K136" s="2">
        <v>5363094.063002541</v>
      </c>
      <c r="L136" s="2">
        <v>1990430.109604481</v>
      </c>
      <c r="M136" s="2">
        <v>11118858.56659411</v>
      </c>
      <c r="N136" s="3">
        <v>2</v>
      </c>
      <c r="O136" s="3">
        <v>3</v>
      </c>
      <c r="P136" s="2">
        <v>304531.4515593781</v>
      </c>
      <c r="Q136" s="2">
        <v>877465.8506522262</v>
      </c>
      <c r="R136" s="2">
        <v>346058.4676811115</v>
      </c>
      <c r="S136" s="2">
        <v>387585.4838028449</v>
      </c>
      <c r="T136" s="2">
        <v>4138859.273466093</v>
      </c>
      <c r="U136" s="2">
        <f>M136+P136+Q136+R136+S136+T136</f>
        <v>17173359.093755767</v>
      </c>
      <c r="V136" s="2">
        <f>F136-K136-L136-U136</f>
        <v>-4985316.379041158</v>
      </c>
      <c r="W136" s="2">
        <v>0</v>
      </c>
      <c r="X136" s="2">
        <v>0</v>
      </c>
      <c r="Y136" s="2">
        <f>W136+X136</f>
        <v>0</v>
      </c>
      <c r="Z136" s="2">
        <v>3.37604433298111E-09</v>
      </c>
      <c r="AA136" s="2">
        <v>0</v>
      </c>
      <c r="AB136" s="2">
        <v>0</v>
      </c>
      <c r="AC136" s="2">
        <v>0</v>
      </c>
      <c r="AD136" s="2">
        <v>211150.1273273495</v>
      </c>
      <c r="AE136" s="2">
        <v>1478050.891291448</v>
      </c>
      <c r="AF136" s="2">
        <f>F136-H136-L136-U136-AA136-AC136-AD136</f>
        <v>-7699794.394545015</v>
      </c>
      <c r="AG136" s="2">
        <f>F136-H136-L136-U136-AA136-AB136-AD136-Y136</f>
        <v>-7699794.394545015</v>
      </c>
      <c r="AH136" s="2">
        <f>AH135+AG136</f>
        <v>363404627.8443647</v>
      </c>
      <c r="AI136" s="2">
        <v>52651815.0812673</v>
      </c>
      <c r="AJ136" s="2">
        <f>AH136-AI136</f>
        <v>310752812.7630974</v>
      </c>
      <c r="AK136" s="3">
        <v>0.25</v>
      </c>
    </row>
    <row r="137" spans="1:37">
      <c r="A137" s="2">
        <v>136</v>
      </c>
      <c r="B137" s="2">
        <v>2038</v>
      </c>
      <c r="C137" s="2">
        <v>60</v>
      </c>
      <c r="D137" s="2">
        <v>484468.0124148488</v>
      </c>
      <c r="E137" s="2">
        <v>29068080.74489093</v>
      </c>
      <c r="F137" s="2">
        <f>E137/1.19</f>
        <v>24426958.60915204</v>
      </c>
      <c r="G137" s="2">
        <v>90</v>
      </c>
      <c r="H137" s="2">
        <v>10113971.08008735</v>
      </c>
      <c r="I137" s="2">
        <v>162</v>
      </c>
      <c r="J137" s="2">
        <v>18142890.63081884</v>
      </c>
      <c r="K137" s="2">
        <v>6719589.122525497</v>
      </c>
      <c r="L137" s="2">
        <v>2489295.360507387</v>
      </c>
      <c r="M137" s="2">
        <v>11118858.56659411</v>
      </c>
      <c r="N137" s="3">
        <v>2</v>
      </c>
      <c r="O137" s="3">
        <v>3</v>
      </c>
      <c r="P137" s="2">
        <v>304531.4515593781</v>
      </c>
      <c r="Q137" s="2">
        <v>877465.8506522262</v>
      </c>
      <c r="R137" s="2">
        <v>346058.4676811115</v>
      </c>
      <c r="S137" s="2">
        <v>387585.4838028449</v>
      </c>
      <c r="T137" s="2">
        <v>4138859.273466093</v>
      </c>
      <c r="U137" s="2">
        <f>M137+P137+Q137+R137+S137+T137</f>
        <v>17173359.093755767</v>
      </c>
      <c r="V137" s="2">
        <f>F137-K137-L137-U137</f>
        <v>-1955284.9676366113</v>
      </c>
      <c r="W137" s="2">
        <v>0</v>
      </c>
      <c r="X137" s="2">
        <v>0</v>
      </c>
      <c r="Y137" s="2">
        <f>W137+X137</f>
        <v>0</v>
      </c>
      <c r="Z137" s="2">
        <v>3.37604433298111E-09</v>
      </c>
      <c r="AA137" s="2">
        <v>0</v>
      </c>
      <c r="AB137" s="2">
        <v>0</v>
      </c>
      <c r="AC137" s="2">
        <v>0</v>
      </c>
      <c r="AD137" s="2">
        <v>422300.2546546999</v>
      </c>
      <c r="AE137" s="2">
        <v>1900351.145946148</v>
      </c>
      <c r="AF137" s="2">
        <f>F137-H137-L137-U137-AA137-AC137-AD137</f>
        <v>-5771967.1798531655</v>
      </c>
      <c r="AG137" s="2">
        <f>F137-H137-L137-U137-AA137-AB137-AD137-Y137</f>
        <v>-5771967.1798531655</v>
      </c>
      <c r="AH137" s="2">
        <f>AH136+AG137</f>
        <v>357632660.66451156</v>
      </c>
      <c r="AI137" s="2">
        <v>52651815.0812673</v>
      </c>
      <c r="AJ137" s="2">
        <f>AH137-AI137</f>
        <v>304980845.58324426</v>
      </c>
      <c r="AK137" s="3">
        <v>0.25</v>
      </c>
    </row>
    <row r="138" spans="1:37">
      <c r="A138" s="2">
        <v>137</v>
      </c>
      <c r="B138" s="2">
        <v>2038</v>
      </c>
      <c r="C138" s="2">
        <v>72</v>
      </c>
      <c r="D138" s="2">
        <v>484468.0124148488</v>
      </c>
      <c r="E138" s="2">
        <v>34881696.89386912</v>
      </c>
      <c r="F138" s="2">
        <f>E138/1.19</f>
        <v>29312350.330982454</v>
      </c>
      <c r="G138" s="2">
        <v>90</v>
      </c>
      <c r="H138" s="2">
        <v>10113971.08008735</v>
      </c>
      <c r="I138" s="2">
        <v>180</v>
      </c>
      <c r="J138" s="2">
        <v>20183472.65064728</v>
      </c>
      <c r="K138" s="2">
        <v>8073389.060258912</v>
      </c>
      <c r="L138" s="2">
        <v>2987945.001667129</v>
      </c>
      <c r="M138" s="2">
        <v>11118858.56659411</v>
      </c>
      <c r="N138" s="3">
        <v>2</v>
      </c>
      <c r="O138" s="3">
        <v>3</v>
      </c>
      <c r="P138" s="2">
        <v>304531.4515593781</v>
      </c>
      <c r="Q138" s="2">
        <v>877465.8506522262</v>
      </c>
      <c r="R138" s="2">
        <v>346058.4676811115</v>
      </c>
      <c r="S138" s="2">
        <v>387585.4838028449</v>
      </c>
      <c r="T138" s="2">
        <v>4138859.273466093</v>
      </c>
      <c r="U138" s="2">
        <f>M138+P138+Q138+R138+S138+T138</f>
        <v>17173359.093755767</v>
      </c>
      <c r="V138" s="2">
        <f>F138-K138-L138-U138</f>
        <v>1077657.1753006466</v>
      </c>
      <c r="W138" s="2">
        <v>0</v>
      </c>
      <c r="X138" s="2">
        <v>0</v>
      </c>
      <c r="Y138" s="2">
        <f>W138+X138</f>
        <v>0</v>
      </c>
      <c r="Z138" s="2">
        <v>3.37604433298111E-09</v>
      </c>
      <c r="AA138" s="2">
        <v>0</v>
      </c>
      <c r="AB138" s="2">
        <v>0</v>
      </c>
      <c r="AC138" s="2">
        <v>0</v>
      </c>
      <c r="AD138" s="2">
        <v>0</v>
      </c>
      <c r="AE138" s="2">
        <v>1900351.145946148</v>
      </c>
      <c r="AF138" s="2">
        <f>F138-H138-L138-U138-AA138-AC138-AD138</f>
        <v>-962924.844527794</v>
      </c>
      <c r="AG138" s="2">
        <f>F138-H138-L138-U138-AA138-AB138-AD138-Y138</f>
        <v>-962924.844527794</v>
      </c>
      <c r="AH138" s="2">
        <f>AH137+AG138</f>
        <v>356669735.8199838</v>
      </c>
      <c r="AI138" s="2">
        <v>52651815.0812673</v>
      </c>
      <c r="AJ138" s="2">
        <f>AH138-AI138</f>
        <v>304017920.7387165</v>
      </c>
      <c r="AK138" s="3">
        <v>0.25</v>
      </c>
    </row>
    <row r="139" spans="1:37">
      <c r="A139" s="2">
        <v>138</v>
      </c>
      <c r="B139" s="2">
        <v>2038</v>
      </c>
      <c r="C139" s="2">
        <v>84</v>
      </c>
      <c r="D139" s="2">
        <v>484468.0124148488</v>
      </c>
      <c r="E139" s="2">
        <v>40695313.0428473</v>
      </c>
      <c r="F139" s="2">
        <f>E139/1.19</f>
        <v>34197742.05281286</v>
      </c>
      <c r="G139" s="2">
        <v>120</v>
      </c>
      <c r="H139" s="2">
        <v>13485294.7734498</v>
      </c>
      <c r="I139" s="2">
        <v>216</v>
      </c>
      <c r="J139" s="2">
        <v>24241512.5453499</v>
      </c>
      <c r="K139" s="2">
        <v>9427254.878747184</v>
      </c>
      <c r="L139" s="2">
        <v>3486599.913287261</v>
      </c>
      <c r="M139" s="2">
        <v>11118858.56659411</v>
      </c>
      <c r="N139" s="3">
        <v>2</v>
      </c>
      <c r="O139" s="3">
        <v>3</v>
      </c>
      <c r="P139" s="2">
        <v>304531.4515593781</v>
      </c>
      <c r="Q139" s="2">
        <v>877465.8506522262</v>
      </c>
      <c r="R139" s="2">
        <v>346058.4676811115</v>
      </c>
      <c r="S139" s="2">
        <v>387585.4838028449</v>
      </c>
      <c r="T139" s="2">
        <v>4138859.273466093</v>
      </c>
      <c r="U139" s="2">
        <f>M139+P139+Q139+R139+S139+T139</f>
        <v>17173359.093755767</v>
      </c>
      <c r="V139" s="2">
        <f>F139-K139-L139-U139</f>
        <v>4110528.167022649</v>
      </c>
      <c r="W139" s="2">
        <v>0</v>
      </c>
      <c r="X139" s="2">
        <v>0</v>
      </c>
      <c r="Y139" s="2">
        <f>W139+X139</f>
        <v>0</v>
      </c>
      <c r="Z139" s="2">
        <v>3.37604433298111E-09</v>
      </c>
      <c r="AA139" s="2">
        <v>0</v>
      </c>
      <c r="AB139" s="2">
        <v>0</v>
      </c>
      <c r="AC139" s="2">
        <v>0</v>
      </c>
      <c r="AD139" s="2">
        <v>633450.381982049</v>
      </c>
      <c r="AE139" s="2">
        <v>2533801.527928197</v>
      </c>
      <c r="AF139" s="2">
        <f>F139-H139-L139-U139-AA139-AC139-AD139</f>
        <v>-580962.1096620169</v>
      </c>
      <c r="AG139" s="2">
        <f>F139-H139-L139-U139-AA139-AB139-AD139-Y139</f>
        <v>-580962.1096620169</v>
      </c>
      <c r="AH139" s="2">
        <f>AH138+AG139</f>
        <v>356088773.7103218</v>
      </c>
      <c r="AI139" s="2">
        <v>52651815.0812673</v>
      </c>
      <c r="AJ139" s="2">
        <f>AH139-AI139</f>
        <v>303436958.6290545</v>
      </c>
      <c r="AK139" s="3">
        <v>0.25</v>
      </c>
    </row>
    <row r="140" spans="1:37">
      <c r="A140" s="2">
        <v>139</v>
      </c>
      <c r="B140" s="2">
        <v>2038</v>
      </c>
      <c r="C140" s="2">
        <v>96</v>
      </c>
      <c r="D140" s="2">
        <v>484468.0124148488</v>
      </c>
      <c r="E140" s="2">
        <v>46508929.19182549</v>
      </c>
      <c r="F140" s="2">
        <f>E140/1.19</f>
        <v>39083133.774643265</v>
      </c>
      <c r="G140" s="2">
        <v>140</v>
      </c>
      <c r="H140" s="2">
        <v>15732843.9023581</v>
      </c>
      <c r="I140" s="2">
        <v>260</v>
      </c>
      <c r="J140" s="2">
        <v>29194754.70900022</v>
      </c>
      <c r="K140" s="2">
        <v>10779601.73870778</v>
      </c>
      <c r="L140" s="2">
        <v>3985133.308225178</v>
      </c>
      <c r="M140" s="2">
        <v>11118858.56659411</v>
      </c>
      <c r="N140" s="3">
        <v>2</v>
      </c>
      <c r="O140" s="3">
        <v>3</v>
      </c>
      <c r="P140" s="2">
        <v>304531.4515593781</v>
      </c>
      <c r="Q140" s="2">
        <v>877465.8506522262</v>
      </c>
      <c r="R140" s="2">
        <v>346058.4676811115</v>
      </c>
      <c r="S140" s="2">
        <v>387585.4838028449</v>
      </c>
      <c r="T140" s="2">
        <v>4138859.273466093</v>
      </c>
      <c r="U140" s="2">
        <f>M140+P140+Q140+R140+S140+T140</f>
        <v>17173359.093755767</v>
      </c>
      <c r="V140" s="2">
        <f>F140-K140-L140-U140</f>
        <v>7145039.633954544</v>
      </c>
      <c r="W140" s="2">
        <v>0</v>
      </c>
      <c r="X140" s="2">
        <v>0</v>
      </c>
      <c r="Y140" s="2">
        <f>W140+X140</f>
        <v>0</v>
      </c>
      <c r="Z140" s="2">
        <v>3.37604433298111E-09</v>
      </c>
      <c r="AA140" s="2">
        <v>0</v>
      </c>
      <c r="AB140" s="2">
        <v>0</v>
      </c>
      <c r="AC140" s="2">
        <v>0</v>
      </c>
      <c r="AD140" s="2">
        <v>422300.254654699</v>
      </c>
      <c r="AE140" s="2">
        <v>2956101.782582896</v>
      </c>
      <c r="AF140" s="2">
        <f>F140-H140-L140-U140-AA140-AC140-AD140</f>
        <v>1769497.215649522</v>
      </c>
      <c r="AG140" s="2">
        <f>F140-H140-L140-U140-AA140-AB140-AD140-Y140</f>
        <v>1769497.215649522</v>
      </c>
      <c r="AH140" s="2">
        <f>AH139+AG140</f>
        <v>357858270.9259713</v>
      </c>
      <c r="AI140" s="2">
        <v>52651815.0812673</v>
      </c>
      <c r="AJ140" s="2">
        <f>AH140-AI140</f>
        <v>305206455.84470403</v>
      </c>
      <c r="AK140" s="3">
        <v>0.25</v>
      </c>
    </row>
    <row r="141" spans="1:37">
      <c r="A141" s="2">
        <v>140</v>
      </c>
      <c r="B141" s="2">
        <v>2038</v>
      </c>
      <c r="C141" s="2">
        <v>120</v>
      </c>
      <c r="D141" s="2">
        <v>484468.0124148488</v>
      </c>
      <c r="E141" s="2">
        <v>58136161.48978186</v>
      </c>
      <c r="F141" s="2">
        <f>E141/1.19</f>
        <v>48853917.21830408</v>
      </c>
      <c r="G141" s="2">
        <v>150</v>
      </c>
      <c r="H141" s="2">
        <v>16856618.46681225</v>
      </c>
      <c r="I141" s="2">
        <v>290</v>
      </c>
      <c r="J141" s="2">
        <v>32572922.49020882</v>
      </c>
      <c r="K141" s="2">
        <v>13478450.68560365</v>
      </c>
      <c r="L141" s="2">
        <v>4981732.516258987</v>
      </c>
      <c r="M141" s="2">
        <v>11118858.56659411</v>
      </c>
      <c r="N141" s="3">
        <v>2</v>
      </c>
      <c r="O141" s="3">
        <v>3</v>
      </c>
      <c r="P141" s="2">
        <v>304531.4515593781</v>
      </c>
      <c r="Q141" s="2">
        <v>877465.8506522262</v>
      </c>
      <c r="R141" s="2">
        <v>346058.4676811115</v>
      </c>
      <c r="S141" s="2">
        <v>387585.4838028449</v>
      </c>
      <c r="T141" s="2">
        <v>4138859.273466093</v>
      </c>
      <c r="U141" s="2">
        <f>M141+P141+Q141+R141+S141+T141</f>
        <v>17173359.093755767</v>
      </c>
      <c r="V141" s="2">
        <f>F141-K141-L141-U141</f>
        <v>13220374.922685683</v>
      </c>
      <c r="W141" s="2">
        <v>0</v>
      </c>
      <c r="X141" s="2">
        <v>0</v>
      </c>
      <c r="Y141" s="2">
        <f>W141+X141</f>
        <v>0</v>
      </c>
      <c r="Z141" s="2">
        <v>3.37604433298111E-09</v>
      </c>
      <c r="AA141" s="2">
        <v>0</v>
      </c>
      <c r="AB141" s="2">
        <v>0</v>
      </c>
      <c r="AC141" s="2">
        <v>0</v>
      </c>
      <c r="AD141" s="2">
        <v>211150.12732735</v>
      </c>
      <c r="AE141" s="2">
        <v>3167251.909910246</v>
      </c>
      <c r="AF141" s="2">
        <f>F141-H141-L141-U141-AA141-AC141-AD141</f>
        <v>9631057.01414973</v>
      </c>
      <c r="AG141" s="2">
        <f>F141-H141-L141-U141-AA141-AB141-AD141-Y141</f>
        <v>9631057.01414973</v>
      </c>
      <c r="AH141" s="2">
        <f>AH140+AG141</f>
        <v>367489327.94012105</v>
      </c>
      <c r="AI141" s="2">
        <v>52651815.0812673</v>
      </c>
      <c r="AJ141" s="2">
        <f>AH141-AI141</f>
        <v>314837512.85885376</v>
      </c>
      <c r="AK141" s="3">
        <v>0.25</v>
      </c>
    </row>
    <row r="142" spans="1:37">
      <c r="A142" s="2">
        <v>141</v>
      </c>
      <c r="B142" s="2">
        <v>2038</v>
      </c>
      <c r="C142" s="2">
        <v>131</v>
      </c>
      <c r="D142" s="2">
        <v>484468.0124148488</v>
      </c>
      <c r="E142" s="2">
        <v>63465309.62634519</v>
      </c>
      <c r="F142" s="2">
        <f>E142/1.19</f>
        <v>53332192.96331529</v>
      </c>
      <c r="G142" s="2">
        <v>170</v>
      </c>
      <c r="H142" s="2">
        <v>19104167.59572056</v>
      </c>
      <c r="I142" s="2">
        <v>329</v>
      </c>
      <c r="J142" s="2">
        <v>36960353.56145819</v>
      </c>
      <c r="K142" s="2">
        <v>14716736.52447119</v>
      </c>
      <c r="L142" s="2">
        <v>5438612.22566437</v>
      </c>
      <c r="M142" s="2">
        <v>11118858.56659411</v>
      </c>
      <c r="N142" s="3">
        <v>2</v>
      </c>
      <c r="O142" s="3">
        <v>3</v>
      </c>
      <c r="P142" s="2">
        <v>304531.4515593781</v>
      </c>
      <c r="Q142" s="2">
        <v>877465.8506522262</v>
      </c>
      <c r="R142" s="2">
        <v>346058.4676811115</v>
      </c>
      <c r="S142" s="2">
        <v>387585.4838028449</v>
      </c>
      <c r="T142" s="2">
        <v>4138859.273466093</v>
      </c>
      <c r="U142" s="2">
        <f>M142+P142+Q142+R142+S142+T142</f>
        <v>17173359.093755767</v>
      </c>
      <c r="V142" s="2">
        <f>F142-K142-L142-U142</f>
        <v>16003485.119423963</v>
      </c>
      <c r="W142" s="2">
        <v>0</v>
      </c>
      <c r="X142" s="2">
        <v>0</v>
      </c>
      <c r="Y142" s="2">
        <f>W142+X142</f>
        <v>0</v>
      </c>
      <c r="Z142" s="2">
        <v>3.37604433298111E-09</v>
      </c>
      <c r="AA142" s="2">
        <v>0</v>
      </c>
      <c r="AB142" s="2">
        <v>0</v>
      </c>
      <c r="AC142" s="2">
        <v>0</v>
      </c>
      <c r="AD142" s="2">
        <v>422300.2546546999</v>
      </c>
      <c r="AE142" s="2">
        <v>3589552.164564946</v>
      </c>
      <c r="AF142" s="2">
        <f>F142-H142-L142-U142-AA142-AC142-AD142</f>
        <v>11193753.793519897</v>
      </c>
      <c r="AG142" s="2">
        <f>F142-H142-L142-U142-AA142-AB142-AD142-Y142</f>
        <v>11193753.793519897</v>
      </c>
      <c r="AH142" s="2">
        <f>AH141+AG142</f>
        <v>378683081.73364097</v>
      </c>
      <c r="AI142" s="2">
        <v>52651815.0812673</v>
      </c>
      <c r="AJ142" s="2">
        <f>AH142-AI142</f>
        <v>326031266.6523737</v>
      </c>
      <c r="AK142" s="3">
        <v>0.25</v>
      </c>
    </row>
    <row r="143" spans="1:37">
      <c r="A143" s="2">
        <v>142</v>
      </c>
      <c r="B143" s="2">
        <v>2038</v>
      </c>
      <c r="C143" s="2">
        <v>155</v>
      </c>
      <c r="D143" s="2">
        <v>484468.0124148488</v>
      </c>
      <c r="E143" s="2">
        <v>75092541.92430156</v>
      </c>
      <c r="F143" s="2">
        <f>E143/1.19</f>
        <v>63102976.40697611</v>
      </c>
      <c r="G143" s="2">
        <v>200</v>
      </c>
      <c r="H143" s="2">
        <v>22475491.289083</v>
      </c>
      <c r="I143" s="2">
        <v>374</v>
      </c>
      <c r="J143" s="2">
        <v>42020805.24404991</v>
      </c>
      <c r="K143" s="2">
        <v>17415039.60649128</v>
      </c>
      <c r="L143" s="2">
        <v>6435167.764508115</v>
      </c>
      <c r="M143" s="2">
        <v>11118858.56659411</v>
      </c>
      <c r="N143" s="3">
        <v>2</v>
      </c>
      <c r="O143" s="3">
        <v>3</v>
      </c>
      <c r="P143" s="2">
        <v>304531.4515593781</v>
      </c>
      <c r="Q143" s="2">
        <v>877465.8506522262</v>
      </c>
      <c r="R143" s="2">
        <v>346058.4676811115</v>
      </c>
      <c r="S143" s="2">
        <v>387585.4838028449</v>
      </c>
      <c r="T143" s="2">
        <v>4138859.273466093</v>
      </c>
      <c r="U143" s="2">
        <f>M143+P143+Q143+R143+S143+T143</f>
        <v>17173359.093755767</v>
      </c>
      <c r="V143" s="2">
        <f>F143-K143-L143-U143</f>
        <v>22079409.942220956</v>
      </c>
      <c r="W143" s="2">
        <v>0</v>
      </c>
      <c r="X143" s="2">
        <v>0</v>
      </c>
      <c r="Y143" s="2">
        <f>W143+X143</f>
        <v>0</v>
      </c>
      <c r="Z143" s="2">
        <v>3.37604433298111E-09</v>
      </c>
      <c r="AA143" s="2">
        <v>0</v>
      </c>
      <c r="AB143" s="2">
        <v>0</v>
      </c>
      <c r="AC143" s="2">
        <v>0</v>
      </c>
      <c r="AD143" s="2">
        <v>633450.381982049</v>
      </c>
      <c r="AE143" s="2">
        <v>4223002.546546995</v>
      </c>
      <c r="AF143" s="2">
        <f>F143-H143-L143-U143-AA143-AC143-AD143</f>
        <v>16385507.877647178</v>
      </c>
      <c r="AG143" s="2">
        <f>F143-H143-L143-U143-AA143-AB143-AD143-Y143</f>
        <v>16385507.877647178</v>
      </c>
      <c r="AH143" s="2">
        <f>AH142+AG143</f>
        <v>395068589.61128813</v>
      </c>
      <c r="AI143" s="2">
        <v>52651815.0812673</v>
      </c>
      <c r="AJ143" s="2">
        <f>AH143-AI143</f>
        <v>342416774.53002083</v>
      </c>
      <c r="AK143" s="3">
        <v>0.25</v>
      </c>
    </row>
    <row r="144" spans="1:37">
      <c r="A144" s="2">
        <v>143</v>
      </c>
      <c r="B144" s="2">
        <v>2038</v>
      </c>
      <c r="C144" s="2">
        <v>167</v>
      </c>
      <c r="D144" s="2">
        <v>484468.0124148488</v>
      </c>
      <c r="E144" s="2">
        <v>80906158.07327975</v>
      </c>
      <c r="F144" s="2">
        <f>E144/1.19</f>
        <v>67988368.12880652</v>
      </c>
      <c r="G144" s="2">
        <v>30</v>
      </c>
      <c r="H144" s="2">
        <v>3371323.69336245</v>
      </c>
      <c r="I144" s="2">
        <v>237</v>
      </c>
      <c r="J144" s="2">
        <v>26628550.88655131</v>
      </c>
      <c r="K144" s="2">
        <v>18763578.05086105</v>
      </c>
      <c r="L144" s="2">
        <v>6933396.486198766</v>
      </c>
      <c r="M144" s="2">
        <v>11118858.56659411</v>
      </c>
      <c r="N144" s="3">
        <v>2</v>
      </c>
      <c r="O144" s="3">
        <v>3</v>
      </c>
      <c r="P144" s="2">
        <v>304531.4515593781</v>
      </c>
      <c r="Q144" s="2">
        <v>877465.8506522262</v>
      </c>
      <c r="R144" s="2">
        <v>346058.4676811115</v>
      </c>
      <c r="S144" s="2">
        <v>387585.4838028449</v>
      </c>
      <c r="T144" s="2">
        <v>4138859.273466093</v>
      </c>
      <c r="U144" s="2">
        <f>M144+P144+Q144+R144+S144+T144</f>
        <v>17173359.093755767</v>
      </c>
      <c r="V144" s="2">
        <f>F144-K144-L144-U144</f>
        <v>25118034.49799093</v>
      </c>
      <c r="W144" s="2">
        <v>0</v>
      </c>
      <c r="X144" s="2">
        <v>0</v>
      </c>
      <c r="Y144" s="2">
        <f>W144+X144</f>
        <v>0</v>
      </c>
      <c r="Z144" s="2">
        <v>3.37604433298111E-09</v>
      </c>
      <c r="AA144" s="2">
        <v>0</v>
      </c>
      <c r="AB144" s="2">
        <v>0</v>
      </c>
      <c r="AC144" s="2">
        <v>0</v>
      </c>
      <c r="AD144" s="2">
        <v>-3589552.164564946</v>
      </c>
      <c r="AE144" s="2">
        <v>633450.3819820492</v>
      </c>
      <c r="AF144" s="2">
        <f>F144-H144-L144-U144-AA144-AC144-AD144</f>
        <v>44099841.020054474</v>
      </c>
      <c r="AG144" s="2">
        <f>F144-H144-L144-U144-AA144-AB144-AD144-Y144</f>
        <v>44099841.020054474</v>
      </c>
      <c r="AH144" s="2">
        <f>AH143+AG144</f>
        <v>439168430.6313426</v>
      </c>
      <c r="AI144" s="2">
        <v>52651815.0812673</v>
      </c>
      <c r="AJ144" s="2">
        <f>AH144-AI144</f>
        <v>386516615.5500753</v>
      </c>
      <c r="AK144" s="3">
        <v>0.25</v>
      </c>
    </row>
    <row r="145" spans="1:37">
      <c r="A145" s="2">
        <v>144</v>
      </c>
      <c r="B145" s="2">
        <v>2038</v>
      </c>
      <c r="C145" s="2">
        <v>203</v>
      </c>
      <c r="D145" s="2">
        <v>484468.0124148488</v>
      </c>
      <c r="E145" s="2">
        <v>98347006.52021432</v>
      </c>
      <c r="F145" s="2">
        <f>E145/1.19</f>
        <v>82644543.29429775</v>
      </c>
      <c r="G145" s="2">
        <v>30</v>
      </c>
      <c r="H145" s="2">
        <v>3371323.69336245</v>
      </c>
      <c r="I145" s="2">
        <v>64</v>
      </c>
      <c r="J145" s="2">
        <v>7190981.172713406</v>
      </c>
      <c r="K145" s="2">
        <v>22808893.40720036</v>
      </c>
      <c r="L145" s="2">
        <v>8428058.653129119</v>
      </c>
      <c r="M145" s="2">
        <v>11118858.56659411</v>
      </c>
      <c r="N145" s="3">
        <v>2</v>
      </c>
      <c r="O145" s="3">
        <v>3</v>
      </c>
      <c r="P145" s="2">
        <v>304531.4515593781</v>
      </c>
      <c r="Q145" s="2">
        <v>877465.8506522262</v>
      </c>
      <c r="R145" s="2">
        <v>346058.4676811115</v>
      </c>
      <c r="S145" s="2">
        <v>387585.4838028449</v>
      </c>
      <c r="T145" s="2">
        <v>4138859.273466093</v>
      </c>
      <c r="U145" s="2">
        <f>M145+P145+Q145+R145+S145+T145</f>
        <v>17173359.093755767</v>
      </c>
      <c r="V145" s="2">
        <f>F145-K145-L145-U145</f>
        <v>34234232.14021252</v>
      </c>
      <c r="W145" s="2">
        <v>0</v>
      </c>
      <c r="X145" s="2">
        <v>0</v>
      </c>
      <c r="Y145" s="2">
        <f>W145+X145</f>
        <v>0</v>
      </c>
      <c r="Z145" s="2">
        <v>3.37604433298111E-09</v>
      </c>
      <c r="AA145" s="2">
        <v>0</v>
      </c>
      <c r="AB145" s="2">
        <v>24084108.35467449</v>
      </c>
      <c r="AC145" s="2">
        <v>24084108.35467449</v>
      </c>
      <c r="AD145" s="2">
        <v>0</v>
      </c>
      <c r="AE145" s="2">
        <v>633450.3819820492</v>
      </c>
      <c r="AF145" s="2">
        <f>F145-H145-L145-U145-AA145-AC145-AD145</f>
        <v>29587693.499375936</v>
      </c>
      <c r="AG145" s="2">
        <f>F145-H145-L145-U145-AA145-AB145-AD145-Y145</f>
        <v>29587693.499375936</v>
      </c>
      <c r="AH145" s="2">
        <f>AH144+AG145</f>
        <v>468756124.1307185</v>
      </c>
      <c r="AI145" s="2">
        <v>52651815.0812673</v>
      </c>
      <c r="AJ145" s="2">
        <f>AH145-AI145</f>
        <v>416104309.04945123</v>
      </c>
      <c r="AK145" s="3">
        <v>0.25</v>
      </c>
    </row>
    <row r="146" spans="1:37">
      <c r="A146" s="2">
        <v>145</v>
      </c>
      <c r="B146" s="2">
        <v>2039</v>
      </c>
      <c r="C146" s="2">
        <v>25</v>
      </c>
      <c r="D146" s="2">
        <v>499002.0527872943</v>
      </c>
      <c r="E146" s="2">
        <v>12475051.31968236</v>
      </c>
      <c r="F146" s="2">
        <f>E146/1.19</f>
        <v>10483236.403094418</v>
      </c>
      <c r="G146" s="2">
        <v>50</v>
      </c>
      <c r="H146" s="2">
        <v>5787439.006938874</v>
      </c>
      <c r="I146" s="2">
        <v>89</v>
      </c>
      <c r="J146" s="2">
        <v>10132275.40341274</v>
      </c>
      <c r="K146" s="2">
        <v>2846144.776239535</v>
      </c>
      <c r="L146" s="2">
        <v>1065308.281110208</v>
      </c>
      <c r="M146" s="2">
        <v>11452424.32359194</v>
      </c>
      <c r="N146" s="3">
        <v>2</v>
      </c>
      <c r="O146" s="3">
        <v>3</v>
      </c>
      <c r="P146" s="2">
        <v>313667.3951061594</v>
      </c>
      <c r="Q146" s="2">
        <v>938293.2396334705</v>
      </c>
      <c r="R146" s="2">
        <v>356440.2217115448</v>
      </c>
      <c r="S146" s="2">
        <v>399213.0483169302</v>
      </c>
      <c r="T146" s="2">
        <v>4476889.184697003</v>
      </c>
      <c r="U146" s="2">
        <f>M146+P146+Q146+R146+S146+T146</f>
        <v>17936927.413057044</v>
      </c>
      <c r="V146" s="2">
        <f>F146-K146-L146-U146</f>
        <v>-11365144.067312367</v>
      </c>
      <c r="W146" s="2">
        <v>0</v>
      </c>
      <c r="X146" s="2">
        <v>0</v>
      </c>
      <c r="Y146" s="2">
        <f>W146+X146</f>
        <v>0</v>
      </c>
      <c r="Z146" s="2">
        <v>3.37604433298111E-09</v>
      </c>
      <c r="AA146" s="2">
        <v>2138641.330269269</v>
      </c>
      <c r="AB146" s="2">
        <v>0</v>
      </c>
      <c r="AC146" s="2">
        <v>0</v>
      </c>
      <c r="AD146" s="2">
        <v>453972.7737538018</v>
      </c>
      <c r="AE146" s="2">
        <v>1087423.155735851</v>
      </c>
      <c r="AF146" s="2">
        <f>F146-H146-L146-U146-AA146-AC146-AD146</f>
        <v>-16899052.40203478</v>
      </c>
      <c r="AG146" s="2">
        <f>F146-H146-L146-U146-AA146-AB146-AD146-Y146</f>
        <v>-16899052.40203478</v>
      </c>
      <c r="AH146" s="2">
        <f>AH145+AG146</f>
        <v>451857071.72868377</v>
      </c>
      <c r="AI146" s="2">
        <v>54942520.03917113</v>
      </c>
      <c r="AJ146" s="2">
        <f>AH146-AI146</f>
        <v>396914551.6895126</v>
      </c>
      <c r="AK146" s="3">
        <v>0.25</v>
      </c>
    </row>
    <row r="147" spans="1:37">
      <c r="A147" s="2">
        <v>146</v>
      </c>
      <c r="B147" s="2">
        <v>2039</v>
      </c>
      <c r="C147" s="2">
        <v>38</v>
      </c>
      <c r="D147" s="2">
        <v>499002.0527872943</v>
      </c>
      <c r="E147" s="2">
        <v>18962078.00591718</v>
      </c>
      <c r="F147" s="2">
        <f>E147/1.19</f>
        <v>15934519.332703516</v>
      </c>
      <c r="G147" s="2">
        <v>70</v>
      </c>
      <c r="H147" s="2">
        <v>8102414.609714422</v>
      </c>
      <c r="I147" s="2">
        <v>121</v>
      </c>
      <c r="J147" s="2">
        <v>13876713.78357476</v>
      </c>
      <c r="K147" s="2">
        <v>4357976.229552405</v>
      </c>
      <c r="L147" s="2">
        <v>1621815.48086098</v>
      </c>
      <c r="M147" s="2">
        <v>11452424.32359194</v>
      </c>
      <c r="N147" s="3">
        <v>2</v>
      </c>
      <c r="O147" s="3">
        <v>3</v>
      </c>
      <c r="P147" s="2">
        <v>313667.3951061594</v>
      </c>
      <c r="Q147" s="2">
        <v>938293.2396334705</v>
      </c>
      <c r="R147" s="2">
        <v>356440.2217115448</v>
      </c>
      <c r="S147" s="2">
        <v>399213.0483169302</v>
      </c>
      <c r="T147" s="2">
        <v>4476889.184697003</v>
      </c>
      <c r="U147" s="2">
        <f>M147+P147+Q147+R147+S147+T147</f>
        <v>17936927.413057044</v>
      </c>
      <c r="V147" s="2">
        <f>F147-K147-L147-U147</f>
        <v>-7982199.790766913</v>
      </c>
      <c r="W147" s="2">
        <v>0</v>
      </c>
      <c r="X147" s="2">
        <v>0</v>
      </c>
      <c r="Y147" s="2">
        <f>W147+X147</f>
        <v>0</v>
      </c>
      <c r="Z147" s="2">
        <v>3.37604433298111E-09</v>
      </c>
      <c r="AA147" s="2">
        <v>0</v>
      </c>
      <c r="AB147" s="2">
        <v>0</v>
      </c>
      <c r="AC147" s="2">
        <v>0</v>
      </c>
      <c r="AD147" s="2">
        <v>434969.2622943404</v>
      </c>
      <c r="AE147" s="2">
        <v>1522392.418030191</v>
      </c>
      <c r="AF147" s="2">
        <f>F147-H147-L147-U147-AA147-AC147-AD147</f>
        <v>-12161607.433223272</v>
      </c>
      <c r="AG147" s="2">
        <f>F147-H147-L147-U147-AA147-AB147-AD147-Y147</f>
        <v>-12161607.433223272</v>
      </c>
      <c r="AH147" s="2">
        <f>AH146+AG147</f>
        <v>439695464.2954605</v>
      </c>
      <c r="AI147" s="2">
        <v>54942520.03917113</v>
      </c>
      <c r="AJ147" s="2">
        <f>AH147-AI147</f>
        <v>384752944.25628936</v>
      </c>
      <c r="AK147" s="3">
        <v>0.25</v>
      </c>
    </row>
    <row r="148" spans="1:37">
      <c r="A148" s="2">
        <v>147</v>
      </c>
      <c r="B148" s="2">
        <v>2039</v>
      </c>
      <c r="C148" s="2">
        <v>50</v>
      </c>
      <c r="D148" s="2">
        <v>499002.0527872943</v>
      </c>
      <c r="E148" s="2">
        <v>24950102.63936472</v>
      </c>
      <c r="F148" s="2">
        <f>E148/1.19</f>
        <v>20966472.806188837</v>
      </c>
      <c r="G148" s="2">
        <v>70</v>
      </c>
      <c r="H148" s="2">
        <v>8102414.609714422</v>
      </c>
      <c r="I148" s="2">
        <v>141</v>
      </c>
      <c r="J148" s="2">
        <v>16225429.86101453</v>
      </c>
      <c r="K148" s="2">
        <v>5753698.532274656</v>
      </c>
      <c r="L148" s="2">
        <v>2135529.280604062</v>
      </c>
      <c r="M148" s="2">
        <v>11452424.32359194</v>
      </c>
      <c r="N148" s="3">
        <v>2</v>
      </c>
      <c r="O148" s="3">
        <v>3</v>
      </c>
      <c r="P148" s="2">
        <v>313667.3951061594</v>
      </c>
      <c r="Q148" s="2">
        <v>938293.2396334705</v>
      </c>
      <c r="R148" s="2">
        <v>356440.2217115448</v>
      </c>
      <c r="S148" s="2">
        <v>399213.0483169302</v>
      </c>
      <c r="T148" s="2">
        <v>4476889.184697003</v>
      </c>
      <c r="U148" s="2">
        <f>M148+P148+Q148+R148+S148+T148</f>
        <v>17936927.413057044</v>
      </c>
      <c r="V148" s="2">
        <f>F148-K148-L148-U148</f>
        <v>-4859682.419746926</v>
      </c>
      <c r="W148" s="2">
        <v>0</v>
      </c>
      <c r="X148" s="2">
        <v>0</v>
      </c>
      <c r="Y148" s="2">
        <f>W148+X148</f>
        <v>0</v>
      </c>
      <c r="Z148" s="2">
        <v>3.37604433298111E-09</v>
      </c>
      <c r="AA148" s="2">
        <v>0</v>
      </c>
      <c r="AB148" s="2">
        <v>0</v>
      </c>
      <c r="AC148" s="2">
        <v>0</v>
      </c>
      <c r="AD148" s="2">
        <v>0</v>
      </c>
      <c r="AE148" s="2">
        <v>1522392.418030191</v>
      </c>
      <c r="AF148" s="2">
        <f>F148-H148-L148-U148-AA148-AC148-AD148</f>
        <v>-7208398.497186692</v>
      </c>
      <c r="AG148" s="2">
        <f>F148-H148-L148-U148-AA148-AB148-AD148-Y148</f>
        <v>-7208398.497186692</v>
      </c>
      <c r="AH148" s="2">
        <f>AH147+AG148</f>
        <v>432487065.7982738</v>
      </c>
      <c r="AI148" s="2">
        <v>54942520.03917113</v>
      </c>
      <c r="AJ148" s="2">
        <f>AH148-AI148</f>
        <v>377544545.7591027</v>
      </c>
      <c r="AK148" s="3">
        <v>0.25</v>
      </c>
    </row>
    <row r="149" spans="1:37">
      <c r="A149" s="2">
        <v>148</v>
      </c>
      <c r="B149" s="2">
        <v>2039</v>
      </c>
      <c r="C149" s="2">
        <v>63</v>
      </c>
      <c r="D149" s="2">
        <v>499002.0527872943</v>
      </c>
      <c r="E149" s="2">
        <v>31437129.32559954</v>
      </c>
      <c r="F149" s="2">
        <f>E149/1.19</f>
        <v>26417755.735797934</v>
      </c>
      <c r="G149" s="2">
        <v>90</v>
      </c>
      <c r="H149" s="2">
        <v>10417390.21248997</v>
      </c>
      <c r="I149" s="2">
        <v>168</v>
      </c>
      <c r="J149" s="2">
        <v>19376596.41709418</v>
      </c>
      <c r="K149" s="2">
        <v>7266223.656410318</v>
      </c>
      <c r="L149" s="2">
        <v>2692091.974020658</v>
      </c>
      <c r="M149" s="2">
        <v>11452424.32359194</v>
      </c>
      <c r="N149" s="3">
        <v>2</v>
      </c>
      <c r="O149" s="3">
        <v>3</v>
      </c>
      <c r="P149" s="2">
        <v>313667.3951061594</v>
      </c>
      <c r="Q149" s="2">
        <v>938293.2396334705</v>
      </c>
      <c r="R149" s="2">
        <v>356440.2217115448</v>
      </c>
      <c r="S149" s="2">
        <v>399213.0483169302</v>
      </c>
      <c r="T149" s="2">
        <v>4476889.184697003</v>
      </c>
      <c r="U149" s="2">
        <f>M149+P149+Q149+R149+S149+T149</f>
        <v>17936927.413057044</v>
      </c>
      <c r="V149" s="2">
        <f>F149-K149-L149-U149</f>
        <v>-1477487.3076900858</v>
      </c>
      <c r="W149" s="2">
        <v>0</v>
      </c>
      <c r="X149" s="2">
        <v>0</v>
      </c>
      <c r="Y149" s="2">
        <f>W149+X149</f>
        <v>0</v>
      </c>
      <c r="Z149" s="2">
        <v>3.37604433298111E-09</v>
      </c>
      <c r="AA149" s="2">
        <v>0</v>
      </c>
      <c r="AB149" s="2">
        <v>0</v>
      </c>
      <c r="AC149" s="2">
        <v>0</v>
      </c>
      <c r="AD149" s="2">
        <v>434969.2622943406</v>
      </c>
      <c r="AE149" s="2">
        <v>1957361.680324532</v>
      </c>
      <c r="AF149" s="2">
        <f>F149-H149-L149-U149-AA149-AC149-AD149</f>
        <v>-5063623.126064081</v>
      </c>
      <c r="AG149" s="2">
        <f>F149-H149-L149-U149-AA149-AB149-AD149-Y149</f>
        <v>-5063623.126064081</v>
      </c>
      <c r="AH149" s="2">
        <f>AH148+AG149</f>
        <v>427423442.67220974</v>
      </c>
      <c r="AI149" s="2">
        <v>54942520.03917113</v>
      </c>
      <c r="AJ149" s="2">
        <f>AH149-AI149</f>
        <v>372480922.63303864</v>
      </c>
      <c r="AK149" s="3">
        <v>0.25</v>
      </c>
    </row>
    <row r="150" spans="1:37">
      <c r="A150" s="2">
        <v>149</v>
      </c>
      <c r="B150" s="2">
        <v>2039</v>
      </c>
      <c r="C150" s="2">
        <v>75</v>
      </c>
      <c r="D150" s="2">
        <v>499002.0527872943</v>
      </c>
      <c r="E150" s="2">
        <v>37425153.95904707</v>
      </c>
      <c r="F150" s="2">
        <f>E150/1.19</f>
        <v>31449709.209283255</v>
      </c>
      <c r="G150" s="2">
        <v>100</v>
      </c>
      <c r="H150" s="2">
        <v>11574878.01387775</v>
      </c>
      <c r="I150" s="2">
        <v>193</v>
      </c>
      <c r="J150" s="2">
        <v>22289681.21334919</v>
      </c>
      <c r="K150" s="2">
        <v>8661793.21762274</v>
      </c>
      <c r="L150" s="2">
        <v>3205793.554442953</v>
      </c>
      <c r="M150" s="2">
        <v>11452424.32359194</v>
      </c>
      <c r="N150" s="3">
        <v>2</v>
      </c>
      <c r="O150" s="3">
        <v>3</v>
      </c>
      <c r="P150" s="2">
        <v>313667.3951061594</v>
      </c>
      <c r="Q150" s="2">
        <v>938293.2396334705</v>
      </c>
      <c r="R150" s="2">
        <v>356440.2217115448</v>
      </c>
      <c r="S150" s="2">
        <v>399213.0483169302</v>
      </c>
      <c r="T150" s="2">
        <v>4476889.184697003</v>
      </c>
      <c r="U150" s="2">
        <f>M150+P150+Q150+R150+S150+T150</f>
        <v>17936927.413057044</v>
      </c>
      <c r="V150" s="2">
        <f>F150-K150-L150-U150</f>
        <v>1645195.0241605155</v>
      </c>
      <c r="W150" s="2">
        <v>0</v>
      </c>
      <c r="X150" s="2">
        <v>0</v>
      </c>
      <c r="Y150" s="2">
        <f>W150+X150</f>
        <v>0</v>
      </c>
      <c r="Z150" s="2">
        <v>3.37604433298111E-09</v>
      </c>
      <c r="AA150" s="2">
        <v>0</v>
      </c>
      <c r="AB150" s="2">
        <v>0</v>
      </c>
      <c r="AC150" s="2">
        <v>0</v>
      </c>
      <c r="AD150" s="2">
        <v>217484.63114717</v>
      </c>
      <c r="AE150" s="2">
        <v>2174846.311471702</v>
      </c>
      <c r="AF150" s="2">
        <f>F150-H150-L150-U150-AA150-AC150-AD150</f>
        <v>-1485374.4032416618</v>
      </c>
      <c r="AG150" s="2">
        <f>F150-H150-L150-U150-AA150-AB150-AD150-Y150</f>
        <v>-1485374.4032416618</v>
      </c>
      <c r="AH150" s="2">
        <f>AH149+AG150</f>
        <v>425938068.2689681</v>
      </c>
      <c r="AI150" s="2">
        <v>54942520.03917113</v>
      </c>
      <c r="AJ150" s="2">
        <f>AH150-AI150</f>
        <v>370995548.229797</v>
      </c>
      <c r="AK150" s="3">
        <v>0.25</v>
      </c>
    </row>
    <row r="151" spans="1:37">
      <c r="A151" s="2">
        <v>150</v>
      </c>
      <c r="B151" s="2">
        <v>2039</v>
      </c>
      <c r="C151" s="2">
        <v>88</v>
      </c>
      <c r="D151" s="2">
        <v>499002.0527872943</v>
      </c>
      <c r="E151" s="2">
        <v>43912180.6452819</v>
      </c>
      <c r="F151" s="2">
        <f>E151/1.19</f>
        <v>36900992.13889235</v>
      </c>
      <c r="G151" s="2">
        <v>130</v>
      </c>
      <c r="H151" s="2">
        <v>15047341.41804107</v>
      </c>
      <c r="I151" s="2">
        <v>235</v>
      </c>
      <c r="J151" s="2">
        <v>27164706.86803935</v>
      </c>
      <c r="K151" s="2">
        <v>10172315.76335091</v>
      </c>
      <c r="L151" s="2">
        <v>3762196.04158695</v>
      </c>
      <c r="M151" s="2">
        <v>11452424.32359194</v>
      </c>
      <c r="N151" s="3">
        <v>2</v>
      </c>
      <c r="O151" s="3">
        <v>3</v>
      </c>
      <c r="P151" s="2">
        <v>313667.3951061594</v>
      </c>
      <c r="Q151" s="2">
        <v>938293.2396334705</v>
      </c>
      <c r="R151" s="2">
        <v>356440.2217115448</v>
      </c>
      <c r="S151" s="2">
        <v>399213.0483169302</v>
      </c>
      <c r="T151" s="2">
        <v>4476889.184697003</v>
      </c>
      <c r="U151" s="2">
        <f>M151+P151+Q151+R151+S151+T151</f>
        <v>17936927.413057044</v>
      </c>
      <c r="V151" s="2">
        <f>F151-K151-L151-U151</f>
        <v>5029552.92089745</v>
      </c>
      <c r="W151" s="2">
        <v>0</v>
      </c>
      <c r="X151" s="2">
        <v>0</v>
      </c>
      <c r="Y151" s="2">
        <f>W151+X151</f>
        <v>0</v>
      </c>
      <c r="Z151" s="2">
        <v>3.37604433298111E-09</v>
      </c>
      <c r="AA151" s="2">
        <v>0</v>
      </c>
      <c r="AB151" s="2">
        <v>0</v>
      </c>
      <c r="AC151" s="2">
        <v>0</v>
      </c>
      <c r="AD151" s="2">
        <v>652453.8934415109</v>
      </c>
      <c r="AE151" s="2">
        <v>2827300.204913213</v>
      </c>
      <c r="AF151" s="2">
        <f>F151-H151-L151-U151-AA151-AC151-AD151</f>
        <v>-497926.6272342219</v>
      </c>
      <c r="AG151" s="2">
        <f>F151-H151-L151-U151-AA151-AB151-AD151-Y151</f>
        <v>-497926.6272342219</v>
      </c>
      <c r="AH151" s="2">
        <f>AH150+AG151</f>
        <v>425440141.6417339</v>
      </c>
      <c r="AI151" s="2">
        <v>54942520.03917113</v>
      </c>
      <c r="AJ151" s="2">
        <f>AH151-AI151</f>
        <v>370497621.6025628</v>
      </c>
      <c r="AK151" s="3">
        <v>0.25</v>
      </c>
    </row>
    <row r="152" spans="1:37">
      <c r="A152" s="2">
        <v>151</v>
      </c>
      <c r="B152" s="2">
        <v>2039</v>
      </c>
      <c r="C152" s="2">
        <v>100</v>
      </c>
      <c r="D152" s="2">
        <v>499002.0527872943</v>
      </c>
      <c r="E152" s="2">
        <v>49900205.27872943</v>
      </c>
      <c r="F152" s="2">
        <f>E152/1.19</f>
        <v>41932945.61237767</v>
      </c>
      <c r="G152" s="2">
        <v>130</v>
      </c>
      <c r="H152" s="2">
        <v>15047341.41804107</v>
      </c>
      <c r="I152" s="2">
        <v>265</v>
      </c>
      <c r="J152" s="2">
        <v>30647103.55016798</v>
      </c>
      <c r="K152" s="2">
        <v>11564944.73591244</v>
      </c>
      <c r="L152" s="2">
        <v>4275662.374917175</v>
      </c>
      <c r="M152" s="2">
        <v>11452424.32359194</v>
      </c>
      <c r="N152" s="3">
        <v>2</v>
      </c>
      <c r="O152" s="3">
        <v>3</v>
      </c>
      <c r="P152" s="2">
        <v>313667.3951061594</v>
      </c>
      <c r="Q152" s="2">
        <v>938293.2396334705</v>
      </c>
      <c r="R152" s="2">
        <v>356440.2217115448</v>
      </c>
      <c r="S152" s="2">
        <v>399213.0483169302</v>
      </c>
      <c r="T152" s="2">
        <v>4476889.184697003</v>
      </c>
      <c r="U152" s="2">
        <f>M152+P152+Q152+R152+S152+T152</f>
        <v>17936927.413057044</v>
      </c>
      <c r="V152" s="2">
        <f>F152-K152-L152-U152</f>
        <v>8155411.088491011</v>
      </c>
      <c r="W152" s="2">
        <v>0</v>
      </c>
      <c r="X152" s="2">
        <v>0</v>
      </c>
      <c r="Y152" s="2">
        <f>W152+X152</f>
        <v>0</v>
      </c>
      <c r="Z152" s="2">
        <v>3.37604433298111E-09</v>
      </c>
      <c r="AA152" s="2">
        <v>0</v>
      </c>
      <c r="AB152" s="2">
        <v>0</v>
      </c>
      <c r="AC152" s="2">
        <v>0</v>
      </c>
      <c r="AD152" s="2">
        <v>0</v>
      </c>
      <c r="AE152" s="2">
        <v>2827300.204913213</v>
      </c>
      <c r="AF152" s="2">
        <f>F152-H152-L152-U152-AA152-AC152-AD152</f>
        <v>4673014.406362385</v>
      </c>
      <c r="AG152" s="2">
        <f>F152-H152-L152-U152-AA152-AB152-AD152-Y152</f>
        <v>4673014.406362385</v>
      </c>
      <c r="AH152" s="2">
        <f>AH151+AG152</f>
        <v>430113156.0480963</v>
      </c>
      <c r="AI152" s="2">
        <v>54942520.03917113</v>
      </c>
      <c r="AJ152" s="2">
        <f>AH152-AI152</f>
        <v>375170636.0089252</v>
      </c>
      <c r="AK152" s="3">
        <v>0.25</v>
      </c>
    </row>
    <row r="153" spans="1:37">
      <c r="A153" s="2">
        <v>152</v>
      </c>
      <c r="B153" s="2">
        <v>2039</v>
      </c>
      <c r="C153" s="2">
        <v>126</v>
      </c>
      <c r="D153" s="2">
        <v>499002.0527872943</v>
      </c>
      <c r="E153" s="2">
        <v>62874258.65119908</v>
      </c>
      <c r="F153" s="2">
        <f>E153/1.19</f>
        <v>52835511.47159587</v>
      </c>
      <c r="G153" s="2">
        <v>170</v>
      </c>
      <c r="H153" s="2">
        <v>19677292.62359217</v>
      </c>
      <c r="I153" s="2">
        <v>309</v>
      </c>
      <c r="J153" s="2">
        <v>35747674.52342962</v>
      </c>
      <c r="K153" s="2">
        <v>14576721.65033052</v>
      </c>
      <c r="L153" s="2">
        <v>5387725.895042107</v>
      </c>
      <c r="M153" s="2">
        <v>11452424.32359194</v>
      </c>
      <c r="N153" s="3">
        <v>2</v>
      </c>
      <c r="O153" s="3">
        <v>3</v>
      </c>
      <c r="P153" s="2">
        <v>313667.3951061594</v>
      </c>
      <c r="Q153" s="2">
        <v>938293.2396334705</v>
      </c>
      <c r="R153" s="2">
        <v>356440.2217115448</v>
      </c>
      <c r="S153" s="2">
        <v>399213.0483169302</v>
      </c>
      <c r="T153" s="2">
        <v>4476889.184697003</v>
      </c>
      <c r="U153" s="2">
        <f>M153+P153+Q153+R153+S153+T153</f>
        <v>17936927.413057044</v>
      </c>
      <c r="V153" s="2">
        <f>F153-K153-L153-U153</f>
        <v>14934136.51316619</v>
      </c>
      <c r="W153" s="2">
        <v>0</v>
      </c>
      <c r="X153" s="2">
        <v>0</v>
      </c>
      <c r="Y153" s="2">
        <f>W153+X153</f>
        <v>0</v>
      </c>
      <c r="Z153" s="2">
        <v>3.37604433298111E-09</v>
      </c>
      <c r="AA153" s="2">
        <v>0</v>
      </c>
      <c r="AB153" s="2">
        <v>0</v>
      </c>
      <c r="AC153" s="2">
        <v>0</v>
      </c>
      <c r="AD153" s="2">
        <v>869938.5245886808</v>
      </c>
      <c r="AE153" s="2">
        <v>3697238.729501894</v>
      </c>
      <c r="AF153" s="2">
        <f>F153-H153-L153-U153-AA153-AC153-AD153</f>
        <v>8963627.015315864</v>
      </c>
      <c r="AG153" s="2">
        <f>F153-H153-L153-U153-AA153-AB153-AD153-Y153</f>
        <v>8963627.015315864</v>
      </c>
      <c r="AH153" s="2">
        <f>AH152+AG153</f>
        <v>439076783.0634122</v>
      </c>
      <c r="AI153" s="2">
        <v>54942520.03917113</v>
      </c>
      <c r="AJ153" s="2">
        <f>AH153-AI153</f>
        <v>384134263.0242411</v>
      </c>
      <c r="AK153" s="3">
        <v>0.25</v>
      </c>
    </row>
    <row r="154" spans="1:37">
      <c r="A154" s="2">
        <v>153</v>
      </c>
      <c r="B154" s="2">
        <v>2039</v>
      </c>
      <c r="C154" s="2">
        <v>138</v>
      </c>
      <c r="D154" s="2">
        <v>499002.0527872943</v>
      </c>
      <c r="E154" s="2">
        <v>68862283.28464662</v>
      </c>
      <c r="F154" s="2">
        <f>E154/1.19</f>
        <v>57867464.94508119</v>
      </c>
      <c r="G154" s="2">
        <v>170</v>
      </c>
      <c r="H154" s="2">
        <v>19677292.62359217</v>
      </c>
      <c r="I154" s="2">
        <v>341</v>
      </c>
      <c r="J154" s="2">
        <v>39457022.54099046</v>
      </c>
      <c r="K154" s="2">
        <v>15967944.60603133</v>
      </c>
      <c r="L154" s="2">
        <v>5901079.747023474</v>
      </c>
      <c r="M154" s="2">
        <v>11452424.32359194</v>
      </c>
      <c r="N154" s="3">
        <v>2</v>
      </c>
      <c r="O154" s="3">
        <v>3</v>
      </c>
      <c r="P154" s="2">
        <v>313667.3951061594</v>
      </c>
      <c r="Q154" s="2">
        <v>938293.2396334705</v>
      </c>
      <c r="R154" s="2">
        <v>356440.2217115448</v>
      </c>
      <c r="S154" s="2">
        <v>399213.0483169302</v>
      </c>
      <c r="T154" s="2">
        <v>4476889.184697003</v>
      </c>
      <c r="U154" s="2">
        <f>M154+P154+Q154+R154+S154+T154</f>
        <v>17936927.413057044</v>
      </c>
      <c r="V154" s="2">
        <f>F154-K154-L154-U154</f>
        <v>18061513.17896934</v>
      </c>
      <c r="W154" s="2">
        <v>0</v>
      </c>
      <c r="X154" s="2">
        <v>0</v>
      </c>
      <c r="Y154" s="2">
        <f>W154+X154</f>
        <v>0</v>
      </c>
      <c r="Z154" s="2">
        <v>3.37604433298111E-09</v>
      </c>
      <c r="AA154" s="2">
        <v>0</v>
      </c>
      <c r="AB154" s="2">
        <v>0</v>
      </c>
      <c r="AC154" s="2">
        <v>0</v>
      </c>
      <c r="AD154" s="2">
        <v>0</v>
      </c>
      <c r="AE154" s="2">
        <v>3697238.729501894</v>
      </c>
      <c r="AF154" s="2">
        <f>F154-H154-L154-U154-AA154-AC154-AD154</f>
        <v>14352165.161408503</v>
      </c>
      <c r="AG154" s="2">
        <f>F154-H154-L154-U154-AA154-AB154-AD154-Y154</f>
        <v>14352165.161408503</v>
      </c>
      <c r="AH154" s="2">
        <f>AH153+AG154</f>
        <v>453428948.2248207</v>
      </c>
      <c r="AI154" s="2">
        <v>54942520.03917113</v>
      </c>
      <c r="AJ154" s="2">
        <f>AH154-AI154</f>
        <v>398486428.1856495</v>
      </c>
      <c r="AK154" s="3">
        <v>0.25</v>
      </c>
    </row>
    <row r="155" spans="1:37">
      <c r="A155" s="2">
        <v>154</v>
      </c>
      <c r="B155" s="2">
        <v>2039</v>
      </c>
      <c r="C155" s="2">
        <v>163</v>
      </c>
      <c r="D155" s="2">
        <v>499002.0527872943</v>
      </c>
      <c r="E155" s="2">
        <v>81337334.60432898</v>
      </c>
      <c r="F155" s="2">
        <f>E155/1.19</f>
        <v>68350701.34817562</v>
      </c>
      <c r="G155" s="2">
        <v>220</v>
      </c>
      <c r="H155" s="2">
        <v>25464731.63053104</v>
      </c>
      <c r="I155" s="2">
        <v>398</v>
      </c>
      <c r="J155" s="2">
        <v>46058570.69566053</v>
      </c>
      <c r="K155" s="2">
        <v>18863183.47586097</v>
      </c>
      <c r="L155" s="2">
        <v>6970315.55562089</v>
      </c>
      <c r="M155" s="2">
        <v>11452424.32359194</v>
      </c>
      <c r="N155" s="3">
        <v>2</v>
      </c>
      <c r="O155" s="3">
        <v>3</v>
      </c>
      <c r="P155" s="2">
        <v>313667.3951061594</v>
      </c>
      <c r="Q155" s="2">
        <v>938293.2396334705</v>
      </c>
      <c r="R155" s="2">
        <v>356440.2217115448</v>
      </c>
      <c r="S155" s="2">
        <v>399213.0483169302</v>
      </c>
      <c r="T155" s="2">
        <v>4476889.184697003</v>
      </c>
      <c r="U155" s="2">
        <f>M155+P155+Q155+R155+S155+T155</f>
        <v>17936927.413057044</v>
      </c>
      <c r="V155" s="2">
        <f>F155-K155-L155-U155</f>
        <v>24580274.90363671</v>
      </c>
      <c r="W155" s="2">
        <v>0</v>
      </c>
      <c r="X155" s="2">
        <v>0</v>
      </c>
      <c r="Y155" s="2">
        <f>W155+X155</f>
        <v>0</v>
      </c>
      <c r="Z155" s="2">
        <v>3.37604433298111E-09</v>
      </c>
      <c r="AA155" s="2">
        <v>0</v>
      </c>
      <c r="AB155" s="2">
        <v>0</v>
      </c>
      <c r="AC155" s="2">
        <v>0</v>
      </c>
      <c r="AD155" s="2">
        <v>1087423.155735851</v>
      </c>
      <c r="AE155" s="2">
        <v>4784661.885237745</v>
      </c>
      <c r="AF155" s="2">
        <f>F155-H155-L155-U155-AA155-AC155-AD155</f>
        <v>16891303.593230784</v>
      </c>
      <c r="AG155" s="2">
        <f>F155-H155-L155-U155-AA155-AB155-AD155-Y155</f>
        <v>16891303.593230784</v>
      </c>
      <c r="AH155" s="2">
        <f>AH154+AG155</f>
        <v>470320251.81805146</v>
      </c>
      <c r="AI155" s="2">
        <v>54942520.03917113</v>
      </c>
      <c r="AJ155" s="2">
        <f>AH155-AI155</f>
        <v>415377731.77888036</v>
      </c>
      <c r="AK155" s="3">
        <v>0.25</v>
      </c>
    </row>
    <row r="156" spans="1:37">
      <c r="A156" s="2">
        <v>155</v>
      </c>
      <c r="B156" s="2">
        <v>2039</v>
      </c>
      <c r="C156" s="2">
        <v>176</v>
      </c>
      <c r="D156" s="2">
        <v>499002.0527872943</v>
      </c>
      <c r="E156" s="2">
        <v>87824361.29056379</v>
      </c>
      <c r="F156" s="2">
        <f>E156/1.19</f>
        <v>73801984.2777847</v>
      </c>
      <c r="G156" s="2">
        <v>20</v>
      </c>
      <c r="H156" s="2">
        <v>2314975.602775549</v>
      </c>
      <c r="I156" s="2">
        <v>242</v>
      </c>
      <c r="J156" s="2">
        <v>28005737.33067352</v>
      </c>
      <c r="K156" s="2">
        <v>20367808.96776256</v>
      </c>
      <c r="L156" s="2">
        <v>7526246.278458759</v>
      </c>
      <c r="M156" s="2">
        <v>11452424.32359194</v>
      </c>
      <c r="N156" s="3">
        <v>2</v>
      </c>
      <c r="O156" s="3">
        <v>3</v>
      </c>
      <c r="P156" s="2">
        <v>313667.3951061594</v>
      </c>
      <c r="Q156" s="2">
        <v>938293.2396334705</v>
      </c>
      <c r="R156" s="2">
        <v>356440.2217115448</v>
      </c>
      <c r="S156" s="2">
        <v>399213.0483169302</v>
      </c>
      <c r="T156" s="2">
        <v>4476889.184697003</v>
      </c>
      <c r="U156" s="2">
        <f>M156+P156+Q156+R156+S156+T156</f>
        <v>17936927.413057044</v>
      </c>
      <c r="V156" s="2">
        <f>F156-K156-L156-U156</f>
        <v>27971001.618506342</v>
      </c>
      <c r="W156" s="2">
        <v>0</v>
      </c>
      <c r="X156" s="2">
        <v>0</v>
      </c>
      <c r="Y156" s="2">
        <f>W156+X156</f>
        <v>0</v>
      </c>
      <c r="Z156" s="2">
        <v>3.37604433298111E-09</v>
      </c>
      <c r="AA156" s="2">
        <v>0</v>
      </c>
      <c r="AB156" s="2">
        <v>0</v>
      </c>
      <c r="AC156" s="2">
        <v>0</v>
      </c>
      <c r="AD156" s="2">
        <v>-4349692.622943404</v>
      </c>
      <c r="AE156" s="2">
        <v>434969.2622943405</v>
      </c>
      <c r="AF156" s="2">
        <f>F156-H156-L156-U156-AA156-AC156-AD156</f>
        <v>50373527.60643676</v>
      </c>
      <c r="AG156" s="2">
        <f>F156-H156-L156-U156-AA156-AB156-AD156-Y156</f>
        <v>50373527.60643676</v>
      </c>
      <c r="AH156" s="2">
        <f>AH155+AG156</f>
        <v>520693779.4244882</v>
      </c>
      <c r="AI156" s="2">
        <v>54942520.03917113</v>
      </c>
      <c r="AJ156" s="2">
        <f>AH156-AI156</f>
        <v>465751259.3853171</v>
      </c>
      <c r="AK156" s="3">
        <v>0.25</v>
      </c>
    </row>
    <row r="157" spans="1:37">
      <c r="A157" s="2">
        <v>156</v>
      </c>
      <c r="B157" s="2">
        <v>2039</v>
      </c>
      <c r="C157" s="2">
        <v>214</v>
      </c>
      <c r="D157" s="2">
        <v>499002.0527872943</v>
      </c>
      <c r="E157" s="2">
        <v>106786439.296481</v>
      </c>
      <c r="F157" s="2">
        <f>E157/1.19</f>
        <v>89736503.61048822</v>
      </c>
      <c r="G157" s="2">
        <v>40</v>
      </c>
      <c r="H157" s="2">
        <v>4629951.205551098</v>
      </c>
      <c r="I157" s="2">
        <v>68</v>
      </c>
      <c r="J157" s="2">
        <v>7869598.654125087</v>
      </c>
      <c r="K157" s="2">
        <v>24766089.88209953</v>
      </c>
      <c r="L157" s="2">
        <v>9151286.134102507</v>
      </c>
      <c r="M157" s="2">
        <v>11452424.32359194</v>
      </c>
      <c r="N157" s="3">
        <v>2</v>
      </c>
      <c r="O157" s="3">
        <v>3</v>
      </c>
      <c r="P157" s="2">
        <v>313667.3951061594</v>
      </c>
      <c r="Q157" s="2">
        <v>938293.2396334705</v>
      </c>
      <c r="R157" s="2">
        <v>356440.2217115448</v>
      </c>
      <c r="S157" s="2">
        <v>399213.0483169302</v>
      </c>
      <c r="T157" s="2">
        <v>4476889.184697003</v>
      </c>
      <c r="U157" s="2">
        <f>M157+P157+Q157+R157+S157+T157</f>
        <v>17936927.413057044</v>
      </c>
      <c r="V157" s="2">
        <f>F157-K157-L157-U157</f>
        <v>37882200.18122914</v>
      </c>
      <c r="W157" s="2">
        <v>0</v>
      </c>
      <c r="X157" s="2">
        <v>0</v>
      </c>
      <c r="Y157" s="2">
        <f>W157+X157</f>
        <v>0</v>
      </c>
      <c r="Z157" s="2">
        <v>3.37604433298111E-09</v>
      </c>
      <c r="AA157" s="2">
        <v>0</v>
      </c>
      <c r="AB157" s="2">
        <v>27439378.25796486</v>
      </c>
      <c r="AC157" s="2">
        <v>27439378.25796486</v>
      </c>
      <c r="AD157" s="2">
        <v>434969.2622943405</v>
      </c>
      <c r="AE157" s="2">
        <v>869938.5245886809</v>
      </c>
      <c r="AF157" s="2">
        <f>F157-H157-L157-U157-AA157-AC157-AD157</f>
        <v>30143991.33751836</v>
      </c>
      <c r="AG157" s="2">
        <f>F157-H157-L157-U157-AA157-AB157-AD157-Y157</f>
        <v>30143991.33751836</v>
      </c>
      <c r="AH157" s="2">
        <f>AH156+AG157</f>
        <v>550837770.7620065</v>
      </c>
      <c r="AI157" s="2">
        <v>54942520.03917113</v>
      </c>
      <c r="AJ157" s="2">
        <f>AH157-AI157</f>
        <v>495895250.7228354</v>
      </c>
      <c r="AK157" s="3">
        <v>0.25</v>
      </c>
    </row>
    <row r="158" spans="1:37">
      <c r="A158" s="2">
        <v>157</v>
      </c>
      <c r="B158" s="2">
        <v>2040</v>
      </c>
      <c r="C158" s="2">
        <v>26</v>
      </c>
      <c r="D158" s="2">
        <v>513972.1143709132</v>
      </c>
      <c r="E158" s="2">
        <v>13363274.97364374</v>
      </c>
      <c r="F158" s="2">
        <f>E158/1.19</f>
        <v>11229642.834994743</v>
      </c>
      <c r="G158" s="2">
        <v>60</v>
      </c>
      <c r="H158" s="2">
        <v>7153274.612576447</v>
      </c>
      <c r="I158" s="2">
        <v>102</v>
      </c>
      <c r="J158" s="2">
        <v>11971352.13440279</v>
      </c>
      <c r="K158" s="2">
        <v>3051521.132298749</v>
      </c>
      <c r="L158" s="2">
        <v>1141376.698564531</v>
      </c>
      <c r="M158" s="2">
        <v>12539442.24573455</v>
      </c>
      <c r="N158" s="3">
        <v>2</v>
      </c>
      <c r="O158" s="3">
        <v>3.5</v>
      </c>
      <c r="P158" s="2">
        <v>337762.7540938599</v>
      </c>
      <c r="Q158" s="2">
        <v>1003816.219829817</v>
      </c>
      <c r="R158" s="2">
        <v>367133.4283628912</v>
      </c>
      <c r="S158" s="2">
        <v>411189.4397664382</v>
      </c>
      <c r="T158" s="2">
        <v>4842489.920106535</v>
      </c>
      <c r="U158" s="2">
        <f>M158+P158+Q158+R158+S158+T158</f>
        <v>19501834.007894088</v>
      </c>
      <c r="V158" s="2">
        <f>F158-K158-L158-U158</f>
        <v>-12465089.003762625</v>
      </c>
      <c r="W158" s="2">
        <v>0</v>
      </c>
      <c r="X158" s="2">
        <v>0</v>
      </c>
      <c r="Y158" s="2">
        <f>W158+X158</f>
        <v>0</v>
      </c>
      <c r="Z158" s="2">
        <v>3.37604433298111E-09</v>
      </c>
      <c r="AA158" s="2">
        <v>0</v>
      </c>
      <c r="AB158" s="2">
        <v>0</v>
      </c>
      <c r="AC158" s="2">
        <v>0</v>
      </c>
      <c r="AD158" s="2">
        <v>474116.4959008311</v>
      </c>
      <c r="AE158" s="2">
        <v>1344055.020489512</v>
      </c>
      <c r="AF158" s="2">
        <f>F158-H158-L158-U158-AA158-AC158-AD158</f>
        <v>-17040958.979941156</v>
      </c>
      <c r="AG158" s="2">
        <f>F158-H158-L158-U158-AA158-AB158-AD158-Y158</f>
        <v>-17040958.979941156</v>
      </c>
      <c r="AH158" s="2">
        <f>AH157+AG158</f>
        <v>533796811.7820654</v>
      </c>
      <c r="AI158" s="2">
        <v>59637239.82368226</v>
      </c>
      <c r="AJ158" s="2">
        <f>AH158-AI158</f>
        <v>474159571.95838314</v>
      </c>
      <c r="AK158" s="3">
        <v>0.25</v>
      </c>
    </row>
    <row r="159" spans="1:37">
      <c r="A159" s="2">
        <v>158</v>
      </c>
      <c r="B159" s="2">
        <v>2040</v>
      </c>
      <c r="C159" s="2">
        <v>40</v>
      </c>
      <c r="D159" s="2">
        <v>513972.1143709132</v>
      </c>
      <c r="E159" s="2">
        <v>20558884.57483653</v>
      </c>
      <c r="F159" s="2">
        <f>E159/1.19</f>
        <v>17276373.592299603</v>
      </c>
      <c r="G159" s="2">
        <v>60</v>
      </c>
      <c r="H159" s="2">
        <v>7153274.612576447</v>
      </c>
      <c r="I159" s="2">
        <v>122</v>
      </c>
      <c r="J159" s="2">
        <v>14402496.68599671</v>
      </c>
      <c r="K159" s="2">
        <v>4722130.060982526</v>
      </c>
      <c r="L159" s="2">
        <v>1758162.724848804</v>
      </c>
      <c r="M159" s="2">
        <v>12539442.24573455</v>
      </c>
      <c r="N159" s="3">
        <v>2</v>
      </c>
      <c r="O159" s="3">
        <v>3.5</v>
      </c>
      <c r="P159" s="2">
        <v>337762.7540938599</v>
      </c>
      <c r="Q159" s="2">
        <v>1003816.219829817</v>
      </c>
      <c r="R159" s="2">
        <v>367133.4283628912</v>
      </c>
      <c r="S159" s="2">
        <v>411189.4397664382</v>
      </c>
      <c r="T159" s="2">
        <v>4842489.920106535</v>
      </c>
      <c r="U159" s="2">
        <f>M159+P159+Q159+R159+S159+T159</f>
        <v>19501834.007894088</v>
      </c>
      <c r="V159" s="2">
        <f>F159-K159-L159-U159</f>
        <v>-8705753.201425813</v>
      </c>
      <c r="W159" s="2">
        <v>0</v>
      </c>
      <c r="X159" s="2">
        <v>0</v>
      </c>
      <c r="Y159" s="2">
        <f>W159+X159</f>
        <v>0</v>
      </c>
      <c r="Z159" s="2">
        <v>3.37604433298111E-09</v>
      </c>
      <c r="AA159" s="2">
        <v>0</v>
      </c>
      <c r="AB159" s="2">
        <v>0</v>
      </c>
      <c r="AC159" s="2">
        <v>0</v>
      </c>
      <c r="AD159" s="2">
        <v>0</v>
      </c>
      <c r="AE159" s="2">
        <v>1344055.020489512</v>
      </c>
      <c r="AF159" s="2">
        <f>F159-H159-L159-U159-AA159-AC159-AD159</f>
        <v>-11136897.753019735</v>
      </c>
      <c r="AG159" s="2">
        <f>F159-H159-L159-U159-AA159-AB159-AD159-Y159</f>
        <v>-11136897.753019735</v>
      </c>
      <c r="AH159" s="2">
        <f>AH158+AG159</f>
        <v>522659914.02904564</v>
      </c>
      <c r="AI159" s="2">
        <v>59637239.82368226</v>
      </c>
      <c r="AJ159" s="2">
        <f>AH159-AI159</f>
        <v>463022674.2053634</v>
      </c>
      <c r="AK159" s="3">
        <v>0.25</v>
      </c>
    </row>
    <row r="160" spans="1:37">
      <c r="A160" s="2">
        <v>159</v>
      </c>
      <c r="B160" s="2">
        <v>2040</v>
      </c>
      <c r="C160" s="2">
        <v>53</v>
      </c>
      <c r="D160" s="2">
        <v>513972.1143709132</v>
      </c>
      <c r="E160" s="2">
        <v>27240522.0616584</v>
      </c>
      <c r="F160" s="2">
        <f>E160/1.19</f>
        <v>22891195.009796973</v>
      </c>
      <c r="G160" s="2">
        <v>80</v>
      </c>
      <c r="H160" s="2">
        <v>9537699.483435264</v>
      </c>
      <c r="I160" s="2">
        <v>149</v>
      </c>
      <c r="J160" s="2">
        <v>17658857.5705216</v>
      </c>
      <c r="K160" s="2">
        <v>6281338.598910368</v>
      </c>
      <c r="L160" s="2">
        <v>2331526.911873347</v>
      </c>
      <c r="M160" s="2">
        <v>12539442.24573455</v>
      </c>
      <c r="N160" s="3">
        <v>2</v>
      </c>
      <c r="O160" s="3">
        <v>3.5</v>
      </c>
      <c r="P160" s="2">
        <v>337762.7540938599</v>
      </c>
      <c r="Q160" s="2">
        <v>1003816.219829817</v>
      </c>
      <c r="R160" s="2">
        <v>367133.4283628912</v>
      </c>
      <c r="S160" s="2">
        <v>411189.4397664382</v>
      </c>
      <c r="T160" s="2">
        <v>4842489.920106535</v>
      </c>
      <c r="U160" s="2">
        <f>M160+P160+Q160+R160+S160+T160</f>
        <v>19501834.007894088</v>
      </c>
      <c r="V160" s="2">
        <f>F160-K160-L160-U160</f>
        <v>-5223504.508880831</v>
      </c>
      <c r="W160" s="2">
        <v>0</v>
      </c>
      <c r="X160" s="2">
        <v>0</v>
      </c>
      <c r="Y160" s="2">
        <f>W160+X160</f>
        <v>0</v>
      </c>
      <c r="Z160" s="2">
        <v>3.37604433298111E-09</v>
      </c>
      <c r="AA160" s="2">
        <v>0</v>
      </c>
      <c r="AB160" s="2">
        <v>0</v>
      </c>
      <c r="AC160" s="2">
        <v>0</v>
      </c>
      <c r="AD160" s="2">
        <v>448018.3401631708</v>
      </c>
      <c r="AE160" s="2">
        <v>1792073.360652683</v>
      </c>
      <c r="AF160" s="2">
        <f>F160-H160-L160-U160-AA160-AC160-AD160</f>
        <v>-8927883.733568896</v>
      </c>
      <c r="AG160" s="2">
        <f>F160-H160-L160-U160-AA160-AB160-AD160-Y160</f>
        <v>-8927883.733568896</v>
      </c>
      <c r="AH160" s="2">
        <f>AH159+AG160</f>
        <v>513732030.29547673</v>
      </c>
      <c r="AI160" s="2">
        <v>59637239.82368226</v>
      </c>
      <c r="AJ160" s="2">
        <f>AH160-AI160</f>
        <v>454094790.4717945</v>
      </c>
      <c r="AK160" s="3">
        <v>0.25</v>
      </c>
    </row>
    <row r="161" spans="1:37">
      <c r="A161" s="2">
        <v>160</v>
      </c>
      <c r="B161" s="2">
        <v>2040</v>
      </c>
      <c r="C161" s="2">
        <v>66</v>
      </c>
      <c r="D161" s="2">
        <v>513972.1143709132</v>
      </c>
      <c r="E161" s="2">
        <v>33922159.54848027</v>
      </c>
      <c r="F161" s="2">
        <f>E161/1.19</f>
        <v>28506016.427294347</v>
      </c>
      <c r="G161" s="2">
        <v>90</v>
      </c>
      <c r="H161" s="2">
        <v>10729911.91886467</v>
      </c>
      <c r="I161" s="2">
        <v>173</v>
      </c>
      <c r="J161" s="2">
        <v>20549192.97767291</v>
      </c>
      <c r="K161" s="2">
        <v>7839576.511713365</v>
      </c>
      <c r="L161" s="2">
        <v>2904813.448887902</v>
      </c>
      <c r="M161" s="2">
        <v>12539442.24573455</v>
      </c>
      <c r="N161" s="3">
        <v>2</v>
      </c>
      <c r="O161" s="3">
        <v>3.5</v>
      </c>
      <c r="P161" s="2">
        <v>337762.7540938599</v>
      </c>
      <c r="Q161" s="2">
        <v>1003816.219829817</v>
      </c>
      <c r="R161" s="2">
        <v>367133.4283628912</v>
      </c>
      <c r="S161" s="2">
        <v>411189.4397664382</v>
      </c>
      <c r="T161" s="2">
        <v>4842489.920106535</v>
      </c>
      <c r="U161" s="2">
        <f>M161+P161+Q161+R161+S161+T161</f>
        <v>19501834.007894088</v>
      </c>
      <c r="V161" s="2">
        <f>F161-K161-L161-U161</f>
        <v>-1740207.5412010103</v>
      </c>
      <c r="W161" s="2">
        <v>0</v>
      </c>
      <c r="X161" s="2">
        <v>0</v>
      </c>
      <c r="Y161" s="2">
        <f>W161+X161</f>
        <v>0</v>
      </c>
      <c r="Z161" s="2">
        <v>3.37604433298111E-09</v>
      </c>
      <c r="AA161" s="2">
        <v>0</v>
      </c>
      <c r="AB161" s="2">
        <v>0</v>
      </c>
      <c r="AC161" s="2">
        <v>0</v>
      </c>
      <c r="AD161" s="2">
        <v>224009.1700815854</v>
      </c>
      <c r="AE161" s="2">
        <v>2016082.530734268</v>
      </c>
      <c r="AF161" s="2">
        <f>F161-H161-L161-U161-AA161-AC161-AD161</f>
        <v>-4854552.1184339</v>
      </c>
      <c r="AG161" s="2">
        <f>F161-H161-L161-U161-AA161-AB161-AD161-Y161</f>
        <v>-4854552.1184339</v>
      </c>
      <c r="AH161" s="2">
        <f>AH160+AG161</f>
        <v>508877478.17704284</v>
      </c>
      <c r="AI161" s="2">
        <v>59637239.82368226</v>
      </c>
      <c r="AJ161" s="2">
        <f>AH161-AI161</f>
        <v>449240238.3533606</v>
      </c>
      <c r="AK161" s="3">
        <v>0.25</v>
      </c>
    </row>
    <row r="162" spans="1:37">
      <c r="A162" s="2">
        <v>161</v>
      </c>
      <c r="B162" s="2">
        <v>2040</v>
      </c>
      <c r="C162" s="2">
        <v>79</v>
      </c>
      <c r="D162" s="2">
        <v>513972.1143709132</v>
      </c>
      <c r="E162" s="2">
        <v>40603797.03530214</v>
      </c>
      <c r="F162" s="2">
        <f>E162/1.19</f>
        <v>34120837.84479172</v>
      </c>
      <c r="G162" s="2">
        <v>110</v>
      </c>
      <c r="H162" s="2">
        <v>13114336.78972349</v>
      </c>
      <c r="I162" s="2">
        <v>204</v>
      </c>
      <c r="J162" s="2">
        <v>24266290.00900659</v>
      </c>
      <c r="K162" s="2">
        <v>9397239.758389806</v>
      </c>
      <c r="L162" s="2">
        <v>3478054.012612334</v>
      </c>
      <c r="M162" s="2">
        <v>12539442.24573455</v>
      </c>
      <c r="N162" s="3">
        <v>2</v>
      </c>
      <c r="O162" s="3">
        <v>3.5</v>
      </c>
      <c r="P162" s="2">
        <v>337762.7540938599</v>
      </c>
      <c r="Q162" s="2">
        <v>1003816.219829817</v>
      </c>
      <c r="R162" s="2">
        <v>367133.4283628912</v>
      </c>
      <c r="S162" s="2">
        <v>411189.4397664382</v>
      </c>
      <c r="T162" s="2">
        <v>4842489.920106535</v>
      </c>
      <c r="U162" s="2">
        <f>M162+P162+Q162+R162+S162+T162</f>
        <v>19501834.007894088</v>
      </c>
      <c r="V162" s="2">
        <f>F162-K162-L162-U162</f>
        <v>1743710.0658954866</v>
      </c>
      <c r="W162" s="2">
        <v>0</v>
      </c>
      <c r="X162" s="2">
        <v>0</v>
      </c>
      <c r="Y162" s="2">
        <f>W162+X162</f>
        <v>0</v>
      </c>
      <c r="Z162" s="2">
        <v>3.37604433298111E-09</v>
      </c>
      <c r="AA162" s="2">
        <v>0</v>
      </c>
      <c r="AB162" s="2">
        <v>0</v>
      </c>
      <c r="AC162" s="2">
        <v>0</v>
      </c>
      <c r="AD162" s="2">
        <v>448018.3401631701</v>
      </c>
      <c r="AE162" s="2">
        <v>2464100.870897438</v>
      </c>
      <c r="AF162" s="2">
        <f>F162-H162-L162-U162-AA162-AC162-AD162</f>
        <v>-2421405.305601361</v>
      </c>
      <c r="AG162" s="2">
        <f>F162-H162-L162-U162-AA162-AB162-AD162-Y162</f>
        <v>-2421405.305601361</v>
      </c>
      <c r="AH162" s="2">
        <f>AH161+AG162</f>
        <v>506456072.8714415</v>
      </c>
      <c r="AI162" s="2">
        <v>59637239.82368226</v>
      </c>
      <c r="AJ162" s="2">
        <f>AH162-AI162</f>
        <v>446818833.04775923</v>
      </c>
      <c r="AK162" s="3">
        <v>0.25</v>
      </c>
    </row>
    <row r="163" spans="1:37">
      <c r="A163" s="2">
        <v>162</v>
      </c>
      <c r="B163" s="2">
        <v>2040</v>
      </c>
      <c r="C163" s="2">
        <v>92</v>
      </c>
      <c r="D163" s="2">
        <v>513972.1143709132</v>
      </c>
      <c r="E163" s="2">
        <v>47285434.52212401</v>
      </c>
      <c r="F163" s="2">
        <f>E163/1.19</f>
        <v>39735659.26228909</v>
      </c>
      <c r="G163" s="2">
        <v>130</v>
      </c>
      <c r="H163" s="2">
        <v>15498761.6605823</v>
      </c>
      <c r="I163" s="2">
        <v>242</v>
      </c>
      <c r="J163" s="2">
        <v>28811803.90431291</v>
      </c>
      <c r="K163" s="2">
        <v>10953247.76527598</v>
      </c>
      <c r="L163" s="2">
        <v>4051162.157153543</v>
      </c>
      <c r="M163" s="2">
        <v>12539442.24573455</v>
      </c>
      <c r="N163" s="3">
        <v>2</v>
      </c>
      <c r="O163" s="3">
        <v>3.5</v>
      </c>
      <c r="P163" s="2">
        <v>337762.7540938599</v>
      </c>
      <c r="Q163" s="2">
        <v>1003816.219829817</v>
      </c>
      <c r="R163" s="2">
        <v>367133.4283628912</v>
      </c>
      <c r="S163" s="2">
        <v>411189.4397664382</v>
      </c>
      <c r="T163" s="2">
        <v>4842489.920106535</v>
      </c>
      <c r="U163" s="2">
        <f>M163+P163+Q163+R163+S163+T163</f>
        <v>19501834.007894088</v>
      </c>
      <c r="V163" s="2">
        <f>F163-K163-L163-U163</f>
        <v>5229415.331965476</v>
      </c>
      <c r="W163" s="2">
        <v>0</v>
      </c>
      <c r="X163" s="2">
        <v>0</v>
      </c>
      <c r="Y163" s="2">
        <f>W163+X163</f>
        <v>0</v>
      </c>
      <c r="Z163" s="2">
        <v>3.37604433298111E-09</v>
      </c>
      <c r="AA163" s="2">
        <v>0</v>
      </c>
      <c r="AB163" s="2">
        <v>0</v>
      </c>
      <c r="AC163" s="2">
        <v>0</v>
      </c>
      <c r="AD163" s="2">
        <v>448018.3401631708</v>
      </c>
      <c r="AE163" s="2">
        <v>2912119.211060609</v>
      </c>
      <c r="AF163" s="2">
        <f>F163-H163-L163-U163-AA163-AC163-AD163</f>
        <v>235883.09649598645</v>
      </c>
      <c r="AG163" s="2">
        <f>F163-H163-L163-U163-AA163-AB163-AD163-Y163</f>
        <v>235883.09649598645</v>
      </c>
      <c r="AH163" s="2">
        <f>AH162+AG163</f>
        <v>506691955.96793747</v>
      </c>
      <c r="AI163" s="2">
        <v>59637239.82368226</v>
      </c>
      <c r="AJ163" s="2">
        <f>AH163-AI163</f>
        <v>447054716.1442552</v>
      </c>
      <c r="AK163" s="3">
        <v>0.25</v>
      </c>
    </row>
    <row r="164" spans="1:37">
      <c r="A164" s="2">
        <v>163</v>
      </c>
      <c r="B164" s="2">
        <v>2040</v>
      </c>
      <c r="C164" s="2">
        <v>106</v>
      </c>
      <c r="D164" s="2">
        <v>513972.1143709132</v>
      </c>
      <c r="E164" s="2">
        <v>54481044.12331679</v>
      </c>
      <c r="F164" s="2">
        <f>E164/1.19</f>
        <v>45782390.01959395</v>
      </c>
      <c r="G164" s="2">
        <v>150</v>
      </c>
      <c r="H164" s="2">
        <v>17883186.53144112</v>
      </c>
      <c r="I164" s="2">
        <v>286</v>
      </c>
      <c r="J164" s="2">
        <v>34068283.83833075</v>
      </c>
      <c r="K164" s="2">
        <v>12626706.59742328</v>
      </c>
      <c r="L164" s="2">
        <v>4668176.175714898</v>
      </c>
      <c r="M164" s="2">
        <v>12539442.24573455</v>
      </c>
      <c r="N164" s="3">
        <v>2</v>
      </c>
      <c r="O164" s="3">
        <v>3.5</v>
      </c>
      <c r="P164" s="2">
        <v>337762.7540938599</v>
      </c>
      <c r="Q164" s="2">
        <v>1003816.219829817</v>
      </c>
      <c r="R164" s="2">
        <v>367133.4283628912</v>
      </c>
      <c r="S164" s="2">
        <v>411189.4397664382</v>
      </c>
      <c r="T164" s="2">
        <v>4842489.920106535</v>
      </c>
      <c r="U164" s="2">
        <f>M164+P164+Q164+R164+S164+T164</f>
        <v>19501834.007894088</v>
      </c>
      <c r="V164" s="2">
        <f>F164-K164-L164-U164</f>
        <v>8985673.238561675</v>
      </c>
      <c r="W164" s="2">
        <v>0</v>
      </c>
      <c r="X164" s="2">
        <v>0</v>
      </c>
      <c r="Y164" s="2">
        <f>W164+X164</f>
        <v>0</v>
      </c>
      <c r="Z164" s="2">
        <v>3.37604433298111E-09</v>
      </c>
      <c r="AA164" s="2">
        <v>0</v>
      </c>
      <c r="AB164" s="2">
        <v>0</v>
      </c>
      <c r="AC164" s="2">
        <v>0</v>
      </c>
      <c r="AD164" s="2">
        <v>448018.3401631708</v>
      </c>
      <c r="AE164" s="2">
        <v>3360137.55122378</v>
      </c>
      <c r="AF164" s="2">
        <f>F164-H164-L164-U164-AA164-AC164-AD164</f>
        <v>3281174.964380671</v>
      </c>
      <c r="AG164" s="2">
        <f>F164-H164-L164-U164-AA164-AB164-AD164-Y164</f>
        <v>3281174.964380671</v>
      </c>
      <c r="AH164" s="2">
        <f>AH163+AG164</f>
        <v>509973130.93231815</v>
      </c>
      <c r="AI164" s="2">
        <v>59637239.82368226</v>
      </c>
      <c r="AJ164" s="2">
        <f>AH164-AI164</f>
        <v>450335891.1086359</v>
      </c>
      <c r="AK164" s="3">
        <v>0.25</v>
      </c>
    </row>
    <row r="165" spans="1:37">
      <c r="A165" s="2">
        <v>164</v>
      </c>
      <c r="B165" s="2">
        <v>2040</v>
      </c>
      <c r="C165" s="2">
        <v>132</v>
      </c>
      <c r="D165" s="2">
        <v>513972.1143709132</v>
      </c>
      <c r="E165" s="2">
        <v>67844319.09696054</v>
      </c>
      <c r="F165" s="2">
        <f>E165/1.19</f>
        <v>57012032.854588695</v>
      </c>
      <c r="G165" s="2">
        <v>170</v>
      </c>
      <c r="H165" s="2">
        <v>20267611.40229994</v>
      </c>
      <c r="I165" s="2">
        <v>324</v>
      </c>
      <c r="J165" s="2">
        <v>38607083.46044812</v>
      </c>
      <c r="K165" s="2">
        <v>15728811.78018257</v>
      </c>
      <c r="L165" s="2">
        <v>5813599.598316273</v>
      </c>
      <c r="M165" s="2">
        <v>12539442.24573455</v>
      </c>
      <c r="N165" s="3">
        <v>2</v>
      </c>
      <c r="O165" s="3">
        <v>3.5</v>
      </c>
      <c r="P165" s="2">
        <v>337762.7540938599</v>
      </c>
      <c r="Q165" s="2">
        <v>1003816.219829817</v>
      </c>
      <c r="R165" s="2">
        <v>367133.4283628912</v>
      </c>
      <c r="S165" s="2">
        <v>411189.4397664382</v>
      </c>
      <c r="T165" s="2">
        <v>4842489.920106535</v>
      </c>
      <c r="U165" s="2">
        <f>M165+P165+Q165+R165+S165+T165</f>
        <v>19501834.007894088</v>
      </c>
      <c r="V165" s="2">
        <f>F165-K165-L165-U165</f>
        <v>15967787.46819577</v>
      </c>
      <c r="W165" s="2">
        <v>0</v>
      </c>
      <c r="X165" s="2">
        <v>0</v>
      </c>
      <c r="Y165" s="2">
        <f>W165+X165</f>
        <v>0</v>
      </c>
      <c r="Z165" s="2">
        <v>3.37604433298111E-09</v>
      </c>
      <c r="AA165" s="2">
        <v>0</v>
      </c>
      <c r="AB165" s="2">
        <v>0</v>
      </c>
      <c r="AC165" s="2">
        <v>0</v>
      </c>
      <c r="AD165" s="2">
        <v>448018.3401631708</v>
      </c>
      <c r="AE165" s="2">
        <v>3808155.891386951</v>
      </c>
      <c r="AF165" s="2">
        <f>F165-H165-L165-U165-AA165-AC165-AD165</f>
        <v>10980969.505915228</v>
      </c>
      <c r="AG165" s="2">
        <f>F165-H165-L165-U165-AA165-AB165-AD165-Y165</f>
        <v>10980969.505915228</v>
      </c>
      <c r="AH165" s="2">
        <f>AH164+AG165</f>
        <v>520954100.4382334</v>
      </c>
      <c r="AI165" s="2">
        <v>59637239.82368226</v>
      </c>
      <c r="AJ165" s="2">
        <f>AH165-AI165</f>
        <v>461316860.6145511</v>
      </c>
      <c r="AK165" s="3">
        <v>0.25</v>
      </c>
    </row>
    <row r="166" spans="1:37">
      <c r="A166" s="2">
        <v>165</v>
      </c>
      <c r="B166" s="2">
        <v>2040</v>
      </c>
      <c r="C166" s="2">
        <v>145</v>
      </c>
      <c r="D166" s="2">
        <v>513972.1143709132</v>
      </c>
      <c r="E166" s="2">
        <v>74525956.5837824</v>
      </c>
      <c r="F166" s="2">
        <f>E166/1.19</f>
        <v>62626854.272086054</v>
      </c>
      <c r="G166" s="2">
        <v>180</v>
      </c>
      <c r="H166" s="2">
        <v>21459823.83772935</v>
      </c>
      <c r="I166" s="2">
        <v>359</v>
      </c>
      <c r="J166" s="2">
        <v>42785753.41278911</v>
      </c>
      <c r="K166" s="2">
        <v>17281153.88538836</v>
      </c>
      <c r="L166" s="2">
        <v>6386414.47072305</v>
      </c>
      <c r="M166" s="2">
        <v>12539442.24573455</v>
      </c>
      <c r="N166" s="3">
        <v>2</v>
      </c>
      <c r="O166" s="3">
        <v>3.5</v>
      </c>
      <c r="P166" s="2">
        <v>337762.7540938599</v>
      </c>
      <c r="Q166" s="2">
        <v>1003816.219829817</v>
      </c>
      <c r="R166" s="2">
        <v>367133.4283628912</v>
      </c>
      <c r="S166" s="2">
        <v>411189.4397664382</v>
      </c>
      <c r="T166" s="2">
        <v>4842489.920106535</v>
      </c>
      <c r="U166" s="2">
        <f>M166+P166+Q166+R166+S166+T166</f>
        <v>19501834.007894088</v>
      </c>
      <c r="V166" s="2">
        <f>F166-K166-L166-U166</f>
        <v>19457451.90808056</v>
      </c>
      <c r="W166" s="2">
        <v>0</v>
      </c>
      <c r="X166" s="2">
        <v>0</v>
      </c>
      <c r="Y166" s="2">
        <f>W166+X166</f>
        <v>0</v>
      </c>
      <c r="Z166" s="2">
        <v>3.37604433298111E-09</v>
      </c>
      <c r="AA166" s="2">
        <v>0</v>
      </c>
      <c r="AB166" s="2">
        <v>0</v>
      </c>
      <c r="AC166" s="2">
        <v>0</v>
      </c>
      <c r="AD166" s="2">
        <v>224009.1700815856</v>
      </c>
      <c r="AE166" s="2">
        <v>4032165.061468536</v>
      </c>
      <c r="AF166" s="2">
        <f>F166-H166-L166-U166-AA166-AC166-AD166</f>
        <v>15054772.785657983</v>
      </c>
      <c r="AG166" s="2">
        <f>F166-H166-L166-U166-AA166-AB166-AD166-Y166</f>
        <v>15054772.785657983</v>
      </c>
      <c r="AH166" s="2">
        <f>AH165+AG166</f>
        <v>536008873.2238914</v>
      </c>
      <c r="AI166" s="2">
        <v>59637239.82368226</v>
      </c>
      <c r="AJ166" s="2">
        <f>AH166-AI166</f>
        <v>476371633.4002091</v>
      </c>
      <c r="AK166" s="3">
        <v>0.25</v>
      </c>
    </row>
    <row r="167" spans="1:37">
      <c r="A167" s="2">
        <v>166</v>
      </c>
      <c r="B167" s="2">
        <v>2040</v>
      </c>
      <c r="C167" s="2">
        <v>171</v>
      </c>
      <c r="D167" s="2">
        <v>513972.1143709132</v>
      </c>
      <c r="E167" s="2">
        <v>87889231.55742615</v>
      </c>
      <c r="F167" s="2">
        <f>E167/1.19</f>
        <v>73856497.1070808</v>
      </c>
      <c r="G167" s="2">
        <v>230</v>
      </c>
      <c r="H167" s="2">
        <v>27420886.01487638</v>
      </c>
      <c r="I167" s="2">
        <v>418</v>
      </c>
      <c r="J167" s="2">
        <v>49824066.69060132</v>
      </c>
      <c r="K167" s="2">
        <v>20382572.73706418</v>
      </c>
      <c r="L167" s="2">
        <v>7531782.986837748</v>
      </c>
      <c r="M167" s="2">
        <v>12539442.24573455</v>
      </c>
      <c r="N167" s="3">
        <v>2</v>
      </c>
      <c r="O167" s="3">
        <v>3.5</v>
      </c>
      <c r="P167" s="2">
        <v>337762.7540938599</v>
      </c>
      <c r="Q167" s="2">
        <v>1003816.219829817</v>
      </c>
      <c r="R167" s="2">
        <v>367133.4283628912</v>
      </c>
      <c r="S167" s="2">
        <v>411189.4397664382</v>
      </c>
      <c r="T167" s="2">
        <v>4842489.920106535</v>
      </c>
      <c r="U167" s="2">
        <f>M167+P167+Q167+R167+S167+T167</f>
        <v>19501834.007894088</v>
      </c>
      <c r="V167" s="2">
        <f>F167-K167-L167-U167</f>
        <v>26440307.375284795</v>
      </c>
      <c r="W167" s="2">
        <v>0</v>
      </c>
      <c r="X167" s="2">
        <v>0</v>
      </c>
      <c r="Y167" s="2">
        <f>W167+X167</f>
        <v>0</v>
      </c>
      <c r="Z167" s="2">
        <v>3.37604433298111E-09</v>
      </c>
      <c r="AA167" s="2">
        <v>0</v>
      </c>
      <c r="AB167" s="2">
        <v>0</v>
      </c>
      <c r="AC167" s="2">
        <v>0</v>
      </c>
      <c r="AD167" s="2">
        <v>1120045.850407927</v>
      </c>
      <c r="AE167" s="2">
        <v>5152210.911876463</v>
      </c>
      <c r="AF167" s="2">
        <f>F167-H167-L167-U167-AA167-AC167-AD167</f>
        <v>18281948.24706466</v>
      </c>
      <c r="AG167" s="2">
        <f>F167-H167-L167-U167-AA167-AB167-AD167-Y167</f>
        <v>18281948.24706466</v>
      </c>
      <c r="AH167" s="2">
        <f>AH166+AG167</f>
        <v>554290821.4709561</v>
      </c>
      <c r="AI167" s="2">
        <v>59637239.82368226</v>
      </c>
      <c r="AJ167" s="2">
        <f>AH167-AI167</f>
        <v>494653581.64727384</v>
      </c>
      <c r="AK167" s="3">
        <v>0.25</v>
      </c>
    </row>
    <row r="168" spans="1:37">
      <c r="A168" s="2">
        <v>167</v>
      </c>
      <c r="B168" s="2">
        <v>2040</v>
      </c>
      <c r="C168" s="2">
        <v>185</v>
      </c>
      <c r="D168" s="2">
        <v>513972.1143709132</v>
      </c>
      <c r="E168" s="2">
        <v>95084841.15861894</v>
      </c>
      <c r="F168" s="2">
        <f>E168/1.19</f>
        <v>79903227.86438566</v>
      </c>
      <c r="G168" s="2">
        <v>20</v>
      </c>
      <c r="H168" s="2">
        <v>2384424.870858816</v>
      </c>
      <c r="I168" s="2">
        <v>253</v>
      </c>
      <c r="J168" s="2">
        <v>30156959.73755574</v>
      </c>
      <c r="K168" s="2">
        <v>22051531.8239044</v>
      </c>
      <c r="L168" s="2">
        <v>8148437.025774536</v>
      </c>
      <c r="M168" s="2">
        <v>12539442.24573455</v>
      </c>
      <c r="N168" s="3">
        <v>2</v>
      </c>
      <c r="O168" s="3">
        <v>3.5</v>
      </c>
      <c r="P168" s="2">
        <v>337762.7540938599</v>
      </c>
      <c r="Q168" s="2">
        <v>1003816.219829817</v>
      </c>
      <c r="R168" s="2">
        <v>367133.4283628912</v>
      </c>
      <c r="S168" s="2">
        <v>411189.4397664382</v>
      </c>
      <c r="T168" s="2">
        <v>4842489.920106535</v>
      </c>
      <c r="U168" s="2">
        <f>M168+P168+Q168+R168+S168+T168</f>
        <v>19501834.007894088</v>
      </c>
      <c r="V168" s="2">
        <f>F168-K168-L168-U168</f>
        <v>30201425.006812643</v>
      </c>
      <c r="W168" s="2">
        <v>0</v>
      </c>
      <c r="X168" s="2">
        <v>0</v>
      </c>
      <c r="Y168" s="2">
        <f>W168+X168</f>
        <v>0</v>
      </c>
      <c r="Z168" s="2">
        <v>3.37604433298111E-09</v>
      </c>
      <c r="AA168" s="2">
        <v>0</v>
      </c>
      <c r="AB168" s="2">
        <v>0</v>
      </c>
      <c r="AC168" s="2">
        <v>0</v>
      </c>
      <c r="AD168" s="2">
        <v>-4704192.571713293</v>
      </c>
      <c r="AE168" s="2">
        <v>448018.3401631707</v>
      </c>
      <c r="AF168" s="2">
        <f>F168-H168-L168-U168-AA168-AC168-AD168</f>
        <v>54572724.531571515</v>
      </c>
      <c r="AG168" s="2">
        <f>F168-H168-L168-U168-AA168-AB168-AD168-Y168</f>
        <v>54572724.531571515</v>
      </c>
      <c r="AH168" s="2">
        <f>AH167+AG168</f>
        <v>608863546.0025276</v>
      </c>
      <c r="AI168" s="2">
        <v>59637239.82368226</v>
      </c>
      <c r="AJ168" s="2">
        <f>AH168-AI168</f>
        <v>549226306.1788453</v>
      </c>
      <c r="AK168" s="3">
        <v>0.25</v>
      </c>
    </row>
    <row r="169" spans="1:37">
      <c r="A169" s="2">
        <v>168</v>
      </c>
      <c r="B169" s="2">
        <v>2040</v>
      </c>
      <c r="C169" s="2">
        <v>224</v>
      </c>
      <c r="D169" s="2">
        <v>513972.1143709132</v>
      </c>
      <c r="E169" s="2">
        <v>115129753.6190846</v>
      </c>
      <c r="F169" s="2">
        <f>E169/1.19</f>
        <v>96747692.11687778</v>
      </c>
      <c r="G169" s="2">
        <v>50</v>
      </c>
      <c r="H169" s="2">
        <v>5961062.17714704</v>
      </c>
      <c r="I169" s="2">
        <v>79</v>
      </c>
      <c r="J169" s="2">
        <v>9416910.004163425</v>
      </c>
      <c r="K169" s="2">
        <v>26701111.91053935</v>
      </c>
      <c r="L169" s="2">
        <v>9866285.94467628</v>
      </c>
      <c r="M169" s="2">
        <v>12539442.24573455</v>
      </c>
      <c r="N169" s="3">
        <v>2</v>
      </c>
      <c r="O169" s="3">
        <v>3.5</v>
      </c>
      <c r="P169" s="2">
        <v>337762.7540938599</v>
      </c>
      <c r="Q169" s="2">
        <v>1003816.219829817</v>
      </c>
      <c r="R169" s="2">
        <v>367133.4283628912</v>
      </c>
      <c r="S169" s="2">
        <v>411189.4397664382</v>
      </c>
      <c r="T169" s="2">
        <v>4842489.920106535</v>
      </c>
      <c r="U169" s="2">
        <f>M169+P169+Q169+R169+S169+T169</f>
        <v>19501834.007894088</v>
      </c>
      <c r="V169" s="2">
        <f>F169-K169-L169-U169</f>
        <v>40678460.25376807</v>
      </c>
      <c r="W169" s="2">
        <v>0</v>
      </c>
      <c r="X169" s="2">
        <v>0</v>
      </c>
      <c r="Y169" s="2">
        <f>W169+X169</f>
        <v>0</v>
      </c>
      <c r="Z169" s="2">
        <v>3.37604433298111E-09</v>
      </c>
      <c r="AA169" s="2">
        <v>0</v>
      </c>
      <c r="AB169" s="2">
        <v>29755591.26081397</v>
      </c>
      <c r="AC169" s="2">
        <v>29755591.26081397</v>
      </c>
      <c r="AD169" s="2">
        <v>672027.5102447561</v>
      </c>
      <c r="AE169" s="2">
        <v>1120045.850407927</v>
      </c>
      <c r="AF169" s="2">
        <f>F169-H169-L169-U169-AA169-AC169-AD169</f>
        <v>30990891.216101646</v>
      </c>
      <c r="AG169" s="2">
        <f>F169-H169-L169-U169-AA169-AB169-AD169-Y169</f>
        <v>30990891.216101646</v>
      </c>
      <c r="AH169" s="2">
        <f>AH168+AG169</f>
        <v>639854437.2186292</v>
      </c>
      <c r="AI169" s="2">
        <v>59637239.82368226</v>
      </c>
      <c r="AJ169" s="2">
        <f>AH169-AI169</f>
        <v>580217197.3949469</v>
      </c>
      <c r="AK169" s="3">
        <v>0.25</v>
      </c>
    </row>
    <row r="170" spans="1:37">
      <c r="A170" s="2">
        <v>169</v>
      </c>
      <c r="B170" s="2">
        <v>2041</v>
      </c>
      <c r="C170" s="2">
        <v>28</v>
      </c>
      <c r="D170" s="2">
        <v>529391.2778020406</v>
      </c>
      <c r="E170" s="2">
        <v>14822955.77845714</v>
      </c>
      <c r="F170" s="2">
        <f>E170/1.19</f>
        <v>12456265.360048015</v>
      </c>
      <c r="G170" s="2">
        <v>50</v>
      </c>
      <c r="H170" s="2">
        <v>6139894.042461452</v>
      </c>
      <c r="I170" s="2">
        <v>101</v>
      </c>
      <c r="J170" s="2">
        <v>12180133.40084583</v>
      </c>
      <c r="K170" s="2">
        <v>3376670.645779043</v>
      </c>
      <c r="L170" s="2">
        <v>1265396.514360839</v>
      </c>
      <c r="M170" s="2">
        <v>12915625.51310659</v>
      </c>
      <c r="N170" s="3">
        <v>2</v>
      </c>
      <c r="O170" s="3">
        <v>3.5</v>
      </c>
      <c r="P170" s="2">
        <v>347895.6367166757</v>
      </c>
      <c r="Q170" s="2">
        <v>1074316.852078343</v>
      </c>
      <c r="R170" s="2">
        <v>378147.431213778</v>
      </c>
      <c r="S170" s="2">
        <v>423525.1229594313</v>
      </c>
      <c r="T170" s="2">
        <v>5237341.922310825</v>
      </c>
      <c r="U170" s="2">
        <f>M170+P170+Q170+R170+S170+T170</f>
        <v>20376852.47838564</v>
      </c>
      <c r="V170" s="2">
        <f>F170-K170-L170-U170</f>
        <v>-12562654.278477507</v>
      </c>
      <c r="W170" s="2">
        <v>0</v>
      </c>
      <c r="X170" s="2">
        <v>0</v>
      </c>
      <c r="Y170" s="2">
        <f>W170+X170</f>
        <v>0</v>
      </c>
      <c r="Z170" s="2">
        <v>3.37604433298111E-09</v>
      </c>
      <c r="AA170" s="2">
        <v>0</v>
      </c>
      <c r="AB170" s="2">
        <v>0</v>
      </c>
      <c r="AC170" s="2">
        <v>0</v>
      </c>
      <c r="AD170" s="2">
        <v>33601.37551223789</v>
      </c>
      <c r="AE170" s="2">
        <v>1153647.225920165</v>
      </c>
      <c r="AF170" s="2">
        <f>F170-H170-L170-U170-AA170-AC170-AD170</f>
        <v>-15359479.050672153</v>
      </c>
      <c r="AG170" s="2">
        <f>F170-H170-L170-U170-AA170-AB170-AD170-Y170</f>
        <v>-15359479.050672153</v>
      </c>
      <c r="AH170" s="2">
        <f>AH169+AG170</f>
        <v>624494958.1679571</v>
      </c>
      <c r="AI170" s="2">
        <v>62262295.23515691</v>
      </c>
      <c r="AJ170" s="2">
        <f>AH170-AI170</f>
        <v>562232662.9328002</v>
      </c>
      <c r="AK170" s="3">
        <v>0.25</v>
      </c>
    </row>
    <row r="171" spans="1:37">
      <c r="A171" s="2">
        <v>170</v>
      </c>
      <c r="B171" s="2">
        <v>2041</v>
      </c>
      <c r="C171" s="2">
        <v>42</v>
      </c>
      <c r="D171" s="2">
        <v>529391.2778020406</v>
      </c>
      <c r="E171" s="2">
        <v>22234433.66768571</v>
      </c>
      <c r="F171" s="2">
        <f>E171/1.19</f>
        <v>18684398.040072024</v>
      </c>
      <c r="G171" s="2">
        <v>70</v>
      </c>
      <c r="H171" s="2">
        <v>8595851.659446033</v>
      </c>
      <c r="I171" s="2">
        <v>129</v>
      </c>
      <c r="J171" s="2">
        <v>15673111.53671141</v>
      </c>
      <c r="K171" s="2">
        <v>5102873.523580458</v>
      </c>
      <c r="L171" s="2">
        <v>1901124.17593421</v>
      </c>
      <c r="M171" s="2">
        <v>12915625.51310659</v>
      </c>
      <c r="N171" s="3">
        <v>2</v>
      </c>
      <c r="O171" s="3">
        <v>3.5</v>
      </c>
      <c r="P171" s="2">
        <v>347895.6367166757</v>
      </c>
      <c r="Q171" s="2">
        <v>1074316.852078343</v>
      </c>
      <c r="R171" s="2">
        <v>378147.431213778</v>
      </c>
      <c r="S171" s="2">
        <v>423525.1229594313</v>
      </c>
      <c r="T171" s="2">
        <v>5237341.922310825</v>
      </c>
      <c r="U171" s="2">
        <f>M171+P171+Q171+R171+S171+T171</f>
        <v>20376852.47838564</v>
      </c>
      <c r="V171" s="2">
        <f>F171-K171-L171-U171</f>
        <v>-8696452.137828283</v>
      </c>
      <c r="W171" s="2">
        <v>0</v>
      </c>
      <c r="X171" s="2">
        <v>0</v>
      </c>
      <c r="Y171" s="2">
        <f>W171+X171</f>
        <v>0</v>
      </c>
      <c r="Z171" s="2">
        <v>3.37604433298111E-09</v>
      </c>
      <c r="AA171" s="2">
        <v>0</v>
      </c>
      <c r="AB171" s="2">
        <v>0</v>
      </c>
      <c r="AC171" s="2">
        <v>0</v>
      </c>
      <c r="AD171" s="2">
        <v>461458.8903680658</v>
      </c>
      <c r="AE171" s="2">
        <v>1615106.116288231</v>
      </c>
      <c r="AF171" s="2">
        <f>F171-H171-L171-U171-AA171-AC171-AD171</f>
        <v>-12650889.164061923</v>
      </c>
      <c r="AG171" s="2">
        <f>F171-H171-L171-U171-AA171-AB171-AD171-Y171</f>
        <v>-12650889.164061923</v>
      </c>
      <c r="AH171" s="2">
        <f>AH170+AG171</f>
        <v>611844069.0038952</v>
      </c>
      <c r="AI171" s="2">
        <v>62262295.23515691</v>
      </c>
      <c r="AJ171" s="2">
        <f>AH171-AI171</f>
        <v>549581773.7687383</v>
      </c>
      <c r="AK171" s="3">
        <v>0.25</v>
      </c>
    </row>
    <row r="172" spans="1:37">
      <c r="A172" s="2">
        <v>171</v>
      </c>
      <c r="B172" s="2">
        <v>2041</v>
      </c>
      <c r="C172" s="2">
        <v>55</v>
      </c>
      <c r="D172" s="2">
        <v>529391.2778020406</v>
      </c>
      <c r="E172" s="2">
        <v>29116520.27911223</v>
      </c>
      <c r="F172" s="2">
        <f>E172/1.19</f>
        <v>24467664.100094315</v>
      </c>
      <c r="G172" s="2">
        <v>80</v>
      </c>
      <c r="H172" s="2">
        <v>9823830.467938323</v>
      </c>
      <c r="I172" s="2">
        <v>154</v>
      </c>
      <c r="J172" s="2">
        <v>18787220.42447875</v>
      </c>
      <c r="K172" s="2">
        <v>6709721.580170983</v>
      </c>
      <c r="L172" s="2">
        <v>2491758.349571477</v>
      </c>
      <c r="M172" s="2">
        <v>12915625.51310659</v>
      </c>
      <c r="N172" s="3">
        <v>2</v>
      </c>
      <c r="O172" s="3">
        <v>3.5</v>
      </c>
      <c r="P172" s="2">
        <v>347895.6367166757</v>
      </c>
      <c r="Q172" s="2">
        <v>1074316.852078343</v>
      </c>
      <c r="R172" s="2">
        <v>378147.431213778</v>
      </c>
      <c r="S172" s="2">
        <v>423525.1229594313</v>
      </c>
      <c r="T172" s="2">
        <v>5237341.922310825</v>
      </c>
      <c r="U172" s="2">
        <f>M172+P172+Q172+R172+S172+T172</f>
        <v>20376852.47838564</v>
      </c>
      <c r="V172" s="2">
        <f>F172-K172-L172-U172</f>
        <v>-5110668.308033783</v>
      </c>
      <c r="W172" s="2">
        <v>0</v>
      </c>
      <c r="X172" s="2">
        <v>0</v>
      </c>
      <c r="Y172" s="2">
        <f>W172+X172</f>
        <v>0</v>
      </c>
      <c r="Z172" s="2">
        <v>3.37604433298111E-09</v>
      </c>
      <c r="AA172" s="2">
        <v>0</v>
      </c>
      <c r="AB172" s="2">
        <v>0</v>
      </c>
      <c r="AC172" s="2">
        <v>0</v>
      </c>
      <c r="AD172" s="2">
        <v>230729.4451840329</v>
      </c>
      <c r="AE172" s="2">
        <v>1845835.561472263</v>
      </c>
      <c r="AF172" s="2">
        <f>F172-H172-L172-U172-AA172-AC172-AD172</f>
        <v>-8455506.640985157</v>
      </c>
      <c r="AG172" s="2">
        <f>F172-H172-L172-U172-AA172-AB172-AD172-Y172</f>
        <v>-8455506.640985157</v>
      </c>
      <c r="AH172" s="2">
        <f>AH171+AG172</f>
        <v>603388562.36291</v>
      </c>
      <c r="AI172" s="2">
        <v>62262295.23515691</v>
      </c>
      <c r="AJ172" s="2">
        <f>AH172-AI172</f>
        <v>541126267.1277531</v>
      </c>
      <c r="AK172" s="3">
        <v>0.25</v>
      </c>
    </row>
    <row r="173" spans="1:37">
      <c r="A173" s="2">
        <v>172</v>
      </c>
      <c r="B173" s="2">
        <v>2041</v>
      </c>
      <c r="C173" s="2">
        <v>69</v>
      </c>
      <c r="D173" s="2">
        <v>529391.2778020406</v>
      </c>
      <c r="E173" s="2">
        <v>36527998.1683408</v>
      </c>
      <c r="F173" s="2">
        <f>E173/1.19</f>
        <v>30695796.780118324</v>
      </c>
      <c r="G173" s="2">
        <v>100</v>
      </c>
      <c r="H173" s="2">
        <v>12279788.0849229</v>
      </c>
      <c r="I173" s="2">
        <v>185</v>
      </c>
      <c r="J173" s="2">
        <v>22627545.56787128</v>
      </c>
      <c r="K173" s="2">
        <v>8439462.941530371</v>
      </c>
      <c r="L173" s="2">
        <v>3127769.089829486</v>
      </c>
      <c r="M173" s="2">
        <v>12915625.51310659</v>
      </c>
      <c r="N173" s="3">
        <v>2</v>
      </c>
      <c r="O173" s="3">
        <v>3.5</v>
      </c>
      <c r="P173" s="2">
        <v>347895.6367166757</v>
      </c>
      <c r="Q173" s="2">
        <v>1074316.852078343</v>
      </c>
      <c r="R173" s="2">
        <v>378147.431213778</v>
      </c>
      <c r="S173" s="2">
        <v>423525.1229594313</v>
      </c>
      <c r="T173" s="2">
        <v>5237341.922310825</v>
      </c>
      <c r="U173" s="2">
        <f>M173+P173+Q173+R173+S173+T173</f>
        <v>20376852.47838564</v>
      </c>
      <c r="V173" s="2">
        <f>F173-K173-L173-U173</f>
        <v>-1248287.7296271697</v>
      </c>
      <c r="W173" s="2">
        <v>0</v>
      </c>
      <c r="X173" s="2">
        <v>0</v>
      </c>
      <c r="Y173" s="2">
        <f>W173+X173</f>
        <v>0</v>
      </c>
      <c r="Z173" s="2">
        <v>3.37604433298111E-09</v>
      </c>
      <c r="AA173" s="2">
        <v>0</v>
      </c>
      <c r="AB173" s="2">
        <v>0</v>
      </c>
      <c r="AC173" s="2">
        <v>0</v>
      </c>
      <c r="AD173" s="2">
        <v>461458.890368066</v>
      </c>
      <c r="AE173" s="2">
        <v>2307294.451840329</v>
      </c>
      <c r="AF173" s="2">
        <f>F173-H173-L173-U173-AA173-AC173-AD173</f>
        <v>-5550071.7633877685</v>
      </c>
      <c r="AG173" s="2">
        <f>F173-H173-L173-U173-AA173-AB173-AD173-Y173</f>
        <v>-5550071.7633877685</v>
      </c>
      <c r="AH173" s="2">
        <f>AH172+AG173</f>
        <v>597838490.5995222</v>
      </c>
      <c r="AI173" s="2">
        <v>62262295.23515691</v>
      </c>
      <c r="AJ173" s="2">
        <f>AH173-AI173</f>
        <v>535576195.36436534</v>
      </c>
      <c r="AK173" s="3">
        <v>0.25</v>
      </c>
    </row>
    <row r="174" spans="1:37">
      <c r="A174" s="2">
        <v>173</v>
      </c>
      <c r="B174" s="2">
        <v>2041</v>
      </c>
      <c r="C174" s="2">
        <v>83</v>
      </c>
      <c r="D174" s="2">
        <v>529391.2778020406</v>
      </c>
      <c r="E174" s="2">
        <v>43939476.05756937</v>
      </c>
      <c r="F174" s="2">
        <f>E174/1.19</f>
        <v>36923929.46014233</v>
      </c>
      <c r="G174" s="2">
        <v>110</v>
      </c>
      <c r="H174" s="2">
        <v>13507766.89341519</v>
      </c>
      <c r="I174" s="2">
        <v>212</v>
      </c>
      <c r="J174" s="2">
        <v>25968427.93828045</v>
      </c>
      <c r="K174" s="2">
        <v>10166884.52300603</v>
      </c>
      <c r="L174" s="2">
        <v>3763594.247696796</v>
      </c>
      <c r="M174" s="2">
        <v>12915625.51310659</v>
      </c>
      <c r="N174" s="3">
        <v>2</v>
      </c>
      <c r="O174" s="3">
        <v>3.5</v>
      </c>
      <c r="P174" s="2">
        <v>347895.6367166757</v>
      </c>
      <c r="Q174" s="2">
        <v>1074316.852078343</v>
      </c>
      <c r="R174" s="2">
        <v>378147.431213778</v>
      </c>
      <c r="S174" s="2">
        <v>423525.1229594313</v>
      </c>
      <c r="T174" s="2">
        <v>5237341.922310825</v>
      </c>
      <c r="U174" s="2">
        <f>M174+P174+Q174+R174+S174+T174</f>
        <v>20376852.47838564</v>
      </c>
      <c r="V174" s="2">
        <f>F174-K174-L174-U174</f>
        <v>2616598.211053867</v>
      </c>
      <c r="W174" s="2">
        <v>0</v>
      </c>
      <c r="X174" s="2">
        <v>0</v>
      </c>
      <c r="Y174" s="2">
        <f>W174+X174</f>
        <v>0</v>
      </c>
      <c r="Z174" s="2">
        <v>3.37604433298111E-09</v>
      </c>
      <c r="AA174" s="2">
        <v>0</v>
      </c>
      <c r="AB174" s="2">
        <v>0</v>
      </c>
      <c r="AC174" s="2">
        <v>0</v>
      </c>
      <c r="AD174" s="2">
        <v>230729.4451840324</v>
      </c>
      <c r="AE174" s="2">
        <v>2538023.897024362</v>
      </c>
      <c r="AF174" s="2">
        <f>F174-H174-L174-U174-AA174-AC174-AD174</f>
        <v>-955013.6045393264</v>
      </c>
      <c r="AG174" s="2">
        <f>F174-H174-L174-U174-AA174-AB174-AD174-Y174</f>
        <v>-955013.6045393264</v>
      </c>
      <c r="AH174" s="2">
        <f>AH173+AG174</f>
        <v>596883476.994983</v>
      </c>
      <c r="AI174" s="2">
        <v>62262295.23515691</v>
      </c>
      <c r="AJ174" s="2">
        <f>AH174-AI174</f>
        <v>534621181.75982606</v>
      </c>
      <c r="AK174" s="3">
        <v>0.25</v>
      </c>
    </row>
    <row r="175" spans="1:37">
      <c r="A175" s="2">
        <v>174</v>
      </c>
      <c r="B175" s="2">
        <v>2041</v>
      </c>
      <c r="C175" s="2">
        <v>97</v>
      </c>
      <c r="D175" s="2">
        <v>529391.2778020406</v>
      </c>
      <c r="E175" s="2">
        <v>51350953.94679794</v>
      </c>
      <c r="F175" s="2">
        <f>E175/1.19</f>
        <v>43152062.140166335</v>
      </c>
      <c r="G175" s="2">
        <v>140</v>
      </c>
      <c r="H175" s="2">
        <v>17191703.31889207</v>
      </c>
      <c r="I175" s="2">
        <v>255</v>
      </c>
      <c r="J175" s="2">
        <v>31266572.35959941</v>
      </c>
      <c r="K175" s="2">
        <v>11893558.89757311</v>
      </c>
      <c r="L175" s="2">
        <v>4399359.629011421</v>
      </c>
      <c r="M175" s="2">
        <v>12915625.51310659</v>
      </c>
      <c r="N175" s="3">
        <v>2</v>
      </c>
      <c r="O175" s="3">
        <v>3.5</v>
      </c>
      <c r="P175" s="2">
        <v>347895.6367166757</v>
      </c>
      <c r="Q175" s="2">
        <v>1074316.852078343</v>
      </c>
      <c r="R175" s="2">
        <v>378147.431213778</v>
      </c>
      <c r="S175" s="2">
        <v>423525.1229594313</v>
      </c>
      <c r="T175" s="2">
        <v>5237341.922310825</v>
      </c>
      <c r="U175" s="2">
        <f>M175+P175+Q175+R175+S175+T175</f>
        <v>20376852.47838564</v>
      </c>
      <c r="V175" s="2">
        <f>F175-K175-L175-U175</f>
        <v>6482291.135196168</v>
      </c>
      <c r="W175" s="2">
        <v>0</v>
      </c>
      <c r="X175" s="2">
        <v>0</v>
      </c>
      <c r="Y175" s="2">
        <f>W175+X175</f>
        <v>0</v>
      </c>
      <c r="Z175" s="2">
        <v>3.37604433298111E-09</v>
      </c>
      <c r="AA175" s="2">
        <v>0</v>
      </c>
      <c r="AB175" s="2">
        <v>0</v>
      </c>
      <c r="AC175" s="2">
        <v>0</v>
      </c>
      <c r="AD175" s="2">
        <v>692188.3355520992</v>
      </c>
      <c r="AE175" s="2">
        <v>3230212.232576461</v>
      </c>
      <c r="AF175" s="2">
        <f>F175-H175-L175-U175-AA175-AC175-AD175</f>
        <v>491958.3783251131</v>
      </c>
      <c r="AG175" s="2">
        <f>F175-H175-L175-U175-AA175-AB175-AD175-Y175</f>
        <v>491958.3783251131</v>
      </c>
      <c r="AH175" s="2">
        <f>AH174+AG175</f>
        <v>597375435.3733081</v>
      </c>
      <c r="AI175" s="2">
        <v>62262295.23515691</v>
      </c>
      <c r="AJ175" s="2">
        <f>AH175-AI175</f>
        <v>535113140.13815117</v>
      </c>
      <c r="AK175" s="3">
        <v>0.25</v>
      </c>
    </row>
    <row r="176" spans="1:37">
      <c r="A176" s="2">
        <v>175</v>
      </c>
      <c r="B176" s="2">
        <v>2041</v>
      </c>
      <c r="C176" s="2">
        <v>111</v>
      </c>
      <c r="D176" s="2">
        <v>529391.2778020406</v>
      </c>
      <c r="E176" s="2">
        <v>58762431.8360265</v>
      </c>
      <c r="F176" s="2">
        <f>E176/1.19</f>
        <v>49380194.82019034</v>
      </c>
      <c r="G176" s="2">
        <v>150</v>
      </c>
      <c r="H176" s="2">
        <v>18419682.12738435</v>
      </c>
      <c r="I176" s="2">
        <v>294</v>
      </c>
      <c r="J176" s="2">
        <v>36068540.29425488</v>
      </c>
      <c r="K176" s="2">
        <v>13617714.19272888</v>
      </c>
      <c r="L176" s="2">
        <v>5034923.48397314</v>
      </c>
      <c r="M176" s="2">
        <v>12915625.51310659</v>
      </c>
      <c r="N176" s="3">
        <v>2</v>
      </c>
      <c r="O176" s="3">
        <v>3.5</v>
      </c>
      <c r="P176" s="2">
        <v>347895.6367166757</v>
      </c>
      <c r="Q176" s="2">
        <v>1074316.852078343</v>
      </c>
      <c r="R176" s="2">
        <v>378147.431213778</v>
      </c>
      <c r="S176" s="2">
        <v>423525.1229594313</v>
      </c>
      <c r="T176" s="2">
        <v>5237341.922310825</v>
      </c>
      <c r="U176" s="2">
        <f>M176+P176+Q176+R176+S176+T176</f>
        <v>20376852.47838564</v>
      </c>
      <c r="V176" s="2">
        <f>F176-K176-L176-U176</f>
        <v>10350704.66510268</v>
      </c>
      <c r="W176" s="2">
        <v>0</v>
      </c>
      <c r="X176" s="2">
        <v>0</v>
      </c>
      <c r="Y176" s="2">
        <f>W176+X176</f>
        <v>0</v>
      </c>
      <c r="Z176" s="2">
        <v>3.37604433298111E-09</v>
      </c>
      <c r="AA176" s="2">
        <v>0</v>
      </c>
      <c r="AB176" s="2">
        <v>0</v>
      </c>
      <c r="AC176" s="2">
        <v>0</v>
      </c>
      <c r="AD176" s="2">
        <v>230729.4451840329</v>
      </c>
      <c r="AE176" s="2">
        <v>3460941.677760494</v>
      </c>
      <c r="AF176" s="2">
        <f>F176-H176-L176-U176-AA176-AC176-AD176</f>
        <v>5318007.285263173</v>
      </c>
      <c r="AG176" s="2">
        <f>F176-H176-L176-U176-AA176-AB176-AD176-Y176</f>
        <v>5318007.285263173</v>
      </c>
      <c r="AH176" s="2">
        <f>AH175+AG176</f>
        <v>602693442.6585712</v>
      </c>
      <c r="AI176" s="2">
        <v>62262295.23515691</v>
      </c>
      <c r="AJ176" s="2">
        <f>AH176-AI176</f>
        <v>540431147.4234143</v>
      </c>
      <c r="AK176" s="3">
        <v>0.25</v>
      </c>
    </row>
    <row r="177" spans="1:37">
      <c r="A177" s="2">
        <v>176</v>
      </c>
      <c r="B177" s="2">
        <v>2041</v>
      </c>
      <c r="C177" s="2">
        <v>139</v>
      </c>
      <c r="D177" s="2">
        <v>529391.2778020406</v>
      </c>
      <c r="E177" s="2">
        <v>73585387.61448364</v>
      </c>
      <c r="F177" s="2">
        <f>E177/1.19</f>
        <v>61836460.18023836</v>
      </c>
      <c r="G177" s="2">
        <v>180</v>
      </c>
      <c r="H177" s="2">
        <v>22103618.55286123</v>
      </c>
      <c r="I177" s="2">
        <v>335</v>
      </c>
      <c r="J177" s="2">
        <v>41113234.62823607</v>
      </c>
      <c r="K177" s="2">
        <v>17058924.21888004</v>
      </c>
      <c r="L177" s="2">
        <v>6305483.148763749</v>
      </c>
      <c r="M177" s="2">
        <v>12915625.51310659</v>
      </c>
      <c r="N177" s="3">
        <v>2</v>
      </c>
      <c r="O177" s="3">
        <v>3.5</v>
      </c>
      <c r="P177" s="2">
        <v>347895.6367166757</v>
      </c>
      <c r="Q177" s="2">
        <v>1074316.852078343</v>
      </c>
      <c r="R177" s="2">
        <v>378147.431213778</v>
      </c>
      <c r="S177" s="2">
        <v>423525.1229594313</v>
      </c>
      <c r="T177" s="2">
        <v>5237341.922310825</v>
      </c>
      <c r="U177" s="2">
        <f>M177+P177+Q177+R177+S177+T177</f>
        <v>20376852.47838564</v>
      </c>
      <c r="V177" s="2">
        <f>F177-K177-L177-U177</f>
        <v>18095200.33420894</v>
      </c>
      <c r="W177" s="2">
        <v>0</v>
      </c>
      <c r="X177" s="2">
        <v>0</v>
      </c>
      <c r="Y177" s="2">
        <f>W177+X177</f>
        <v>0</v>
      </c>
      <c r="Z177" s="2">
        <v>3.37604433298111E-09</v>
      </c>
      <c r="AA177" s="2">
        <v>0</v>
      </c>
      <c r="AB177" s="2">
        <v>0</v>
      </c>
      <c r="AC177" s="2">
        <v>0</v>
      </c>
      <c r="AD177" s="2">
        <v>692188.3355520992</v>
      </c>
      <c r="AE177" s="2">
        <v>4153130.013312593</v>
      </c>
      <c r="AF177" s="2">
        <f>F177-H177-L177-U177-AA177-AC177-AD177</f>
        <v>12358317.664675642</v>
      </c>
      <c r="AG177" s="2">
        <f>F177-H177-L177-U177-AA177-AB177-AD177-Y177</f>
        <v>12358317.664675642</v>
      </c>
      <c r="AH177" s="2">
        <f>AH176+AG177</f>
        <v>615051760.3232468</v>
      </c>
      <c r="AI177" s="2">
        <v>62262295.23515691</v>
      </c>
      <c r="AJ177" s="2">
        <f>AH177-AI177</f>
        <v>552789465.08809</v>
      </c>
      <c r="AK177" s="3">
        <v>0.25</v>
      </c>
    </row>
    <row r="178" spans="1:37">
      <c r="A178" s="2">
        <v>177</v>
      </c>
      <c r="B178" s="2">
        <v>2041</v>
      </c>
      <c r="C178" s="2">
        <v>152</v>
      </c>
      <c r="D178" s="2">
        <v>529391.2778020406</v>
      </c>
      <c r="E178" s="2">
        <v>80467474.22591017</v>
      </c>
      <c r="F178" s="2">
        <f>E178/1.19</f>
        <v>67619726.24026065</v>
      </c>
      <c r="G178" s="2">
        <v>200</v>
      </c>
      <c r="H178" s="2">
        <v>24559576.16984581</v>
      </c>
      <c r="I178" s="2">
        <v>383</v>
      </c>
      <c r="J178" s="2">
        <v>47014367.35638385</v>
      </c>
      <c r="K178" s="2">
        <v>18658443.44169803</v>
      </c>
      <c r="L178" s="2">
        <v>6895531.015699213</v>
      </c>
      <c r="M178" s="2">
        <v>12915625.51310659</v>
      </c>
      <c r="N178" s="3">
        <v>2</v>
      </c>
      <c r="O178" s="3">
        <v>3.5</v>
      </c>
      <c r="P178" s="2">
        <v>347895.6367166757</v>
      </c>
      <c r="Q178" s="2">
        <v>1074316.852078343</v>
      </c>
      <c r="R178" s="2">
        <v>378147.431213778</v>
      </c>
      <c r="S178" s="2">
        <v>423525.1229594313</v>
      </c>
      <c r="T178" s="2">
        <v>5237341.922310825</v>
      </c>
      <c r="U178" s="2">
        <f>M178+P178+Q178+R178+S178+T178</f>
        <v>20376852.47838564</v>
      </c>
      <c r="V178" s="2">
        <f>F178-K178-L178-U178</f>
        <v>21688899.304477762</v>
      </c>
      <c r="W178" s="2">
        <v>0</v>
      </c>
      <c r="X178" s="2">
        <v>0</v>
      </c>
      <c r="Y178" s="2">
        <f>W178+X178</f>
        <v>0</v>
      </c>
      <c r="Z178" s="2">
        <v>3.37604433298111E-09</v>
      </c>
      <c r="AA178" s="2">
        <v>0</v>
      </c>
      <c r="AB178" s="2">
        <v>0</v>
      </c>
      <c r="AC178" s="2">
        <v>0</v>
      </c>
      <c r="AD178" s="2">
        <v>461458.8903680658</v>
      </c>
      <c r="AE178" s="2">
        <v>4614588.903680659</v>
      </c>
      <c r="AF178" s="2">
        <f>F178-H178-L178-U178-AA178-AC178-AD178</f>
        <v>15326307.68596192</v>
      </c>
      <c r="AG178" s="2">
        <f>F178-H178-L178-U178-AA178-AB178-AD178-Y178</f>
        <v>15326307.68596192</v>
      </c>
      <c r="AH178" s="2">
        <f>AH177+AG178</f>
        <v>630378068.0092088</v>
      </c>
      <c r="AI178" s="2">
        <v>62262295.23515691</v>
      </c>
      <c r="AJ178" s="2">
        <f>AH178-AI178</f>
        <v>568115772.7740519</v>
      </c>
      <c r="AK178" s="3">
        <v>0.25</v>
      </c>
    </row>
    <row r="179" spans="1:37">
      <c r="A179" s="2">
        <v>178</v>
      </c>
      <c r="B179" s="2">
        <v>2041</v>
      </c>
      <c r="C179" s="2">
        <v>180</v>
      </c>
      <c r="D179" s="2">
        <v>529391.2778020406</v>
      </c>
      <c r="E179" s="2">
        <v>95290430.00436731</v>
      </c>
      <c r="F179" s="2">
        <f>E179/1.19</f>
        <v>80075991.60030867</v>
      </c>
      <c r="G179" s="2">
        <v>230</v>
      </c>
      <c r="H179" s="2">
        <v>28243512.59532268</v>
      </c>
      <c r="I179" s="2">
        <v>433</v>
      </c>
      <c r="J179" s="2">
        <v>53159318.13880739</v>
      </c>
      <c r="K179" s="2">
        <v>22098561.81289914</v>
      </c>
      <c r="L179" s="2">
        <v>8166003.348093817</v>
      </c>
      <c r="M179" s="2">
        <v>12915625.51310659</v>
      </c>
      <c r="N179" s="3">
        <v>2</v>
      </c>
      <c r="O179" s="3">
        <v>3.5</v>
      </c>
      <c r="P179" s="2">
        <v>347895.6367166757</v>
      </c>
      <c r="Q179" s="2">
        <v>1074316.852078343</v>
      </c>
      <c r="R179" s="2">
        <v>378147.431213778</v>
      </c>
      <c r="S179" s="2">
        <v>423525.1229594313</v>
      </c>
      <c r="T179" s="2">
        <v>5237341.922310825</v>
      </c>
      <c r="U179" s="2">
        <f>M179+P179+Q179+R179+S179+T179</f>
        <v>20376852.47838564</v>
      </c>
      <c r="V179" s="2">
        <f>F179-K179-L179-U179</f>
        <v>29434573.960930075</v>
      </c>
      <c r="W179" s="2">
        <v>0</v>
      </c>
      <c r="X179" s="2">
        <v>0</v>
      </c>
      <c r="Y179" s="2">
        <f>W179+X179</f>
        <v>0</v>
      </c>
      <c r="Z179" s="2">
        <v>3.37604433298111E-09</v>
      </c>
      <c r="AA179" s="2">
        <v>0</v>
      </c>
      <c r="AB179" s="2">
        <v>0</v>
      </c>
      <c r="AC179" s="2">
        <v>0</v>
      </c>
      <c r="AD179" s="2">
        <v>692188.3355520992</v>
      </c>
      <c r="AE179" s="2">
        <v>5306777.239232758</v>
      </c>
      <c r="AF179" s="2">
        <f>F179-H179-L179-U179-AA179-AC179-AD179</f>
        <v>22597434.842954434</v>
      </c>
      <c r="AG179" s="2">
        <f>F179-H179-L179-U179-AA179-AB179-AD179-Y179</f>
        <v>22597434.842954434</v>
      </c>
      <c r="AH179" s="2">
        <f>AH178+AG179</f>
        <v>652975502.8521632</v>
      </c>
      <c r="AI179" s="2">
        <v>62262295.23515691</v>
      </c>
      <c r="AJ179" s="2">
        <f>AH179-AI179</f>
        <v>590713207.6170063</v>
      </c>
      <c r="AK179" s="3">
        <v>0.25</v>
      </c>
    </row>
    <row r="180" spans="1:37">
      <c r="A180" s="2">
        <v>179</v>
      </c>
      <c r="B180" s="2">
        <v>2041</v>
      </c>
      <c r="C180" s="2">
        <v>194</v>
      </c>
      <c r="D180" s="2">
        <v>529391.2778020406</v>
      </c>
      <c r="E180" s="2">
        <v>102701907.8935959</v>
      </c>
      <c r="F180" s="2">
        <f>E180/1.19</f>
        <v>86304124.28033267</v>
      </c>
      <c r="G180" s="2">
        <v>0</v>
      </c>
      <c r="H180" s="2">
        <v>0</v>
      </c>
      <c r="I180" s="2">
        <v>239</v>
      </c>
      <c r="J180" s="2">
        <v>29341979.29601609</v>
      </c>
      <c r="K180" s="2">
        <v>23817338.8427913</v>
      </c>
      <c r="L180" s="2">
        <v>8801136.941834448</v>
      </c>
      <c r="M180" s="2">
        <v>12915625.51310659</v>
      </c>
      <c r="N180" s="3">
        <v>2</v>
      </c>
      <c r="O180" s="3">
        <v>3.5</v>
      </c>
      <c r="P180" s="2">
        <v>347895.6367166757</v>
      </c>
      <c r="Q180" s="2">
        <v>1074316.852078343</v>
      </c>
      <c r="R180" s="2">
        <v>378147.431213778</v>
      </c>
      <c r="S180" s="2">
        <v>423525.1229594313</v>
      </c>
      <c r="T180" s="2">
        <v>5237341.922310825</v>
      </c>
      <c r="U180" s="2">
        <f>M180+P180+Q180+R180+S180+T180</f>
        <v>20376852.47838564</v>
      </c>
      <c r="V180" s="2">
        <f>F180-K180-L180-U180</f>
        <v>33308796.017321277</v>
      </c>
      <c r="W180" s="2">
        <v>0</v>
      </c>
      <c r="X180" s="2">
        <v>0</v>
      </c>
      <c r="Y180" s="2">
        <f>W180+X180</f>
        <v>0</v>
      </c>
      <c r="Z180" s="2">
        <v>3.37604433298111E-09</v>
      </c>
      <c r="AA180" s="2">
        <v>0</v>
      </c>
      <c r="AB180" s="2">
        <v>0</v>
      </c>
      <c r="AC180" s="2">
        <v>0</v>
      </c>
      <c r="AD180" s="2">
        <v>-5306777.239232758</v>
      </c>
      <c r="AE180" s="2">
        <v>0</v>
      </c>
      <c r="AF180" s="2">
        <f>F180-H180-L180-U180-AA180-AC180-AD180</f>
        <v>62432912.099345334</v>
      </c>
      <c r="AG180" s="2">
        <f>F180-H180-L180-U180-AA180-AB180-AD180-Y180</f>
        <v>62432912.099345334</v>
      </c>
      <c r="AH180" s="2">
        <f>AH179+AG180</f>
        <v>715408414.9515085</v>
      </c>
      <c r="AI180" s="2">
        <v>62262295.23515691</v>
      </c>
      <c r="AJ180" s="2">
        <f>AH180-AI180</f>
        <v>653146119.7163516</v>
      </c>
      <c r="AK180" s="3">
        <v>0.25</v>
      </c>
    </row>
    <row r="181" spans="1:37">
      <c r="A181" s="2">
        <v>180</v>
      </c>
      <c r="B181" s="2">
        <v>2041</v>
      </c>
      <c r="C181" s="2">
        <v>235</v>
      </c>
      <c r="D181" s="2">
        <v>529391.2778020406</v>
      </c>
      <c r="E181" s="2">
        <v>124406950.2834795</v>
      </c>
      <c r="F181" s="2">
        <f>E181/1.19</f>
        <v>104543655.70040298</v>
      </c>
      <c r="G181" s="2">
        <v>0</v>
      </c>
      <c r="H181" s="2">
        <v>0</v>
      </c>
      <c r="I181" s="2">
        <v>4</v>
      </c>
      <c r="J181" s="2">
        <v>491079.151397761</v>
      </c>
      <c r="K181" s="2">
        <v>28850900.14461832</v>
      </c>
      <c r="L181" s="2">
        <v>10661171.03778915</v>
      </c>
      <c r="M181" s="2">
        <v>12915625.51310659</v>
      </c>
      <c r="N181" s="3">
        <v>2</v>
      </c>
      <c r="O181" s="3">
        <v>3.5</v>
      </c>
      <c r="P181" s="2">
        <v>347895.6367166757</v>
      </c>
      <c r="Q181" s="2">
        <v>1074316.852078343</v>
      </c>
      <c r="R181" s="2">
        <v>378147.431213778</v>
      </c>
      <c r="S181" s="2">
        <v>423525.1229594313</v>
      </c>
      <c r="T181" s="2">
        <v>5237341.922310825</v>
      </c>
      <c r="U181" s="2">
        <f>M181+P181+Q181+R181+S181+T181</f>
        <v>20376852.47838564</v>
      </c>
      <c r="V181" s="2">
        <f>F181-K181-L181-U181</f>
        <v>44654732.03960985</v>
      </c>
      <c r="W181" s="2">
        <v>0</v>
      </c>
      <c r="X181" s="2">
        <v>0</v>
      </c>
      <c r="Y181" s="2">
        <f>W181+X181</f>
        <v>0</v>
      </c>
      <c r="Z181" s="2">
        <v>3.37604433298111E-09</v>
      </c>
      <c r="AA181" s="2">
        <v>0</v>
      </c>
      <c r="AB181" s="2">
        <v>36984891.01667489</v>
      </c>
      <c r="AC181" s="2">
        <v>36984891.01667489</v>
      </c>
      <c r="AD181" s="2">
        <v>0</v>
      </c>
      <c r="AE181" s="2">
        <v>0</v>
      </c>
      <c r="AF181" s="2">
        <f>F181-H181-L181-U181-AA181-AC181-AD181</f>
        <v>36520741.16755329</v>
      </c>
      <c r="AG181" s="2">
        <f>F181-H181-L181-U181-AA181-AB181-AD181-Y181</f>
        <v>36520741.16755329</v>
      </c>
      <c r="AH181" s="2">
        <f>AH180+AG181</f>
        <v>751929156.1190618</v>
      </c>
      <c r="AI181" s="2">
        <v>62262295.23515691</v>
      </c>
      <c r="AJ181" s="2">
        <f>AH181-AI181</f>
        <v>689666860.8839049</v>
      </c>
      <c r="AK181" s="3">
        <v>0.25</v>
      </c>
    </row>
  </sheetData>
  <autoFilter ref="A1:AK18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O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41" width="20.7109375" customWidth="1"/>
  </cols>
  <sheetData>
    <row r="1" spans="1:41" ht="45" customHeight="1">
      <c r="A1" s="1" t="s">
        <v>122</v>
      </c>
      <c r="B1" s="1" t="s">
        <v>123</v>
      </c>
      <c r="C1" s="1" t="s">
        <v>124</v>
      </c>
      <c r="D1" s="1" t="s">
        <v>125</v>
      </c>
      <c r="E1" s="1" t="s">
        <v>126</v>
      </c>
      <c r="F1" s="1" t="s">
        <v>127</v>
      </c>
      <c r="G1" s="1" t="s">
        <v>128</v>
      </c>
      <c r="H1" s="1" t="s">
        <v>129</v>
      </c>
      <c r="I1" s="1" t="s">
        <v>130</v>
      </c>
      <c r="J1" s="1" t="s">
        <v>131</v>
      </c>
      <c r="K1" s="1" t="s">
        <v>132</v>
      </c>
      <c r="L1" s="1" t="s">
        <v>133</v>
      </c>
      <c r="M1" s="1" t="s">
        <v>134</v>
      </c>
      <c r="N1" s="1" t="s">
        <v>135</v>
      </c>
      <c r="O1" s="1" t="s">
        <v>136</v>
      </c>
      <c r="P1" s="1" t="s">
        <v>137</v>
      </c>
      <c r="Q1" s="1" t="s">
        <v>138</v>
      </c>
      <c r="R1" s="1" t="s">
        <v>139</v>
      </c>
      <c r="S1" s="1" t="s">
        <v>140</v>
      </c>
      <c r="T1" s="1" t="s">
        <v>141</v>
      </c>
      <c r="U1" s="1" t="s">
        <v>142</v>
      </c>
      <c r="V1" s="1" t="s">
        <v>143</v>
      </c>
      <c r="W1" s="1" t="s">
        <v>144</v>
      </c>
      <c r="X1" s="1" t="s">
        <v>145</v>
      </c>
      <c r="Y1" s="1" t="s">
        <v>146</v>
      </c>
      <c r="Z1" s="1" t="s">
        <v>147</v>
      </c>
      <c r="AA1" s="1" t="s">
        <v>148</v>
      </c>
      <c r="AB1" s="1" t="s">
        <v>149</v>
      </c>
      <c r="AC1" s="1" t="s">
        <v>150</v>
      </c>
      <c r="AD1" s="1" t="s">
        <v>151</v>
      </c>
      <c r="AE1" s="1" t="s">
        <v>152</v>
      </c>
      <c r="AF1" s="1" t="s">
        <v>153</v>
      </c>
      <c r="AG1" s="1" t="s">
        <v>154</v>
      </c>
      <c r="AH1" s="1" t="s">
        <v>155</v>
      </c>
      <c r="AI1" s="1" t="s">
        <v>156</v>
      </c>
      <c r="AJ1" s="1" t="s">
        <v>157</v>
      </c>
      <c r="AK1" s="1" t="s">
        <v>158</v>
      </c>
      <c r="AL1" s="1" t="s">
        <v>159</v>
      </c>
      <c r="AM1" s="1" t="s">
        <v>160</v>
      </c>
      <c r="AN1" s="1" t="s">
        <v>161</v>
      </c>
      <c r="AO1" s="1" t="s">
        <v>162</v>
      </c>
    </row>
    <row r="2" spans="1:41">
      <c r="A2" s="2">
        <v>78</v>
      </c>
      <c r="B2" s="2">
        <v>2027</v>
      </c>
      <c r="C2" s="2">
        <f>SUM('Base_mensual'!C2:C13)</f>
        <v>200</v>
      </c>
      <c r="D2" s="2">
        <v>349990</v>
      </c>
      <c r="E2" s="2">
        <f>SUM('Base_mensual'!E2:E13)</f>
        <v>69998000.0</v>
      </c>
      <c r="F2" s="2">
        <f>SUM('Base_mensual'!F2:F13)</f>
        <v>58821848.7394958</v>
      </c>
      <c r="G2" s="2">
        <f>SUM('Base_mensual'!G2:G13)</f>
        <v>210</v>
      </c>
      <c r="H2" s="2">
        <f>SUM('Base_mensual'!H2:H13)</f>
        <v>17048611.76470588</v>
      </c>
      <c r="I2" s="2">
        <v>20</v>
      </c>
      <c r="J2" s="2">
        <v>1623677.310924369</v>
      </c>
      <c r="K2" s="2">
        <f>SUM('Base_mensual'!K2:K13)</f>
        <v>16236773.109243698</v>
      </c>
      <c r="L2" s="2">
        <f>SUM('Base_mensual'!L2:L13)</f>
        <v>5998841.8487394955</v>
      </c>
      <c r="M2" s="2">
        <f>SUM('Base_mensual'!M2:M13)</f>
        <v>19440000.0</v>
      </c>
      <c r="N2" s="3">
        <v>0</v>
      </c>
      <c r="O2" s="3">
        <v>0</v>
      </c>
      <c r="P2" s="2">
        <f>SUM('Base_mensual'!P2:P13)</f>
        <v>1440000.0</v>
      </c>
      <c r="Q2" s="2">
        <f>SUM('Base_mensual'!Q2:Q13)</f>
        <v>1920000.0</v>
      </c>
      <c r="R2" s="2">
        <f>SUM('Base_mensual'!R2:R13)</f>
        <v>0</v>
      </c>
      <c r="S2" s="2">
        <f>SUM('Base_mensual'!S2:S13)</f>
        <v>3360000.0</v>
      </c>
      <c r="T2" s="2">
        <f>SUM('Base_mensual'!T2:T13)</f>
        <v>6000000.0</v>
      </c>
      <c r="U2" s="2">
        <f>SUM('Base_mensual'!U2:U13)</f>
        <v>32160000.0</v>
      </c>
      <c r="V2" s="2">
        <f>SUM('Base_mensual'!V2:V13)</f>
        <v>4426233.781512607</v>
      </c>
      <c r="W2" s="2">
        <f>SUM('Base_mensual'!W2:W13)</f>
        <v>3439525.7789251655</v>
      </c>
      <c r="X2" s="2">
        <f>SUM('Base_mensual'!X2:X13)</f>
        <v>1766509.0889551593</v>
      </c>
      <c r="Y2" s="2">
        <f>SUM('Base_mensual'!Y2:Y13)</f>
        <v>5206034.867880325</v>
      </c>
      <c r="Z2" s="2">
        <v>29233490.91104484</v>
      </c>
      <c r="AA2" s="2">
        <f>SUM('Base_mensual'!AA2:AA13)</f>
        <v>0</v>
      </c>
      <c r="AB2" s="2">
        <f>SUM('Base_mensual'!AB2:AB13)</f>
        <v>0.0</v>
      </c>
      <c r="AC2" s="2">
        <f>SUM('Base_mensual'!AC2:AC13)</f>
        <v>0.0</v>
      </c>
      <c r="AD2" s="2">
        <f>SUM('Base_mensual'!AD2:AD13)</f>
        <v>0.0</v>
      </c>
      <c r="AE2" s="2">
        <v>152539.3445378151</v>
      </c>
      <c r="AF2" s="2">
        <f>SUM('Base_mensual'!AF2:AF13)</f>
        <v>3614395.126050422</v>
      </c>
      <c r="AG2" s="2">
        <f>SUM('Base_mensual'!AG2:AG13)</f>
        <v>-1591639.7418299026</v>
      </c>
      <c r="AH2" s="2">
        <v>26470982.25817009</v>
      </c>
      <c r="AI2" s="2">
        <v>10473246.51697008</v>
      </c>
      <c r="AJ2" s="2">
        <v>15997735.74120001</v>
      </c>
      <c r="AK2" s="3">
        <v>0.125</v>
      </c>
      <c r="AL2" s="3">
        <v>0.6942702493888693</v>
      </c>
      <c r="AM2" s="2">
        <v>5045270.322704772</v>
      </c>
      <c r="AN2" s="2">
        <v>176</v>
      </c>
      <c r="AO2" s="2">
        <v>205</v>
      </c>
    </row>
    <row r="3" spans="1:41">
      <c r="A3" s="2">
        <v>222</v>
      </c>
      <c r="B3" s="2">
        <v>2028</v>
      </c>
      <c r="C3" s="2">
        <f>SUM('Base_mensual'!C14:C25)</f>
        <v>350</v>
      </c>
      <c r="D3" s="2">
        <v>360489.7</v>
      </c>
      <c r="E3" s="2">
        <f>SUM('Base_mensual'!E14:E25)</f>
        <v>126171395.0</v>
      </c>
      <c r="F3" s="2">
        <f>SUM('Base_mensual'!F14:F25)</f>
        <v>106026382.35294119</v>
      </c>
      <c r="G3" s="2">
        <f>SUM('Base_mensual'!G14:G25)</f>
        <v>360</v>
      </c>
      <c r="H3" s="2">
        <f>SUM('Base_mensual'!H14:H25)</f>
        <v>30102977.344537817</v>
      </c>
      <c r="I3" s="2">
        <v>30</v>
      </c>
      <c r="J3" s="2">
        <v>2508097.140383613</v>
      </c>
      <c r="K3" s="2">
        <f>SUM('Base_mensual'!K14:K25)</f>
        <v>29218557.515078574</v>
      </c>
      <c r="L3" s="2">
        <f>SUM('Base_mensual'!L14:L25)</f>
        <v>10809054.351206286</v>
      </c>
      <c r="M3" s="2">
        <f>SUM('Base_mensual'!M14:M25)</f>
        <v>28783350.0</v>
      </c>
      <c r="N3" s="3">
        <v>0.5</v>
      </c>
      <c r="O3" s="3">
        <v>0</v>
      </c>
      <c r="P3" s="2">
        <f>SUM('Base_mensual'!P14:P25)</f>
        <v>1606800.0</v>
      </c>
      <c r="Q3" s="2">
        <f>SUM('Base_mensual'!Q14:Q25)</f>
        <v>2317500.0</v>
      </c>
      <c r="R3" s="2">
        <f>SUM('Base_mensual'!R14:R25)</f>
        <v>0</v>
      </c>
      <c r="S3" s="2">
        <f>SUM('Base_mensual'!S14:S25)</f>
        <v>3460800.0</v>
      </c>
      <c r="T3" s="2">
        <f>SUM('Base_mensual'!T14:T25)</f>
        <v>10815000.0</v>
      </c>
      <c r="U3" s="2">
        <f>SUM('Base_mensual'!U14:U25)</f>
        <v>46983450.0</v>
      </c>
      <c r="V3" s="2">
        <f>SUM('Base_mensual'!V14:V25)</f>
        <v>19015320.486656323</v>
      </c>
      <c r="W3" s="2">
        <f>SUM('Base_mensual'!W14:W25)</f>
        <v>3227544.688250545</v>
      </c>
      <c r="X3" s="2">
        <f>SUM('Base_mensual'!X14:X25)</f>
        <v>1978490.1796297797</v>
      </c>
      <c r="Y3" s="2">
        <f>SUM('Base_mensual'!Y14:Y25)</f>
        <v>5206034.867880325</v>
      </c>
      <c r="Z3" s="2">
        <v>27255000.73141507</v>
      </c>
      <c r="AA3" s="2">
        <f>SUM('Base_mensual'!AA14:AA25)</f>
        <v>0</v>
      </c>
      <c r="AB3" s="2">
        <f>SUM('Base_mensual'!AB14:AB25)</f>
        <v>587007.9990914407</v>
      </c>
      <c r="AC3" s="2">
        <f>SUM('Base_mensual'!AC14:AC25)</f>
        <v>1587068.569167797</v>
      </c>
      <c r="AD3" s="2">
        <f>SUM('Base_mensual'!AD14:AD25)</f>
        <v>161691.70521008404</v>
      </c>
      <c r="AE3" s="2">
        <v>314231.0497478992</v>
      </c>
      <c r="AF3" s="2">
        <f>SUM('Base_mensual'!AF14:AF25)</f>
        <v>16382140.382819202</v>
      </c>
      <c r="AG3" s="2">
        <f>SUM('Base_mensual'!AG14:AG25)</f>
        <v>12176166.085015232</v>
      </c>
      <c r="AH3" s="2">
        <v>38647148.34318533</v>
      </c>
      <c r="AI3" s="2">
        <v>14179109.01697008</v>
      </c>
      <c r="AJ3" s="2">
        <v>24468039.32621524</v>
      </c>
      <c r="AK3" s="3">
        <v>0.15</v>
      </c>
      <c r="AL3" s="3">
        <v>3.338856038045102</v>
      </c>
      <c r="AM3" s="2">
        <v>56736.84280025028</v>
      </c>
      <c r="AN3" s="2">
        <v>250</v>
      </c>
      <c r="AO3" s="2">
        <v>277</v>
      </c>
    </row>
    <row r="4" spans="1:41">
      <c r="A4" s="2">
        <v>366</v>
      </c>
      <c r="B4" s="2">
        <v>2029</v>
      </c>
      <c r="C4" s="2">
        <f>SUM('Base_mensual'!C26:C37)</f>
        <v>500</v>
      </c>
      <c r="D4" s="2">
        <v>371304.391</v>
      </c>
      <c r="E4" s="2">
        <f>SUM('Base_mensual'!E26:E37)</f>
        <v>185652195.5</v>
      </c>
      <c r="F4" s="2">
        <f>SUM('Base_mensual'!F26:F37)</f>
        <v>156010248.31932774</v>
      </c>
      <c r="G4" s="2">
        <f>SUM('Base_mensual'!G26:G37)</f>
        <v>510</v>
      </c>
      <c r="H4" s="2">
        <f>SUM('Base_mensual'!H26:H37)</f>
        <v>43925261.10857143</v>
      </c>
      <c r="I4" s="2">
        <v>40</v>
      </c>
      <c r="J4" s="2">
        <v>3444462.921371039</v>
      </c>
      <c r="K4" s="2">
        <f>SUM('Base_mensual'!K26:K37)</f>
        <v>42988895.327584</v>
      </c>
      <c r="L4" s="2">
        <f>SUM('Base_mensual'!L26:L37)</f>
        <v>15904421.401206719</v>
      </c>
      <c r="M4" s="2">
        <f>SUM('Base_mensual'!M26:M37)</f>
        <v>41247792.0</v>
      </c>
      <c r="N4" s="3">
        <v>0.5</v>
      </c>
      <c r="O4" s="3">
        <v>0.5</v>
      </c>
      <c r="P4" s="2">
        <f>SUM('Base_mensual'!P26:P37)</f>
        <v>1782312.0</v>
      </c>
      <c r="Q4" s="2">
        <f>SUM('Base_mensual'!Q26:Q37)</f>
        <v>2928084.0</v>
      </c>
      <c r="R4" s="2">
        <f>SUM('Base_mensual'!R26:R37)</f>
        <v>0</v>
      </c>
      <c r="S4" s="2">
        <f>SUM('Base_mensual'!S26:S37)</f>
        <v>3564624.0</v>
      </c>
      <c r="T4" s="2">
        <f>SUM('Base_mensual'!T26:T37)</f>
        <v>15913500.0</v>
      </c>
      <c r="U4" s="2">
        <f>SUM('Base_mensual'!U26:U37)</f>
        <v>65436312.0</v>
      </c>
      <c r="V4" s="2">
        <f>SUM('Base_mensual'!V26:V37)</f>
        <v>31680619.59053701</v>
      </c>
      <c r="W4" s="2">
        <f>SUM('Base_mensual'!W26:W37)</f>
        <v>2990125.8666949696</v>
      </c>
      <c r="X4" s="2">
        <f>SUM('Base_mensual'!X26:X37)</f>
        <v>2215909.001185355</v>
      </c>
      <c r="Y4" s="2">
        <f>SUM('Base_mensual'!Y26:Y37)</f>
        <v>5206034.867880325</v>
      </c>
      <c r="Z4" s="2">
        <v>25039091.73022971</v>
      </c>
      <c r="AA4" s="2">
        <f>SUM('Base_mensual'!AA26:AA37)</f>
        <v>0</v>
      </c>
      <c r="AB4" s="2">
        <f>SUM('Base_mensual'!AB26:AB37)</f>
        <v>6938531.985713653</v>
      </c>
      <c r="AC4" s="2">
        <f>SUM('Base_mensual'!AC26:AC37)</f>
        <v>7686063.452387396</v>
      </c>
      <c r="AD4" s="2">
        <f>SUM('Base_mensual'!AD26:AD37)</f>
        <v>9426.93149243691</v>
      </c>
      <c r="AE4" s="2">
        <v>323657.9812403361</v>
      </c>
      <c r="AF4" s="2">
        <f>SUM('Base_mensual'!AF26:AF37)</f>
        <v>23048763.42566975</v>
      </c>
      <c r="AG4" s="2">
        <f>SUM('Base_mensual'!AG26:AG37)</f>
        <v>18590260.024463166</v>
      </c>
      <c r="AH4" s="2">
        <v>57237408.3676485</v>
      </c>
      <c r="AI4" s="2">
        <v>18792324.51697008</v>
      </c>
      <c r="AJ4" s="2">
        <v>38445083.85067841</v>
      </c>
      <c r="AK4" s="3">
        <v>0.25</v>
      </c>
      <c r="AL4" s="3">
        <v>4.570905784584637</v>
      </c>
      <c r="AM4" s="2">
        <v>4645110.5733466</v>
      </c>
      <c r="AN4" s="2">
        <v>337</v>
      </c>
      <c r="AO4" s="2">
        <v>364</v>
      </c>
    </row>
    <row r="5" spans="1:41">
      <c r="A5" s="2">
        <v>510</v>
      </c>
      <c r="B5" s="2">
        <v>2030</v>
      </c>
      <c r="C5" s="2">
        <f>SUM('Base_mensual'!C38:C49)</f>
        <v>650</v>
      </c>
      <c r="D5" s="2">
        <v>382443.52273</v>
      </c>
      <c r="E5" s="2">
        <f>SUM('Base_mensual'!E38:E49)</f>
        <v>248588289.77449998</v>
      </c>
      <c r="F5" s="2">
        <f>SUM('Base_mensual'!F38:F49)</f>
        <v>208897722.49957985</v>
      </c>
      <c r="G5" s="2">
        <f>SUM('Base_mensual'!G38:G49)</f>
        <v>660</v>
      </c>
      <c r="H5" s="2">
        <f>SUM('Base_mensual'!H38:H49)</f>
        <v>58549789.218836986</v>
      </c>
      <c r="I5" s="2">
        <v>50</v>
      </c>
      <c r="J5" s="2">
        <v>4434732.272388779</v>
      </c>
      <c r="K5" s="2">
        <f>SUM('Base_mensual'!K38:K49)</f>
        <v>57559519.86781924</v>
      </c>
      <c r="L5" s="2">
        <f>SUM('Base_mensual'!L38:L49)</f>
        <v>21295811.378150538</v>
      </c>
      <c r="M5" s="2">
        <f>SUM('Base_mensual'!M38:M49)</f>
        <v>60187403.16</v>
      </c>
      <c r="N5" s="3">
        <v>1</v>
      </c>
      <c r="O5" s="3">
        <v>1</v>
      </c>
      <c r="P5" s="2">
        <f>SUM('Base_mensual'!P38:P49)</f>
        <v>2098035.84</v>
      </c>
      <c r="Q5" s="2">
        <f>SUM('Base_mensual'!Q38:Q49)</f>
        <v>3769908.1500000004</v>
      </c>
      <c r="R5" s="2">
        <f>SUM('Base_mensual'!R38:R49)</f>
        <v>3278181.0</v>
      </c>
      <c r="S5" s="2">
        <f>SUM('Base_mensual'!S38:S49)</f>
        <v>3671562.7199999997</v>
      </c>
      <c r="T5" s="2">
        <f>SUM('Base_mensual'!T38:T49)</f>
        <v>21308176.5</v>
      </c>
      <c r="U5" s="2">
        <f>SUM('Base_mensual'!U38:U49)</f>
        <v>94313267.37</v>
      </c>
      <c r="V5" s="2">
        <f>SUM('Base_mensual'!V38:V49)</f>
        <v>35729123.883610055</v>
      </c>
      <c r="W5" s="2">
        <f>SUM('Base_mensual'!W38:W49)</f>
        <v>2724216.786552725</v>
      </c>
      <c r="X5" s="2">
        <f>SUM('Base_mensual'!X38:X49)</f>
        <v>2481818.0813276</v>
      </c>
      <c r="Y5" s="2">
        <f>SUM('Base_mensual'!Y38:Y49)</f>
        <v>5206034.867880325</v>
      </c>
      <c r="Z5" s="2">
        <v>22557273.64890211</v>
      </c>
      <c r="AA5" s="2">
        <f>SUM('Base_mensual'!AA38:AA49)</f>
        <v>1639090.5</v>
      </c>
      <c r="AB5" s="2">
        <f>SUM('Base_mensual'!AB38:AB49)</f>
        <v>7593886.811509897</v>
      </c>
      <c r="AC5" s="2">
        <f>SUM('Base_mensual'!AC38:AC49)</f>
        <v>8274941.00814808</v>
      </c>
      <c r="AD5" s="2">
        <f>SUM('Base_mensual'!AD38:AD49)</f>
        <v>176393.5997759832</v>
      </c>
      <c r="AE5" s="2">
        <v>500051.5810163193</v>
      </c>
      <c r="AF5" s="2">
        <f>SUM('Base_mensual'!AF38:AF49)</f>
        <v>24648429.424668252</v>
      </c>
      <c r="AG5" s="2">
        <f>SUM('Base_mensual'!AG38:AG49)</f>
        <v>20123448.75342611</v>
      </c>
      <c r="AH5" s="2">
        <v>77360857.1210746</v>
      </c>
      <c r="AI5" s="2">
        <v>26011563.35947008</v>
      </c>
      <c r="AJ5" s="2">
        <v>51349293.76160452</v>
      </c>
      <c r="AK5" s="3">
        <v>0.25</v>
      </c>
      <c r="AL5" s="3">
        <v>4.86540798594757</v>
      </c>
      <c r="AM5" s="2">
        <v>7008980.076291807</v>
      </c>
      <c r="AN5" s="2">
        <v>472</v>
      </c>
      <c r="AO5" s="2">
        <v>498</v>
      </c>
    </row>
    <row r="6" spans="1:41">
      <c r="A6" s="2">
        <v>654</v>
      </c>
      <c r="B6" s="2">
        <v>2031</v>
      </c>
      <c r="C6" s="2">
        <f>SUM('Base_mensual'!C50:C61)</f>
        <v>850</v>
      </c>
      <c r="D6" s="2">
        <v>393916.8284119</v>
      </c>
      <c r="E6" s="2">
        <f>SUM('Base_mensual'!E50:E61)</f>
        <v>334829304.150115</v>
      </c>
      <c r="F6" s="2">
        <f>SUM('Base_mensual'!F50:F61)</f>
        <v>281369163.1513572</v>
      </c>
      <c r="G6" s="2">
        <f>SUM('Base_mensual'!G50:G61)</f>
        <v>850</v>
      </c>
      <c r="H6" s="2">
        <f>SUM('Base_mensual'!H50:H61)</f>
        <v>77667182.51680572</v>
      </c>
      <c r="I6" s="2">
        <v>50</v>
      </c>
      <c r="J6" s="2">
        <v>4567778.342762468</v>
      </c>
      <c r="K6" s="2">
        <f>SUM('Base_mensual'!K50:K61)</f>
        <v>77534136.44643204</v>
      </c>
      <c r="L6" s="2">
        <f>SUM('Base_mensual'!L50:L61)</f>
        <v>28684291.05422032</v>
      </c>
      <c r="M6" s="2">
        <f>SUM('Base_mensual'!M50:M61)</f>
        <v>82049592.24900001</v>
      </c>
      <c r="N6" s="3">
        <v>1.5</v>
      </c>
      <c r="O6" s="3">
        <v>1.5</v>
      </c>
      <c r="P6" s="2">
        <f>SUM('Base_mensual'!P50:P61)</f>
        <v>2431099.0296000005</v>
      </c>
      <c r="Q6" s="2">
        <f>SUM('Base_mensual'!Q50:Q61)</f>
        <v>4895963.323500001</v>
      </c>
      <c r="R6" s="2">
        <f>SUM('Base_mensual'!R50:R61)</f>
        <v>3376526.43</v>
      </c>
      <c r="S6" s="2">
        <f>SUM('Base_mensual'!S50:S61)</f>
        <v>3781709.6016000006</v>
      </c>
      <c r="T6" s="2">
        <f>SUM('Base_mensual'!T50:T61)</f>
        <v>28700474.655000005</v>
      </c>
      <c r="U6" s="2">
        <f>SUM('Base_mensual'!U50:U61)</f>
        <v>125235365.28870003</v>
      </c>
      <c r="V6" s="2">
        <f>SUM('Base_mensual'!V50:V61)</f>
        <v>49915370.36200481</v>
      </c>
      <c r="W6" s="2">
        <f>SUM('Base_mensual'!W50:W61)</f>
        <v>2426398.6167934104</v>
      </c>
      <c r="X6" s="2">
        <f>SUM('Base_mensual'!X50:X61)</f>
        <v>2779636.251086914</v>
      </c>
      <c r="Y6" s="2">
        <f>SUM('Base_mensual'!Y50:Y61)</f>
        <v>5206034.867880325</v>
      </c>
      <c r="Z6" s="2">
        <v>19777637.39781519</v>
      </c>
      <c r="AA6" s="2">
        <f>SUM('Base_mensual'!AA50:AA61)</f>
        <v>0</v>
      </c>
      <c r="AB6" s="2">
        <f>SUM('Base_mensual'!AB50:AB61)</f>
        <v>11838981.418709427</v>
      </c>
      <c r="AC6" s="2">
        <f>SUM('Base_mensual'!AC50:AC61)</f>
        <v>12445581.07290778</v>
      </c>
      <c r="AD6" s="2">
        <f>SUM('Base_mensual'!AD50:AD61)</f>
        <v>15001.547430489678</v>
      </c>
      <c r="AE6" s="2">
        <v>515053.128446809</v>
      </c>
      <c r="AF6" s="2">
        <f>SUM('Base_mensual'!AF50:AF61)</f>
        <v>37321741.67129285</v>
      </c>
      <c r="AG6" s="2">
        <f>SUM('Base_mensual'!AG50:AG61)</f>
        <v>32722306.457610875</v>
      </c>
      <c r="AH6" s="2">
        <v>110083163.5786855</v>
      </c>
      <c r="AI6" s="2">
        <v>33742087.83914509</v>
      </c>
      <c r="AJ6" s="2">
        <v>76341075.7395404</v>
      </c>
      <c r="AK6" s="3">
        <v>0.25</v>
      </c>
      <c r="AL6" s="3">
        <v>7.285456645612902</v>
      </c>
      <c r="AM6" s="2">
        <v>14962923.29220838</v>
      </c>
      <c r="AN6" s="2">
        <v>608</v>
      </c>
      <c r="AO6" s="2">
        <v>634</v>
      </c>
    </row>
    <row r="7" spans="1:41">
      <c r="A7" s="2">
        <v>798</v>
      </c>
      <c r="B7" s="2">
        <v>2032</v>
      </c>
      <c r="C7" s="2">
        <f>SUM('Base_mensual'!C62:C73)</f>
        <v>892</v>
      </c>
      <c r="D7" s="2">
        <v>405734.333264257</v>
      </c>
      <c r="E7" s="2">
        <f>SUM('Base_mensual'!E62:E73)</f>
        <v>361915025.27171725</v>
      </c>
      <c r="F7" s="2">
        <f>SUM('Base_mensual'!F62:F73)</f>
        <v>304130273.3375776</v>
      </c>
      <c r="G7" s="2">
        <f>SUM('Base_mensual'!G62:G73)</f>
        <v>890</v>
      </c>
      <c r="H7" s="2">
        <f>SUM('Base_mensual'!H62:H73)</f>
        <v>83761772.01547742</v>
      </c>
      <c r="I7" s="2">
        <v>48</v>
      </c>
      <c r="J7" s="2">
        <v>4516603.793126104</v>
      </c>
      <c r="K7" s="2">
        <f>SUM('Base_mensual'!K62:K73)</f>
        <v>83812946.56511378</v>
      </c>
      <c r="L7" s="2">
        <f>SUM('Base_mensual'!L62:L73)</f>
        <v>31005221.834448565</v>
      </c>
      <c r="M7" s="2">
        <f>SUM('Base_mensual'!M62:M73)</f>
        <v>91553670.0178425</v>
      </c>
      <c r="N7" s="3">
        <v>1.5</v>
      </c>
      <c r="O7" s="3">
        <v>2</v>
      </c>
      <c r="P7" s="2">
        <f>SUM('Base_mensual'!P62:P73)</f>
        <v>2643144.8894040002</v>
      </c>
      <c r="Q7" s="2">
        <f>SUM('Base_mensual'!Q62:Q73)</f>
        <v>5976289.70783136</v>
      </c>
      <c r="R7" s="2">
        <f>SUM('Base_mensual'!R62:R73)</f>
        <v>3477822.2229</v>
      </c>
      <c r="S7" s="2">
        <f>SUM('Base_mensual'!S62:S73)</f>
        <v>3895160.889648</v>
      </c>
      <c r="T7" s="2">
        <f>SUM('Base_mensual'!T62:T73)</f>
        <v>31022174.228267998</v>
      </c>
      <c r="U7" s="2">
        <f>SUM('Base_mensual'!U62:U73)</f>
        <v>138568261.95589387</v>
      </c>
      <c r="V7" s="2">
        <f>SUM('Base_mensual'!V62:V73)</f>
        <v>50743842.98212133</v>
      </c>
      <c r="W7" s="2">
        <f>SUM('Base_mensual'!W62:W73)</f>
        <v>2092842.266662978</v>
      </c>
      <c r="X7" s="2">
        <f>SUM('Base_mensual'!X62:X73)</f>
        <v>3113192.6012173463</v>
      </c>
      <c r="Y7" s="2">
        <f>SUM('Base_mensual'!Y62:Y73)</f>
        <v>5206034.867880325</v>
      </c>
      <c r="Z7" s="2">
        <v>16664444.79659785</v>
      </c>
      <c r="AA7" s="2">
        <f>SUM('Base_mensual'!AA62:AA73)</f>
        <v>0</v>
      </c>
      <c r="AB7" s="2">
        <f>SUM('Base_mensual'!AB62:AB73)</f>
        <v>12175543.816273682</v>
      </c>
      <c r="AC7" s="2">
        <f>SUM('Base_mensual'!AC62:AC73)</f>
        <v>12698754.382939424</v>
      </c>
      <c r="AD7" s="2">
        <f>SUM('Base_mensual'!AD62:AD73)</f>
        <v>-161383.3135800003</v>
      </c>
      <c r="AE7" s="2">
        <v>353669.8148668088</v>
      </c>
      <c r="AF7" s="2">
        <f>SUM('Base_mensual'!AF62:AF73)</f>
        <v>38257646.46239828</v>
      </c>
      <c r="AG7" s="2">
        <f>SUM('Base_mensual'!AG62:AG73)</f>
        <v>33574822.1611837</v>
      </c>
      <c r="AH7" s="2">
        <v>143657985.7398692</v>
      </c>
      <c r="AI7" s="2">
        <v>37075312.00594354</v>
      </c>
      <c r="AJ7" s="2">
        <v>106582673.7339256</v>
      </c>
      <c r="AK7" s="3">
        <v>0.25</v>
      </c>
      <c r="AL7" s="3">
        <v>7.449211926783334</v>
      </c>
      <c r="AM7" s="2">
        <v>39961986.76951627</v>
      </c>
      <c r="AN7" s="2">
        <v>653</v>
      </c>
      <c r="AO7" s="2">
        <v>678</v>
      </c>
    </row>
    <row r="8" spans="1:41">
      <c r="A8" s="2">
        <v>942</v>
      </c>
      <c r="B8" s="2">
        <v>2033</v>
      </c>
      <c r="C8" s="2">
        <f>SUM('Base_mensual'!C74:C85)</f>
        <v>937</v>
      </c>
      <c r="D8" s="2">
        <v>417906.3632621848</v>
      </c>
      <c r="E8" s="2">
        <f>SUM('Base_mensual'!E74:E85)</f>
        <v>391578262.37666714</v>
      </c>
      <c r="F8" s="2">
        <f>SUM('Base_mensual'!F74:F85)</f>
        <v>329057363.3417371</v>
      </c>
      <c r="G8" s="2">
        <f>SUM('Base_mensual'!G74:G85)</f>
        <v>940</v>
      </c>
      <c r="H8" s="2">
        <f>SUM('Base_mensual'!H74:H85)</f>
        <v>91121514.23076993</v>
      </c>
      <c r="I8" s="2">
        <v>51</v>
      </c>
      <c r="J8" s="2">
        <v>4942999.501844913</v>
      </c>
      <c r="K8" s="2">
        <f>SUM('Base_mensual'!K74:K85)</f>
        <v>90695118.52205113</v>
      </c>
      <c r="L8" s="2">
        <f>SUM('Base_mensual'!L74:L85)</f>
        <v>33547484.611683488</v>
      </c>
      <c r="M8" s="2">
        <f>SUM('Base_mensual'!M74:M85)</f>
        <v>94300280.11837779</v>
      </c>
      <c r="N8" s="3">
        <v>1.5</v>
      </c>
      <c r="O8" s="3">
        <v>2</v>
      </c>
      <c r="P8" s="2">
        <f>SUM('Base_mensual'!P74:P85)</f>
        <v>2722439.2360861204</v>
      </c>
      <c r="Q8" s="2">
        <f>SUM('Base_mensual'!Q74:Q85)</f>
        <v>6964429.424735045</v>
      </c>
      <c r="R8" s="2">
        <f>SUM('Base_mensual'!R74:R85)</f>
        <v>3582156.8895870005</v>
      </c>
      <c r="S8" s="2">
        <f>SUM('Base_mensual'!S74:S85)</f>
        <v>4012015.7163374405</v>
      </c>
      <c r="T8" s="2">
        <f>SUM('Base_mensual'!T74:T85)</f>
        <v>33564810.055430196</v>
      </c>
      <c r="U8" s="2">
        <f>SUM('Base_mensual'!U74:U85)</f>
        <v>145146131.44055358</v>
      </c>
      <c r="V8" s="2">
        <f>SUM('Base_mensual'!V74:V85)</f>
        <v>59668628.76744889</v>
      </c>
      <c r="W8" s="2">
        <f>SUM('Base_mensual'!W74:W85)</f>
        <v>1719259.1545168934</v>
      </c>
      <c r="X8" s="2">
        <f>SUM('Base_mensual'!X74:X85)</f>
        <v>3486775.713363431</v>
      </c>
      <c r="Y8" s="2">
        <f>SUM('Base_mensual'!Y74:Y85)</f>
        <v>5206034.867880324</v>
      </c>
      <c r="Z8" s="2">
        <v>13177669.08323442</v>
      </c>
      <c r="AA8" s="2">
        <f>SUM('Base_mensual'!AA74:AA85)</f>
        <v>1791078.4447935002</v>
      </c>
      <c r="AB8" s="2">
        <f>SUM('Base_mensual'!AB74:AB85)</f>
        <v>13932973.864854923</v>
      </c>
      <c r="AC8" s="2">
        <f>SUM('Base_mensual'!AC74:AC85)</f>
        <v>14362788.653484143</v>
      </c>
      <c r="AD8" s="2">
        <f>SUM('Base_mensual'!AD74:AD85)</f>
        <v>192750.04910241085</v>
      </c>
      <c r="AE8" s="2">
        <v>546419.8639692197</v>
      </c>
      <c r="AF8" s="2">
        <f>SUM('Base_mensual'!AF74:AF85)</f>
        <v>42895615.91135003</v>
      </c>
      <c r="AG8" s="2">
        <f>SUM('Base_mensual'!AG74:AG85)</f>
        <v>38119395.832098916</v>
      </c>
      <c r="AH8" s="2">
        <v>181777381.5719681</v>
      </c>
      <c r="AI8" s="2">
        <v>38719779.37710848</v>
      </c>
      <c r="AJ8" s="2">
        <v>143057602.1948596</v>
      </c>
      <c r="AK8" s="3">
        <v>0.25</v>
      </c>
      <c r="AL8" s="3">
        <v>8.322155306197462</v>
      </c>
      <c r="AM8" s="2">
        <v>69463932.55034661</v>
      </c>
      <c r="AN8" s="2">
        <v>665</v>
      </c>
      <c r="AO8" s="2">
        <v>688</v>
      </c>
    </row>
    <row r="9" spans="1:41">
      <c r="A9" s="2">
        <v>1086</v>
      </c>
      <c r="B9" s="2">
        <v>2034</v>
      </c>
      <c r="C9" s="2">
        <f>SUM('Base_mensual'!C86:C97)</f>
        <v>984</v>
      </c>
      <c r="D9" s="2">
        <v>430443.5541600503</v>
      </c>
      <c r="E9" s="2">
        <f>SUM('Base_mensual'!E86:E97)</f>
        <v>423556457.2934895</v>
      </c>
      <c r="F9" s="2">
        <f>SUM('Base_mensual'!F86:F97)</f>
        <v>355929796.0449492</v>
      </c>
      <c r="G9" s="2">
        <f>SUM('Base_mensual'!G86:G97)</f>
        <v>990</v>
      </c>
      <c r="H9" s="2">
        <f>SUM('Base_mensual'!H86:H97)</f>
        <v>98847455.38416608</v>
      </c>
      <c r="I9" s="2">
        <v>57</v>
      </c>
      <c r="J9" s="2">
        <v>5690253.96868656</v>
      </c>
      <c r="K9" s="2">
        <f>SUM('Base_mensual'!K86:K97)</f>
        <v>98100200.91732442</v>
      </c>
      <c r="L9" s="2">
        <f>SUM('Base_mensual'!L86:L97)</f>
        <v>36287014.239528865</v>
      </c>
      <c r="M9" s="2">
        <f>SUM('Base_mensual'!M86:M97)</f>
        <v>104600772.25438522</v>
      </c>
      <c r="N9" s="3">
        <v>1.5</v>
      </c>
      <c r="O9" s="3">
        <v>2.5</v>
      </c>
      <c r="P9" s="2">
        <f>SUM('Base_mensual'!P86:P97)</f>
        <v>2951697.2770196884</v>
      </c>
      <c r="Q9" s="2">
        <f>SUM('Base_mensual'!Q86:Q97)</f>
        <v>7852990.605510881</v>
      </c>
      <c r="R9" s="2">
        <f>SUM('Base_mensual'!R86:R97)</f>
        <v>3689621.5962746106</v>
      </c>
      <c r="S9" s="2">
        <f>SUM('Base_mensual'!S86:S97)</f>
        <v>4132376.187827564</v>
      </c>
      <c r="T9" s="2">
        <f>SUM('Base_mensual'!T86:T97)</f>
        <v>36305876.50734217</v>
      </c>
      <c r="U9" s="2">
        <f>SUM('Base_mensual'!U86:U97)</f>
        <v>159533334.42836013</v>
      </c>
      <c r="V9" s="2">
        <f>SUM('Base_mensual'!V86:V97)</f>
        <v>62009246.459735766</v>
      </c>
      <c r="W9" s="2">
        <f>SUM('Base_mensual'!W86:W97)</f>
        <v>1300846.0689132782</v>
      </c>
      <c r="X9" s="2">
        <f>SUM('Base_mensual'!X86:X97)</f>
        <v>3905188.7989670467</v>
      </c>
      <c r="Y9" s="2">
        <f>SUM('Base_mensual'!Y86:Y97)</f>
        <v>5206034.867880325</v>
      </c>
      <c r="Z9" s="2">
        <v>9272480.28426737</v>
      </c>
      <c r="AA9" s="2">
        <f>SUM('Base_mensual'!AA86:AA97)</f>
        <v>0</v>
      </c>
      <c r="AB9" s="2">
        <f>SUM('Base_mensual'!AB86:AB97)</f>
        <v>14990286.480995208</v>
      </c>
      <c r="AC9" s="2">
        <f>SUM('Base_mensual'!AC86:AC97)</f>
        <v>15315497.99822353</v>
      </c>
      <c r="AD9" s="2">
        <f>SUM('Base_mensual'!AD86:AD97)</f>
        <v>16392.595919076703</v>
      </c>
      <c r="AE9" s="2">
        <v>562812.4598882963</v>
      </c>
      <c r="AF9" s="2">
        <f>SUM('Base_mensual'!AF86:AF97)</f>
        <v>45930101.39875151</v>
      </c>
      <c r="AG9" s="2">
        <f>SUM('Base_mensual'!AG86:AG97)</f>
        <v>41049278.0480995</v>
      </c>
      <c r="AH9" s="2">
        <v>222826659.6200676</v>
      </c>
      <c r="AI9" s="2">
        <v>42316580.12406011</v>
      </c>
      <c r="AJ9" s="2">
        <v>180510079.4960075</v>
      </c>
      <c r="AK9" s="3">
        <v>0.25</v>
      </c>
      <c r="AL9" s="3">
        <v>8.884941052039673</v>
      </c>
      <c r="AM9" s="2">
        <v>102237357.8144406</v>
      </c>
      <c r="AN9" s="2">
        <v>709</v>
      </c>
      <c r="AO9" s="2">
        <v>732</v>
      </c>
    </row>
    <row r="10" spans="1:41">
      <c r="A10" s="2">
        <v>1230</v>
      </c>
      <c r="B10" s="2">
        <v>2035</v>
      </c>
      <c r="C10" s="2">
        <f>SUM('Base_mensual'!C98:C109)</f>
        <v>1033</v>
      </c>
      <c r="D10" s="2">
        <v>443356.8607848518</v>
      </c>
      <c r="E10" s="2">
        <f>SUM('Base_mensual'!E98:E109)</f>
        <v>457987637.19075197</v>
      </c>
      <c r="F10" s="2">
        <f>SUM('Base_mensual'!F98:F109)</f>
        <v>384863560.66449744</v>
      </c>
      <c r="G10" s="2">
        <f>SUM('Base_mensual'!G98:G109)</f>
        <v>1040</v>
      </c>
      <c r="H10" s="2">
        <f>SUM('Base_mensual'!H98:H109)</f>
        <v>106954943.64395829</v>
      </c>
      <c r="I10" s="2">
        <v>64</v>
      </c>
      <c r="J10" s="2">
        <v>6580684.169005273</v>
      </c>
      <c r="K10" s="2">
        <f>SUM('Base_mensual'!K98:K109)</f>
        <v>106064513.44363958</v>
      </c>
      <c r="L10" s="2">
        <f>SUM('Base_mensual'!L98:L109)</f>
        <v>39235983.89946921</v>
      </c>
      <c r="M10" s="2">
        <f>SUM('Base_mensual'!M98:M109)</f>
        <v>107738795.4220168</v>
      </c>
      <c r="N10" s="3">
        <v>1.5</v>
      </c>
      <c r="O10" s="3">
        <v>2.5</v>
      </c>
      <c r="P10" s="2">
        <f>SUM('Base_mensual'!P98:P109)</f>
        <v>3040248.1953302794</v>
      </c>
      <c r="Q10" s="2">
        <f>SUM('Base_mensual'!Q98:Q109)</f>
        <v>8633544.81268916</v>
      </c>
      <c r="R10" s="2">
        <f>SUM('Base_mensual'!R98:R109)</f>
        <v>3800310.244162849</v>
      </c>
      <c r="S10" s="2">
        <f>SUM('Base_mensual'!S98:S109)</f>
        <v>4256347.473462391</v>
      </c>
      <c r="T10" s="2">
        <f>SUM('Base_mensual'!T98:T109)</f>
        <v>39257204.82220223</v>
      </c>
      <c r="U10" s="2">
        <f>SUM('Base_mensual'!U98:U109)</f>
        <v>166726450.9698637</v>
      </c>
      <c r="V10" s="2">
        <f>SUM('Base_mensual'!V98:V109)</f>
        <v>72836612.35152496</v>
      </c>
      <c r="W10" s="2">
        <f>SUM('Base_mensual'!W98:W109)</f>
        <v>832223.413037229</v>
      </c>
      <c r="X10" s="2">
        <f>SUM('Base_mensual'!X98:X109)</f>
        <v>4373811.4548430955</v>
      </c>
      <c r="Y10" s="2">
        <f>SUM('Base_mensual'!Y98:Y109)</f>
        <v>5206034.867880325</v>
      </c>
      <c r="Z10" s="2">
        <v>4898668.829424275</v>
      </c>
      <c r="AA10" s="2">
        <f>SUM('Base_mensual'!AA98:AA109)</f>
        <v>0</v>
      </c>
      <c r="AB10" s="2">
        <f>SUM('Base_mensual'!AB98:AB109)</f>
        <v>17778489.68454226</v>
      </c>
      <c r="AC10" s="2">
        <f>SUM('Base_mensual'!AC98:AC109)</f>
        <v>17986545.537801567</v>
      </c>
      <c r="AD10" s="2">
        <f>SUM('Base_mensual'!AD98:AD109)</f>
        <v>210116.65169163048</v>
      </c>
      <c r="AE10" s="2">
        <v>772929.1115799269</v>
      </c>
      <c r="AF10" s="2">
        <f>SUM('Base_mensual'!AF98:AF109)</f>
        <v>53749519.96171308</v>
      </c>
      <c r="AG10" s="2">
        <f>SUM('Base_mensual'!AG98:AG109)</f>
        <v>48751540.94709206</v>
      </c>
      <c r="AH10" s="2">
        <v>271578200.5671597</v>
      </c>
      <c r="AI10" s="2">
        <v>44114859.259436</v>
      </c>
      <c r="AJ10" s="2">
        <v>227463341.3077237</v>
      </c>
      <c r="AK10" s="3">
        <v>0.25</v>
      </c>
      <c r="AL10" s="3">
        <v>10.36442843436843</v>
      </c>
      <c r="AM10" s="2">
        <v>142568450.5109836</v>
      </c>
      <c r="AN10" s="2">
        <v>719</v>
      </c>
      <c r="AO10" s="2">
        <v>742</v>
      </c>
    </row>
    <row r="11" spans="1:41">
      <c r="A11" s="2">
        <v>1374</v>
      </c>
      <c r="B11" s="2">
        <v>2036</v>
      </c>
      <c r="C11" s="2">
        <f>SUM('Base_mensual'!C110:C121)</f>
        <v>1085</v>
      </c>
      <c r="D11" s="2">
        <v>456657.5666083974</v>
      </c>
      <c r="E11" s="2">
        <f>SUM('Base_mensual'!E110:E121)</f>
        <v>495473459.7701112</v>
      </c>
      <c r="F11" s="2">
        <f>SUM('Base_mensual'!F110:F121)</f>
        <v>416364251.9076565</v>
      </c>
      <c r="G11" s="2">
        <f>SUM('Base_mensual'!G110:G121)</f>
        <v>1080</v>
      </c>
      <c r="H11" s="2">
        <f>SUM('Base_mensual'!H110:H121)</f>
        <v>114400653.18224923</v>
      </c>
      <c r="I11" s="2">
        <v>59</v>
      </c>
      <c r="J11" s="2">
        <v>6248437.432259304</v>
      </c>
      <c r="K11" s="2">
        <f>SUM('Base_mensual'!K110:K121)</f>
        <v>114732899.9189952</v>
      </c>
      <c r="L11" s="2">
        <f>SUM('Base_mensual'!L110:L121)</f>
        <v>42446378.40875356</v>
      </c>
      <c r="M11" s="2">
        <f>SUM('Base_mensual'!M110:M121)</f>
        <v>110970959.2846773</v>
      </c>
      <c r="N11" s="3">
        <v>1.5</v>
      </c>
      <c r="O11" s="3">
        <v>2.5</v>
      </c>
      <c r="P11" s="2">
        <f>SUM('Base_mensual'!P110:P121)</f>
        <v>3131455.641190188</v>
      </c>
      <c r="Q11" s="2">
        <f>SUM('Base_mensual'!Q110:Q121)</f>
        <v>9219788.27157421</v>
      </c>
      <c r="R11" s="2">
        <f>SUM('Base_mensual'!R110:R121)</f>
        <v>3914319.5514877345</v>
      </c>
      <c r="S11" s="2">
        <f>SUM('Base_mensual'!S110:S121)</f>
        <v>4384037.897666262</v>
      </c>
      <c r="T11" s="2">
        <f>SUM('Base_mensual'!T110:T121)</f>
        <v>42470367.13364192</v>
      </c>
      <c r="U11" s="2">
        <f>SUM('Base_mensual'!U110:U121)</f>
        <v>174090927.78023762</v>
      </c>
      <c r="V11" s="2">
        <f>SUM('Base_mensual'!V110:V121)</f>
        <v>85094045.79967013</v>
      </c>
      <c r="W11" s="2">
        <f>SUM('Base_mensual'!W110:W121)</f>
        <v>307366.03845605336</v>
      </c>
      <c r="X11" s="2">
        <f>SUM('Base_mensual'!X110:X121)</f>
        <v>4898668.829424271</v>
      </c>
      <c r="Y11" s="2">
        <f>SUM('Base_mensual'!Y110:Y121)</f>
        <v>5206034.867880325</v>
      </c>
      <c r="Z11" s="2">
        <v>3.37604433298111E-09</v>
      </c>
      <c r="AA11" s="2">
        <f>SUM('Base_mensual'!AA110:AA121)</f>
        <v>1957159.7757438673</v>
      </c>
      <c r="AB11" s="2">
        <f>SUM('Base_mensual'!AB110:AB121)</f>
        <v>20790441.680554044</v>
      </c>
      <c r="AC11" s="2">
        <f>SUM('Base_mensual'!AC110:AC121)</f>
        <v>20867283.19016806</v>
      </c>
      <c r="AD11" s="2">
        <f>SUM('Base_mensual'!AD110:AD121)</f>
        <v>-175841.37288443348</v>
      </c>
      <c r="AE11" s="2">
        <v>597087.7386954936</v>
      </c>
      <c r="AF11" s="2">
        <f>SUM('Base_mensual'!AF110:AF121)</f>
        <v>62777690.943388596</v>
      </c>
      <c r="AG11" s="2">
        <f>SUM('Base_mensual'!AG110:AG121)</f>
        <v>57648497.58512229</v>
      </c>
      <c r="AH11" s="2">
        <v>329226698.152282</v>
      </c>
      <c r="AI11" s="2">
        <v>45955978.46202949</v>
      </c>
      <c r="AJ11" s="2">
        <v>283270719.6902525</v>
      </c>
      <c r="AK11" s="3">
        <v>0.25</v>
      </c>
      <c r="AL11" s="3">
        <v>12.07339828643797</v>
      </c>
      <c r="AM11" s="2">
        <v>188035811.1670784</v>
      </c>
      <c r="AN11" s="2">
        <v>729</v>
      </c>
      <c r="AO11" s="2">
        <v>751</v>
      </c>
    </row>
    <row r="12" spans="1:41">
      <c r="A12" s="2">
        <v>1518</v>
      </c>
      <c r="B12" s="2">
        <v>2037</v>
      </c>
      <c r="C12" s="2">
        <f>SUM('Base_mensual'!C122:C133)</f>
        <v>1139</v>
      </c>
      <c r="D12" s="2">
        <v>470357.2936066493</v>
      </c>
      <c r="E12" s="2">
        <f>SUM('Base_mensual'!E122:E133)</f>
        <v>535736957.4179736</v>
      </c>
      <c r="F12" s="2">
        <f>SUM('Base_mensual'!F122:F133)</f>
        <v>450199123.8806501</v>
      </c>
      <c r="G12" s="2">
        <f>SUM('Base_mensual'!G122:G133)</f>
        <v>1140</v>
      </c>
      <c r="H12" s="2">
        <f>SUM('Base_mensual'!H122:H133)</f>
        <v>124378932.37647875</v>
      </c>
      <c r="I12" s="2">
        <v>60</v>
      </c>
      <c r="J12" s="2">
        <v>6545140.922868907</v>
      </c>
      <c r="K12" s="2">
        <f>SUM('Base_mensual'!K122:K133)</f>
        <v>124082228.88586915</v>
      </c>
      <c r="L12" s="2">
        <f>SUM('Base_mensual'!L122:L133)</f>
        <v>45897750.71820594</v>
      </c>
      <c r="M12" s="2">
        <f>SUM('Base_mensual'!M122:M133)</f>
        <v>122464380.06773315</v>
      </c>
      <c r="N12" s="3">
        <v>1.5</v>
      </c>
      <c r="O12" s="3">
        <v>3</v>
      </c>
      <c r="P12" s="2">
        <f>SUM('Base_mensual'!P122:P133)</f>
        <v>3386669.275947188</v>
      </c>
      <c r="Q12" s="2">
        <f>SUM('Base_mensual'!Q122:Q133)</f>
        <v>9851175.843868285</v>
      </c>
      <c r="R12" s="2">
        <f>SUM('Base_mensual'!R122:R133)</f>
        <v>4031749.1380323665</v>
      </c>
      <c r="S12" s="2">
        <f>SUM('Base_mensual'!S122:S133)</f>
        <v>4515559.03459625</v>
      </c>
      <c r="T12" s="2">
        <f>SUM('Base_mensual'!T122:T133)</f>
        <v>45921622.68218866</v>
      </c>
      <c r="U12" s="2">
        <f>SUM('Base_mensual'!U122:U133)</f>
        <v>190171156.0423659</v>
      </c>
      <c r="V12" s="2">
        <f>SUM('Base_mensual'!V122:V133)</f>
        <v>90047988.23420909</v>
      </c>
      <c r="W12" s="2">
        <f>SUM('Base_mensual'!W122:W133)</f>
        <v>0</v>
      </c>
      <c r="X12" s="2">
        <f>SUM('Base_mensual'!X122:X133)</f>
        <v>0</v>
      </c>
      <c r="Y12" s="2">
        <f>SUM('Base_mensual'!Y122:Y133)</f>
        <v>0</v>
      </c>
      <c r="Z12" s="2">
        <v>3.37604433298111E-09</v>
      </c>
      <c r="AA12" s="2">
        <f>SUM('Base_mensual'!AA122:AA133)</f>
        <v>0</v>
      </c>
      <c r="AB12" s="2">
        <f>SUM('Base_mensual'!AB122:AB133)</f>
        <v>22437821.185899876</v>
      </c>
      <c r="AC12" s="2">
        <f>SUM('Base_mensual'!AC122:AC133)</f>
        <v>22437821.185899876</v>
      </c>
      <c r="AD12" s="2">
        <f>SUM('Base_mensual'!AD122:AD133)</f>
        <v>17912.632160864654</v>
      </c>
      <c r="AE12" s="2">
        <v>615000.3708563584</v>
      </c>
      <c r="AF12" s="2">
        <f>SUM('Base_mensual'!AF122:AF133)</f>
        <v>67295550.92553876</v>
      </c>
      <c r="AG12" s="2">
        <f>SUM('Base_mensual'!AG122:AG133)</f>
        <v>67295550.92553876</v>
      </c>
      <c r="AH12" s="2">
        <v>396522249.0778207</v>
      </c>
      <c r="AI12" s="2">
        <v>48674526.81059147</v>
      </c>
      <c r="AJ12" s="2">
        <v>347847722.2672292</v>
      </c>
      <c r="AK12" s="3">
        <v>0.25</v>
      </c>
      <c r="AL12" s="3">
        <v>0</v>
      </c>
      <c r="AM12" s="2">
        <v>242752419.3403498</v>
      </c>
      <c r="AN12" s="2">
        <v>773</v>
      </c>
      <c r="AO12" s="2">
        <v>773</v>
      </c>
    </row>
    <row r="13" spans="1:41">
      <c r="A13" s="2">
        <v>1662</v>
      </c>
      <c r="B13" s="2">
        <v>2038</v>
      </c>
      <c r="C13" s="2">
        <f>SUM('Base_mensual'!C134:C145)</f>
        <v>1196</v>
      </c>
      <c r="D13" s="2">
        <v>484468.0124148488</v>
      </c>
      <c r="E13" s="2">
        <f>SUM('Base_mensual'!E134:E145)</f>
        <v>579423742.8481592</v>
      </c>
      <c r="F13" s="2">
        <f>SUM('Base_mensual'!F134:F145)</f>
        <v>486910708.27576405</v>
      </c>
      <c r="G13" s="2">
        <f>SUM('Base_mensual'!G134:G145)</f>
        <v>1200</v>
      </c>
      <c r="H13" s="2">
        <f>SUM('Base_mensual'!H134:H145)</f>
        <v>134852947.73449802</v>
      </c>
      <c r="I13" s="2">
        <v>64</v>
      </c>
      <c r="J13" s="2">
        <v>7190981.172713406</v>
      </c>
      <c r="K13" s="2">
        <f>SUM('Base_mensual'!K134:K145)</f>
        <v>134207107.48465352</v>
      </c>
      <c r="L13" s="2">
        <f>SUM('Base_mensual'!L134:L145)</f>
        <v>49641017.99749886</v>
      </c>
      <c r="M13" s="2">
        <f>SUM('Base_mensual'!M134:M145)</f>
        <v>133426302.79912935</v>
      </c>
      <c r="N13" s="3">
        <v>2</v>
      </c>
      <c r="O13" s="3">
        <v>3</v>
      </c>
      <c r="P13" s="2">
        <f>SUM('Base_mensual'!P134:P145)</f>
        <v>3654377.4187125377</v>
      </c>
      <c r="Q13" s="2">
        <f>SUM('Base_mensual'!Q134:Q145)</f>
        <v>10529590.207826715</v>
      </c>
      <c r="R13" s="2">
        <f>SUM('Base_mensual'!R134:R145)</f>
        <v>4152701.6121733375</v>
      </c>
      <c r="S13" s="2">
        <f>SUM('Base_mensual'!S134:S145)</f>
        <v>4651025.805634139</v>
      </c>
      <c r="T13" s="2">
        <f>SUM('Base_mensual'!T134:T145)</f>
        <v>49666311.28159312</v>
      </c>
      <c r="U13" s="2">
        <f>SUM('Base_mensual'!U134:U145)</f>
        <v>206080309.1250692</v>
      </c>
      <c r="V13" s="2">
        <f>SUM('Base_mensual'!V134:V145)</f>
        <v>96982273.66854247</v>
      </c>
      <c r="W13" s="2">
        <f>SUM('Base_mensual'!W134:W145)</f>
        <v>0</v>
      </c>
      <c r="X13" s="2">
        <f>SUM('Base_mensual'!X134:X145)</f>
        <v>0</v>
      </c>
      <c r="Y13" s="2">
        <f>SUM('Base_mensual'!Y134:Y145)</f>
        <v>0</v>
      </c>
      <c r="Z13" s="2">
        <v>3.37604433298111E-09</v>
      </c>
      <c r="AA13" s="2">
        <f>SUM('Base_mensual'!AA134:AA145)</f>
        <v>0</v>
      </c>
      <c r="AB13" s="2">
        <f>SUM('Base_mensual'!AB134:AB145)</f>
        <v>24084108.354674492</v>
      </c>
      <c r="AC13" s="2">
        <f>SUM('Base_mensual'!AC134:AC145)</f>
        <v>24084108.354674492</v>
      </c>
      <c r="AD13" s="2">
        <f>SUM('Base_mensual'!AD134:AD145)</f>
        <v>18450.011125690537</v>
      </c>
      <c r="AE13" s="2">
        <v>633450.3819820492</v>
      </c>
      <c r="AF13" s="2">
        <f>SUM('Base_mensual'!AF134:AF145)</f>
        <v>72233875.0528978</v>
      </c>
      <c r="AG13" s="2">
        <f>SUM('Base_mensual'!AG134:AG145)</f>
        <v>72233875.0528978</v>
      </c>
      <c r="AH13" s="2">
        <v>468756124.1307185</v>
      </c>
      <c r="AI13" s="2">
        <v>52651815.0812673</v>
      </c>
      <c r="AJ13" s="2">
        <v>416104309.0494512</v>
      </c>
      <c r="AK13" s="3">
        <v>0.25</v>
      </c>
      <c r="AL13" s="3">
        <v>0</v>
      </c>
      <c r="AM13" s="2">
        <v>303436958.6290545</v>
      </c>
      <c r="AN13" s="2">
        <v>814</v>
      </c>
      <c r="AO13" s="2">
        <v>814</v>
      </c>
    </row>
    <row r="14" spans="1:41">
      <c r="A14" s="2">
        <v>1806</v>
      </c>
      <c r="B14" s="2">
        <v>2039</v>
      </c>
      <c r="C14" s="2">
        <f>SUM('Base_mensual'!C146:C157)</f>
        <v>1256</v>
      </c>
      <c r="D14" s="2">
        <v>499002.0527872943</v>
      </c>
      <c r="E14" s="2">
        <f>SUM('Base_mensual'!E146:E157)</f>
        <v>626746578.3008417</v>
      </c>
      <c r="F14" s="2">
        <f>SUM('Base_mensual'!F146:F157)</f>
        <v>526677796.8914636</v>
      </c>
      <c r="G14" s="2">
        <f>SUM('Base_mensual'!G146:G157)</f>
        <v>1260</v>
      </c>
      <c r="H14" s="2">
        <f>SUM('Base_mensual'!H146:H157)</f>
        <v>145843462.9748596</v>
      </c>
      <c r="I14" s="2">
        <v>68</v>
      </c>
      <c r="J14" s="2">
        <v>7869598.654125087</v>
      </c>
      <c r="K14" s="2">
        <f>SUM('Base_mensual'!K146:K157)</f>
        <v>145164845.49344793</v>
      </c>
      <c r="L14" s="2">
        <f>SUM('Base_mensual'!L146:L157)</f>
        <v>53695050.597790726</v>
      </c>
      <c r="M14" s="2">
        <f>SUM('Base_mensual'!M146:M157)</f>
        <v>137429091.88310325</v>
      </c>
      <c r="N14" s="3">
        <v>2</v>
      </c>
      <c r="O14" s="3">
        <v>3</v>
      </c>
      <c r="P14" s="2">
        <f>SUM('Base_mensual'!P146:P157)</f>
        <v>3764008.7412739135</v>
      </c>
      <c r="Q14" s="2">
        <f>SUM('Base_mensual'!Q146:Q157)</f>
        <v>11259518.875601646</v>
      </c>
      <c r="R14" s="2">
        <f>SUM('Base_mensual'!R146:R157)</f>
        <v>4277282.660538538</v>
      </c>
      <c r="S14" s="2">
        <f>SUM('Base_mensual'!S146:S157)</f>
        <v>4790556.579803162</v>
      </c>
      <c r="T14" s="2">
        <f>SUM('Base_mensual'!T146:T157)</f>
        <v>53722670.21636404</v>
      </c>
      <c r="U14" s="2">
        <f>SUM('Base_mensual'!U146:U157)</f>
        <v>215243128.95668453</v>
      </c>
      <c r="V14" s="2">
        <f>SUM('Base_mensual'!V146:V157)</f>
        <v>112574771.8435404</v>
      </c>
      <c r="W14" s="2">
        <f>SUM('Base_mensual'!W146:W157)</f>
        <v>0</v>
      </c>
      <c r="X14" s="2">
        <f>SUM('Base_mensual'!X146:X157)</f>
        <v>0</v>
      </c>
      <c r="Y14" s="2">
        <f>SUM('Base_mensual'!Y146:Y157)</f>
        <v>0</v>
      </c>
      <c r="Z14" s="2">
        <v>3.37604433298111E-09</v>
      </c>
      <c r="AA14" s="2">
        <f>SUM('Base_mensual'!AA146:AA157)</f>
        <v>2138641.330269269</v>
      </c>
      <c r="AB14" s="2">
        <f>SUM('Base_mensual'!AB146:AB157)</f>
        <v>27439378.257964864</v>
      </c>
      <c r="AC14" s="2">
        <f>SUM('Base_mensual'!AC146:AC157)</f>
        <v>27439378.257964864</v>
      </c>
      <c r="AD14" s="2">
        <f>SUM('Base_mensual'!AD146:AD157)</f>
        <v>236488.14260663214</v>
      </c>
      <c r="AE14" s="2">
        <v>869938.5245886809</v>
      </c>
      <c r="AF14" s="2">
        <f>SUM('Base_mensual'!AF146:AF157)</f>
        <v>82081646.63128795</v>
      </c>
      <c r="AG14" s="2">
        <f>SUM('Base_mensual'!AG146:AG157)</f>
        <v>82081646.63128795</v>
      </c>
      <c r="AH14" s="2">
        <v>550837770.7620065</v>
      </c>
      <c r="AI14" s="2">
        <v>54942520.03917113</v>
      </c>
      <c r="AJ14" s="2">
        <v>495895250.7228354</v>
      </c>
      <c r="AK14" s="3">
        <v>0.25</v>
      </c>
      <c r="AL14" s="3">
        <v>0</v>
      </c>
      <c r="AM14" s="2">
        <v>370497621.6025628</v>
      </c>
      <c r="AN14" s="2">
        <v>825</v>
      </c>
      <c r="AO14" s="2">
        <v>825</v>
      </c>
    </row>
    <row r="15" spans="1:41">
      <c r="A15" s="2">
        <v>1950</v>
      </c>
      <c r="B15" s="2">
        <v>2040</v>
      </c>
      <c r="C15" s="2">
        <f>SUM('Base_mensual'!C158:C169)</f>
        <v>1319</v>
      </c>
      <c r="D15" s="2">
        <v>513972.1143709132</v>
      </c>
      <c r="E15" s="2">
        <f>SUM('Base_mensual'!E158:E169)</f>
        <v>677929218.8552345</v>
      </c>
      <c r="F15" s="2">
        <f>SUM('Base_mensual'!F158:F169)</f>
        <v>569688419.2060794</v>
      </c>
      <c r="G15" s="2">
        <f>SUM('Base_mensual'!G158:G169)</f>
        <v>1330</v>
      </c>
      <c r="H15" s="2">
        <f>SUM('Base_mensual'!H158:H169)</f>
        <v>158564253.91211125</v>
      </c>
      <c r="I15" s="2">
        <v>79</v>
      </c>
      <c r="J15" s="2">
        <v>9416910.004163425</v>
      </c>
      <c r="K15" s="2">
        <f>SUM('Base_mensual'!K158:K169)</f>
        <v>157016942.56207293</v>
      </c>
      <c r="L15" s="2">
        <f>SUM('Base_mensual'!L158:L169)</f>
        <v>58079792.15598325</v>
      </c>
      <c r="M15" s="2">
        <f>SUM('Base_mensual'!M158:M169)</f>
        <v>150473306.94881457</v>
      </c>
      <c r="N15" s="3">
        <v>2</v>
      </c>
      <c r="O15" s="3">
        <v>3.5</v>
      </c>
      <c r="P15" s="2">
        <f>SUM('Base_mensual'!P158:P169)</f>
        <v>4053153.049126319</v>
      </c>
      <c r="Q15" s="2">
        <f>SUM('Base_mensual'!Q158:Q169)</f>
        <v>12045794.637957804</v>
      </c>
      <c r="R15" s="2">
        <f>SUM('Base_mensual'!R158:R169)</f>
        <v>4405601.140354695</v>
      </c>
      <c r="S15" s="2">
        <f>SUM('Base_mensual'!S158:S169)</f>
        <v>4934273.277197258</v>
      </c>
      <c r="T15" s="2">
        <f>SUM('Base_mensual'!T158:T169)</f>
        <v>58109879.04127842</v>
      </c>
      <c r="U15" s="2">
        <f>SUM('Base_mensual'!U158:U169)</f>
        <v>234022008.09472907</v>
      </c>
      <c r="V15" s="2">
        <f>SUM('Base_mensual'!V158:V169)</f>
        <v>120569676.3932942</v>
      </c>
      <c r="W15" s="2">
        <f>SUM('Base_mensual'!W158:W169)</f>
        <v>0</v>
      </c>
      <c r="X15" s="2">
        <f>SUM('Base_mensual'!X158:X169)</f>
        <v>0</v>
      </c>
      <c r="Y15" s="2">
        <f>SUM('Base_mensual'!Y158:Y169)</f>
        <v>0</v>
      </c>
      <c r="Z15" s="2">
        <v>3.37604433298111E-09</v>
      </c>
      <c r="AA15" s="2">
        <f>SUM('Base_mensual'!AA158:AA169)</f>
        <v>0</v>
      </c>
      <c r="AB15" s="2">
        <f>SUM('Base_mensual'!AB158:AB169)</f>
        <v>29755591.260813966</v>
      </c>
      <c r="AC15" s="2">
        <f>SUM('Base_mensual'!AC158:AC169)</f>
        <v>29755591.260813966</v>
      </c>
      <c r="AD15" s="2">
        <f>SUM('Base_mensual'!AD158:AD169)</f>
        <v>250107.32581924554</v>
      </c>
      <c r="AE15" s="2">
        <v>1120045.850407927</v>
      </c>
      <c r="AF15" s="2">
        <f>SUM('Base_mensual'!AF158:AF169)</f>
        <v>89016666.45662265</v>
      </c>
      <c r="AG15" s="2">
        <f>SUM('Base_mensual'!AG158:AG169)</f>
        <v>89016666.45662265</v>
      </c>
      <c r="AH15" s="2">
        <v>639854437.2186292</v>
      </c>
      <c r="AI15" s="2">
        <v>59637239.82368226</v>
      </c>
      <c r="AJ15" s="2">
        <v>580217197.3949469</v>
      </c>
      <c r="AK15" s="3">
        <v>0.25</v>
      </c>
      <c r="AL15" s="3">
        <v>0</v>
      </c>
      <c r="AM15" s="2">
        <v>446818833.0477592</v>
      </c>
      <c r="AN15" s="2">
        <v>871</v>
      </c>
      <c r="AO15" s="2">
        <v>871</v>
      </c>
    </row>
    <row r="16" spans="1:41">
      <c r="A16" s="2">
        <v>2094</v>
      </c>
      <c r="B16" s="2">
        <v>2041</v>
      </c>
      <c r="C16" s="2">
        <f>SUM('Base_mensual'!C170:C181)</f>
        <v>1385</v>
      </c>
      <c r="D16" s="2">
        <v>529391.2778020406</v>
      </c>
      <c r="E16" s="2">
        <f>SUM('Base_mensual'!E170:E181)</f>
        <v>733206919.7558262</v>
      </c>
      <c r="F16" s="2">
        <f>SUM('Base_mensual'!F170:F181)</f>
        <v>616140268.702375</v>
      </c>
      <c r="G16" s="2">
        <f>SUM('Base_mensual'!G170:G181)</f>
        <v>1310</v>
      </c>
      <c r="H16" s="2">
        <f>SUM('Base_mensual'!H170:H181)</f>
        <v>160865223.91249004</v>
      </c>
      <c r="I16" s="2">
        <v>4</v>
      </c>
      <c r="J16" s="2">
        <v>491079.151397761</v>
      </c>
      <c r="K16" s="2">
        <f>SUM('Base_mensual'!K170:K181)</f>
        <v>169791054.7652557</v>
      </c>
      <c r="L16" s="2">
        <f>SUM('Base_mensual'!L170:L181)</f>
        <v>62813250.98255775</v>
      </c>
      <c r="M16" s="2">
        <f>SUM('Base_mensual'!M170:M181)</f>
        <v>154987506.15727904</v>
      </c>
      <c r="N16" s="3">
        <v>2</v>
      </c>
      <c r="O16" s="3">
        <v>3.5</v>
      </c>
      <c r="P16" s="2">
        <f>SUM('Base_mensual'!P170:P181)</f>
        <v>4174747.6406001085</v>
      </c>
      <c r="Q16" s="2">
        <f>SUM('Base_mensual'!Q170:Q181)</f>
        <v>12891802.22494012</v>
      </c>
      <c r="R16" s="2">
        <f>SUM('Base_mensual'!R170:R181)</f>
        <v>4537769.174565336</v>
      </c>
      <c r="S16" s="2">
        <f>SUM('Base_mensual'!S170:S181)</f>
        <v>5082301.475513176</v>
      </c>
      <c r="T16" s="2">
        <f>SUM('Base_mensual'!T170:T181)</f>
        <v>62848103.06772989</v>
      </c>
      <c r="U16" s="2">
        <f>SUM('Base_mensual'!U170:U181)</f>
        <v>244522229.74062765</v>
      </c>
      <c r="V16" s="2">
        <f>SUM('Base_mensual'!V170:V181)</f>
        <v>139013733.21393389</v>
      </c>
      <c r="W16" s="2">
        <f>SUM('Base_mensual'!W170:W181)</f>
        <v>0</v>
      </c>
      <c r="X16" s="2">
        <f>SUM('Base_mensual'!X170:X181)</f>
        <v>0</v>
      </c>
      <c r="Y16" s="2">
        <f>SUM('Base_mensual'!Y170:Y181)</f>
        <v>0</v>
      </c>
      <c r="Z16" s="2">
        <v>3.37604433298111E-09</v>
      </c>
      <c r="AA16" s="2">
        <f>SUM('Base_mensual'!AA170:AA181)</f>
        <v>0</v>
      </c>
      <c r="AB16" s="2">
        <f>SUM('Base_mensual'!AB170:AB181)</f>
        <v>36984891.01667489</v>
      </c>
      <c r="AC16" s="2">
        <f>SUM('Base_mensual'!AC170:AC181)</f>
        <v>36984891.01667489</v>
      </c>
      <c r="AD16" s="2">
        <f>SUM('Base_mensual'!AD170:AD181)</f>
        <v>-1120045.8504079268</v>
      </c>
      <c r="AE16" s="2">
        <v>0</v>
      </c>
      <c r="AF16" s="2">
        <f>SUM('Base_mensual'!AF170:AF181)</f>
        <v>112074718.90043259</v>
      </c>
      <c r="AG16" s="2">
        <f>SUM('Base_mensual'!AG170:AG181)</f>
        <v>112074718.90043259</v>
      </c>
      <c r="AH16" s="2">
        <v>751929156.1190618</v>
      </c>
      <c r="AI16" s="2">
        <v>62262295.23515691</v>
      </c>
      <c r="AJ16" s="2">
        <v>689666860.8839049</v>
      </c>
      <c r="AK16" s="3">
        <v>0.25</v>
      </c>
      <c r="AL16" s="3">
        <v>0</v>
      </c>
      <c r="AM16" s="2">
        <v>534621181.7598261</v>
      </c>
      <c r="AN16" s="2">
        <v>884</v>
      </c>
      <c r="AO16" s="2">
        <v>884</v>
      </c>
    </row>
  </sheetData>
  <autoFilter ref="A1:AO16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K18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37" width="20.7109375" customWidth="1"/>
  </cols>
  <sheetData>
    <row r="1" spans="1:37" ht="45" customHeight="1">
      <c r="A1" s="1" t="s">
        <v>122</v>
      </c>
      <c r="B1" s="1" t="s">
        <v>123</v>
      </c>
      <c r="C1" s="1" t="s">
        <v>124</v>
      </c>
      <c r="D1" s="1" t="s">
        <v>125</v>
      </c>
      <c r="E1" s="1" t="s">
        <v>126</v>
      </c>
      <c r="F1" s="1" t="s">
        <v>127</v>
      </c>
      <c r="G1" s="1" t="s">
        <v>128</v>
      </c>
      <c r="H1" s="1" t="s">
        <v>129</v>
      </c>
      <c r="I1" s="1" t="s">
        <v>130</v>
      </c>
      <c r="J1" s="1" t="s">
        <v>131</v>
      </c>
      <c r="K1" s="1" t="s">
        <v>132</v>
      </c>
      <c r="L1" s="1" t="s">
        <v>133</v>
      </c>
      <c r="M1" s="1" t="s">
        <v>134</v>
      </c>
      <c r="N1" s="1" t="s">
        <v>135</v>
      </c>
      <c r="O1" s="1" t="s">
        <v>136</v>
      </c>
      <c r="P1" s="1" t="s">
        <v>137</v>
      </c>
      <c r="Q1" s="1" t="s">
        <v>138</v>
      </c>
      <c r="R1" s="1" t="s">
        <v>139</v>
      </c>
      <c r="S1" s="1" t="s">
        <v>140</v>
      </c>
      <c r="T1" s="1" t="s">
        <v>141</v>
      </c>
      <c r="U1" s="1" t="s">
        <v>142</v>
      </c>
      <c r="V1" s="1" t="s">
        <v>143</v>
      </c>
      <c r="W1" s="1" t="s">
        <v>144</v>
      </c>
      <c r="X1" s="1" t="s">
        <v>145</v>
      </c>
      <c r="Y1" s="1" t="s">
        <v>146</v>
      </c>
      <c r="Z1" s="1" t="s">
        <v>147</v>
      </c>
      <c r="AA1" s="1" t="s">
        <v>148</v>
      </c>
      <c r="AB1" s="1" t="s">
        <v>149</v>
      </c>
      <c r="AC1" s="1" t="s">
        <v>150</v>
      </c>
      <c r="AD1" s="1" t="s">
        <v>151</v>
      </c>
      <c r="AE1" s="1" t="s">
        <v>152</v>
      </c>
      <c r="AF1" s="1" t="s">
        <v>153</v>
      </c>
      <c r="AG1" s="1" t="s">
        <v>154</v>
      </c>
      <c r="AH1" s="1" t="s">
        <v>155</v>
      </c>
      <c r="AI1" s="1" t="s">
        <v>156</v>
      </c>
      <c r="AJ1" s="1" t="s">
        <v>157</v>
      </c>
      <c r="AK1" s="1" t="s">
        <v>158</v>
      </c>
    </row>
    <row r="2" spans="1:37">
      <c r="A2" s="2">
        <v>1</v>
      </c>
      <c r="B2" s="2">
        <v>2027</v>
      </c>
      <c r="C2" s="2">
        <v>3</v>
      </c>
      <c r="D2" s="2">
        <v>349990</v>
      </c>
      <c r="E2" s="2">
        <v>1049970</v>
      </c>
      <c r="F2" s="2">
        <f>E2/1.19</f>
        <v>882327.731092437</v>
      </c>
      <c r="G2" s="2">
        <v>10</v>
      </c>
      <c r="H2" s="2">
        <v>811838.6554621849</v>
      </c>
      <c r="I2" s="2">
        <v>17</v>
      </c>
      <c r="J2" s="2">
        <v>1380125.714285714</v>
      </c>
      <c r="K2" s="2">
        <v>243551.5966386555</v>
      </c>
      <c r="L2" s="2">
        <v>89982.62773109245</v>
      </c>
      <c r="M2" s="2">
        <v>1620000</v>
      </c>
      <c r="N2" s="3">
        <v>0</v>
      </c>
      <c r="O2" s="3">
        <v>0</v>
      </c>
      <c r="P2" s="2">
        <v>120000</v>
      </c>
      <c r="Q2" s="2">
        <v>156500</v>
      </c>
      <c r="R2" s="2">
        <v>0</v>
      </c>
      <c r="S2" s="2">
        <v>280000</v>
      </c>
      <c r="T2" s="2">
        <v>500000</v>
      </c>
      <c r="U2" s="2">
        <f>M2+P2+Q2+R2+S2+T2</f>
        <v>2676500.0</v>
      </c>
      <c r="V2" s="2">
        <f>F2-K2-L2-U2</f>
        <v>-2127706.493277311</v>
      </c>
      <c r="W2" s="2">
        <v>294152.5809720744</v>
      </c>
      <c r="X2" s="2">
        <v>139683.6580179526</v>
      </c>
      <c r="Y2" s="2">
        <f>W2+X2</f>
        <v>433836.23899002705</v>
      </c>
      <c r="Z2" s="2">
        <v>30860316.34198205</v>
      </c>
      <c r="AA2" s="2">
        <v>0</v>
      </c>
      <c r="AB2" s="2">
        <v>0</v>
      </c>
      <c r="AC2" s="2">
        <v>0</v>
      </c>
      <c r="AD2" s="2">
        <v>0</v>
      </c>
      <c r="AE2" s="2">
        <v>152539.3445378151</v>
      </c>
      <c r="AF2" s="2">
        <f>F2-H2-L2-U2-AA2-AC2-AD2</f>
        <v>-2695993.5521008405</v>
      </c>
      <c r="AG2" s="2">
        <f>F2-H2-L2-U2-AA2-AB2-AD2-Y2</f>
        <v>-3129829.7910908675</v>
      </c>
      <c r="AH2" s="2">
        <f>28062622.0+AG2</f>
        <v>24932792.20890913</v>
      </c>
      <c r="AI2" s="2">
        <v>10462746.51697008</v>
      </c>
      <c r="AJ2" s="2">
        <f>AH2-AI2</f>
        <v>14470045.69193905</v>
      </c>
      <c r="AK2" s="3">
        <v>0.125</v>
      </c>
    </row>
    <row r="3" spans="1:37">
      <c r="A3" s="2">
        <v>2</v>
      </c>
      <c r="B3" s="2">
        <v>2027</v>
      </c>
      <c r="C3" s="2">
        <v>4</v>
      </c>
      <c r="D3" s="2">
        <v>349990</v>
      </c>
      <c r="E3" s="2">
        <v>1399960</v>
      </c>
      <c r="F3" s="2">
        <f>E3/1.19</f>
        <v>1176436.974789916</v>
      </c>
      <c r="G3" s="2">
        <v>0</v>
      </c>
      <c r="H3" s="2">
        <v>0</v>
      </c>
      <c r="I3" s="2">
        <v>13</v>
      </c>
      <c r="J3" s="2">
        <v>1055390.25210084</v>
      </c>
      <c r="K3" s="2">
        <v>324735.4621848739</v>
      </c>
      <c r="L3" s="2">
        <v>119976.8369747899</v>
      </c>
      <c r="M3" s="2">
        <v>1620000</v>
      </c>
      <c r="N3" s="3">
        <v>0</v>
      </c>
      <c r="O3" s="3">
        <v>0</v>
      </c>
      <c r="P3" s="2">
        <v>120000</v>
      </c>
      <c r="Q3" s="2">
        <v>156500</v>
      </c>
      <c r="R3" s="2">
        <v>0</v>
      </c>
      <c r="S3" s="2">
        <v>280000</v>
      </c>
      <c r="T3" s="2">
        <v>500000</v>
      </c>
      <c r="U3" s="2">
        <f>M3+P3+Q3+R3+S3+T3</f>
        <v>2676500.0</v>
      </c>
      <c r="V3" s="2">
        <f>F3-K3-L3-U3</f>
        <v>-1944775.3243697477</v>
      </c>
      <c r="W3" s="2">
        <v>292827.151664797</v>
      </c>
      <c r="X3" s="2">
        <v>141009.0873252301</v>
      </c>
      <c r="Y3" s="2">
        <f>W3+X3</f>
        <v>433836.23899002705</v>
      </c>
      <c r="Z3" s="2">
        <v>30719307.25465682</v>
      </c>
      <c r="AA3" s="2">
        <v>0</v>
      </c>
      <c r="AB3" s="2">
        <v>0</v>
      </c>
      <c r="AC3" s="2">
        <v>0</v>
      </c>
      <c r="AD3" s="2">
        <v>-152539.3445378151</v>
      </c>
      <c r="AE3" s="2">
        <v>0</v>
      </c>
      <c r="AF3" s="2">
        <f>F3-H3-L3-U3-AA3-AC3-AD3</f>
        <v>-1467500.5176470587</v>
      </c>
      <c r="AG3" s="2">
        <f>F3-H3-L3-U3-AA3-AB3-AD3-Y3</f>
        <v>-1901336.7566370857</v>
      </c>
      <c r="AH3" s="2">
        <f>AH2+AG3</f>
        <v>23031455.452272046</v>
      </c>
      <c r="AI3" s="2">
        <v>10462746.51697008</v>
      </c>
      <c r="AJ3" s="2">
        <f>AH3-AI3</f>
        <v>12568708.935301965</v>
      </c>
      <c r="AK3" s="3">
        <v>0.125</v>
      </c>
    </row>
    <row r="4" spans="1:37">
      <c r="A4" s="2">
        <v>3</v>
      </c>
      <c r="B4" s="2">
        <v>2027</v>
      </c>
      <c r="C4" s="2">
        <v>5</v>
      </c>
      <c r="D4" s="2">
        <v>349990</v>
      </c>
      <c r="E4" s="2">
        <v>1749950</v>
      </c>
      <c r="F4" s="2">
        <f>E4/1.19</f>
        <v>1470546.218487395</v>
      </c>
      <c r="G4" s="2">
        <v>10</v>
      </c>
      <c r="H4" s="2">
        <v>811838.6554621849</v>
      </c>
      <c r="I4" s="2">
        <v>18</v>
      </c>
      <c r="J4" s="2">
        <v>1461309.579831933</v>
      </c>
      <c r="K4" s="2">
        <v>405919.3277310925</v>
      </c>
      <c r="L4" s="2">
        <v>149971.0462184874</v>
      </c>
      <c r="M4" s="2">
        <v>1620000</v>
      </c>
      <c r="N4" s="3">
        <v>0</v>
      </c>
      <c r="O4" s="3">
        <v>0</v>
      </c>
      <c r="P4" s="2">
        <v>120000</v>
      </c>
      <c r="Q4" s="2">
        <v>156500</v>
      </c>
      <c r="R4" s="2">
        <v>0</v>
      </c>
      <c r="S4" s="2">
        <v>280000</v>
      </c>
      <c r="T4" s="2">
        <v>500000</v>
      </c>
      <c r="U4" s="2">
        <f>M4+P4+Q4+R4+S4+T4</f>
        <v>2676500.0</v>
      </c>
      <c r="V4" s="2">
        <f>F4-K4-L4-U4</f>
        <v>-1761844.155462185</v>
      </c>
      <c r="W4" s="2">
        <v>291489.1456332733</v>
      </c>
      <c r="X4" s="2">
        <v>142347.0933567538</v>
      </c>
      <c r="Y4" s="2">
        <f>W4+X4</f>
        <v>433836.23899002705</v>
      </c>
      <c r="Z4" s="2">
        <v>30576960.16130006</v>
      </c>
      <c r="AA4" s="2">
        <v>0</v>
      </c>
      <c r="AB4" s="2">
        <v>0</v>
      </c>
      <c r="AC4" s="2">
        <v>0</v>
      </c>
      <c r="AD4" s="2">
        <v>152539.3445378151</v>
      </c>
      <c r="AE4" s="2">
        <v>152539.3445378151</v>
      </c>
      <c r="AF4" s="2">
        <f>F4-H4-L4-U4-AA4-AC4-AD4</f>
        <v>-2320302.8277310925</v>
      </c>
      <c r="AG4" s="2">
        <f>F4-H4-L4-U4-AA4-AB4-AD4-Y4</f>
        <v>-2754139.0667211195</v>
      </c>
      <c r="AH4" s="2">
        <f>AH3+AG4</f>
        <v>20277316.385550927</v>
      </c>
      <c r="AI4" s="2">
        <v>10462746.51697008</v>
      </c>
      <c r="AJ4" s="2">
        <f>AH4-AI4</f>
        <v>9814569.868580846</v>
      </c>
      <c r="AK4" s="3">
        <v>0.125</v>
      </c>
    </row>
    <row r="5" spans="1:37">
      <c r="A5" s="2">
        <v>4</v>
      </c>
      <c r="B5" s="2">
        <v>2027</v>
      </c>
      <c r="C5" s="2">
        <v>7</v>
      </c>
      <c r="D5" s="2">
        <v>349990</v>
      </c>
      <c r="E5" s="2">
        <v>2449930</v>
      </c>
      <c r="F5" s="2">
        <f>E5/1.19</f>
        <v>2058764.705882353</v>
      </c>
      <c r="G5" s="2">
        <v>10</v>
      </c>
      <c r="H5" s="2">
        <v>811838.6554621849</v>
      </c>
      <c r="I5" s="2">
        <v>21</v>
      </c>
      <c r="J5" s="2">
        <v>1704861.176470588</v>
      </c>
      <c r="K5" s="2">
        <v>568287.0588235294</v>
      </c>
      <c r="L5" s="2">
        <v>209959.4647058824</v>
      </c>
      <c r="M5" s="2">
        <v>1620000</v>
      </c>
      <c r="N5" s="3">
        <v>0</v>
      </c>
      <c r="O5" s="3">
        <v>0</v>
      </c>
      <c r="P5" s="2">
        <v>120000</v>
      </c>
      <c r="Q5" s="2">
        <v>156500</v>
      </c>
      <c r="R5" s="2">
        <v>0</v>
      </c>
      <c r="S5" s="2">
        <v>280000</v>
      </c>
      <c r="T5" s="2">
        <v>500000</v>
      </c>
      <c r="U5" s="2">
        <f>M5+P5+Q5+R5+S5+T5</f>
        <v>2676500.0</v>
      </c>
      <c r="V5" s="2">
        <f>F5-K5-L5-U5</f>
        <v>-1395981.8176470587</v>
      </c>
      <c r="W5" s="2">
        <v>290138.4435395713</v>
      </c>
      <c r="X5" s="2">
        <v>143697.7954504557</v>
      </c>
      <c r="Y5" s="2">
        <f>W5+X5</f>
        <v>433836.23899002705</v>
      </c>
      <c r="Z5" s="2">
        <v>30433262.36584961</v>
      </c>
      <c r="AA5" s="2">
        <v>0</v>
      </c>
      <c r="AB5" s="2">
        <v>0</v>
      </c>
      <c r="AC5" s="2">
        <v>0</v>
      </c>
      <c r="AD5" s="2">
        <v>0</v>
      </c>
      <c r="AE5" s="2">
        <v>152539.3445378151</v>
      </c>
      <c r="AF5" s="2">
        <f>F5-H5-L5-U5-AA5-AC5-AD5</f>
        <v>-1639533.4142857143</v>
      </c>
      <c r="AG5" s="2">
        <f>F5-H5-L5-U5-AA5-AB5-AD5-Y5</f>
        <v>-2073369.6532757413</v>
      </c>
      <c r="AH5" s="2">
        <f>AH4+AG5</f>
        <v>18203946.732275188</v>
      </c>
      <c r="AI5" s="2">
        <v>10462746.51697008</v>
      </c>
      <c r="AJ5" s="2">
        <f>AH5-AI5</f>
        <v>7741200.215305107</v>
      </c>
      <c r="AK5" s="3">
        <v>0.125</v>
      </c>
    </row>
    <row r="6" spans="1:37">
      <c r="A6" s="2">
        <v>5</v>
      </c>
      <c r="B6" s="2">
        <v>2027</v>
      </c>
      <c r="C6" s="2">
        <v>8</v>
      </c>
      <c r="D6" s="2">
        <v>349990</v>
      </c>
      <c r="E6" s="2">
        <v>2799920</v>
      </c>
      <c r="F6" s="2">
        <f>E6/1.19</f>
        <v>2352873.949579832</v>
      </c>
      <c r="G6" s="2">
        <v>10</v>
      </c>
      <c r="H6" s="2">
        <v>811838.6554621849</v>
      </c>
      <c r="I6" s="2">
        <v>23</v>
      </c>
      <c r="J6" s="2">
        <v>1867228.907563025</v>
      </c>
      <c r="K6" s="2">
        <v>649470.924369748</v>
      </c>
      <c r="L6" s="2">
        <v>239953.6739495798</v>
      </c>
      <c r="M6" s="2">
        <v>1620000</v>
      </c>
      <c r="N6" s="3">
        <v>0</v>
      </c>
      <c r="O6" s="3">
        <v>0</v>
      </c>
      <c r="P6" s="2">
        <v>120000</v>
      </c>
      <c r="Q6" s="2">
        <v>156500</v>
      </c>
      <c r="R6" s="2">
        <v>0</v>
      </c>
      <c r="S6" s="2">
        <v>280000</v>
      </c>
      <c r="T6" s="2">
        <v>500000</v>
      </c>
      <c r="U6" s="2">
        <f>M6+P6+Q6+R6+S6+T6</f>
        <v>2676500.0</v>
      </c>
      <c r="V6" s="2">
        <f>F6-K6-L6-U6</f>
        <v>-1213050.6487394958</v>
      </c>
      <c r="W6" s="2">
        <v>288774.9249133859</v>
      </c>
      <c r="X6" s="2">
        <v>145061.3140766412</v>
      </c>
      <c r="Y6" s="2">
        <f>W6+X6</f>
        <v>433836.23899002705</v>
      </c>
      <c r="Z6" s="2">
        <v>30288201.05177297</v>
      </c>
      <c r="AA6" s="2">
        <v>0</v>
      </c>
      <c r="AB6" s="2">
        <v>0</v>
      </c>
      <c r="AC6" s="2">
        <v>0</v>
      </c>
      <c r="AD6" s="2">
        <v>0</v>
      </c>
      <c r="AE6" s="2">
        <v>152539.3445378151</v>
      </c>
      <c r="AF6" s="2">
        <f>F6-H6-L6-U6-AA6-AC6-AD6</f>
        <v>-1375418.3798319325</v>
      </c>
      <c r="AG6" s="2">
        <f>F6-H6-L6-U6-AA6-AB6-AD6-Y6</f>
        <v>-1809254.6188219595</v>
      </c>
      <c r="AH6" s="2">
        <f>AH5+AG6</f>
        <v>16394692.113453228</v>
      </c>
      <c r="AI6" s="2">
        <v>10462746.51697008</v>
      </c>
      <c r="AJ6" s="2">
        <f>AH6-AI6</f>
        <v>5931945.596483147</v>
      </c>
      <c r="AK6" s="3">
        <v>0.125</v>
      </c>
    </row>
    <row r="7" spans="1:37">
      <c r="A7" s="2">
        <v>6</v>
      </c>
      <c r="B7" s="2">
        <v>2027</v>
      </c>
      <c r="C7" s="2">
        <v>9</v>
      </c>
      <c r="D7" s="2">
        <v>349990</v>
      </c>
      <c r="E7" s="2">
        <v>3149910</v>
      </c>
      <c r="F7" s="2">
        <f>E7/1.19</f>
        <v>2646983.193277311</v>
      </c>
      <c r="G7" s="2">
        <v>10</v>
      </c>
      <c r="H7" s="2">
        <v>811838.6554621849</v>
      </c>
      <c r="I7" s="2">
        <v>24</v>
      </c>
      <c r="J7" s="2">
        <v>1948412.773109244</v>
      </c>
      <c r="K7" s="2">
        <v>730654.7899159663</v>
      </c>
      <c r="L7" s="2">
        <v>269947.8831932773</v>
      </c>
      <c r="M7" s="2">
        <v>1620000</v>
      </c>
      <c r="N7" s="3">
        <v>0</v>
      </c>
      <c r="O7" s="3">
        <v>0</v>
      </c>
      <c r="P7" s="2">
        <v>120000</v>
      </c>
      <c r="Q7" s="2">
        <v>156500</v>
      </c>
      <c r="R7" s="2">
        <v>0</v>
      </c>
      <c r="S7" s="2">
        <v>280000</v>
      </c>
      <c r="T7" s="2">
        <v>500000</v>
      </c>
      <c r="U7" s="2">
        <f>M7+P7+Q7+R7+S7+T7</f>
        <v>2676500.0</v>
      </c>
      <c r="V7" s="2">
        <f>F7-K7-L7-U7</f>
        <v>-1030119.4798319326</v>
      </c>
      <c r="W7" s="2">
        <v>287398.4681412941</v>
      </c>
      <c r="X7" s="2">
        <v>146437.770848733</v>
      </c>
      <c r="Y7" s="2">
        <f>W7+X7</f>
        <v>433836.23899002705</v>
      </c>
      <c r="Z7" s="2">
        <v>30141763.28092423</v>
      </c>
      <c r="AA7" s="2">
        <v>0</v>
      </c>
      <c r="AB7" s="2">
        <v>0</v>
      </c>
      <c r="AC7" s="2">
        <v>0</v>
      </c>
      <c r="AD7" s="2">
        <v>0</v>
      </c>
      <c r="AE7" s="2">
        <v>152539.3445378151</v>
      </c>
      <c r="AF7" s="2">
        <f>F7-H7-L7-U7-AA7-AC7-AD7</f>
        <v>-1111303.3453781512</v>
      </c>
      <c r="AG7" s="2">
        <f>F7-H7-L7-U7-AA7-AB7-AD7-Y7</f>
        <v>-1545139.5843681782</v>
      </c>
      <c r="AH7" s="2">
        <f>AH6+AG7</f>
        <v>14849552.52908505</v>
      </c>
      <c r="AI7" s="2">
        <v>10462746.51697008</v>
      </c>
      <c r="AJ7" s="2">
        <f>AH7-AI7</f>
        <v>4386806.012114968</v>
      </c>
      <c r="AK7" s="3">
        <v>0.125</v>
      </c>
    </row>
    <row r="8" spans="1:37">
      <c r="A8" s="2">
        <v>7</v>
      </c>
      <c r="B8" s="2">
        <v>2027</v>
      </c>
      <c r="C8" s="2">
        <v>10</v>
      </c>
      <c r="D8" s="2">
        <v>349990</v>
      </c>
      <c r="E8" s="2">
        <v>3499900</v>
      </c>
      <c r="F8" s="2">
        <f>E8/1.19</f>
        <v>2941092.43697479</v>
      </c>
      <c r="G8" s="2">
        <v>20</v>
      </c>
      <c r="H8" s="2">
        <v>1623677.31092437</v>
      </c>
      <c r="I8" s="2">
        <v>34</v>
      </c>
      <c r="J8" s="2">
        <v>2760251.428571429</v>
      </c>
      <c r="K8" s="2">
        <v>811838.6554621849</v>
      </c>
      <c r="L8" s="2">
        <v>299942.0924369748</v>
      </c>
      <c r="M8" s="2">
        <v>1620000</v>
      </c>
      <c r="N8" s="3">
        <v>0</v>
      </c>
      <c r="O8" s="3">
        <v>0</v>
      </c>
      <c r="P8" s="2">
        <v>120000</v>
      </c>
      <c r="Q8" s="2">
        <v>156500</v>
      </c>
      <c r="R8" s="2">
        <v>0</v>
      </c>
      <c r="S8" s="2">
        <v>280000</v>
      </c>
      <c r="T8" s="2">
        <v>500000</v>
      </c>
      <c r="U8" s="2">
        <f>M8+P8+Q8+R8+S8+T8</f>
        <v>2676500.0</v>
      </c>
      <c r="V8" s="2">
        <f>F8-K8-L8-U8</f>
        <v>-847188.3109243698</v>
      </c>
      <c r="W8" s="2">
        <v>286008.9504559085</v>
      </c>
      <c r="X8" s="2">
        <v>147827.2885341185</v>
      </c>
      <c r="Y8" s="2">
        <f>W8+X8</f>
        <v>433836.23899002705</v>
      </c>
      <c r="Z8" s="2">
        <v>29993935.99239011</v>
      </c>
      <c r="AA8" s="2">
        <v>0</v>
      </c>
      <c r="AB8" s="2">
        <v>0</v>
      </c>
      <c r="AC8" s="2">
        <v>0</v>
      </c>
      <c r="AD8" s="2">
        <v>152539.3445378151</v>
      </c>
      <c r="AE8" s="2">
        <v>305078.6890756303</v>
      </c>
      <c r="AF8" s="2">
        <f>F8-H8-L8-U8-AA8-AC8-AD8</f>
        <v>-1811566.3109243698</v>
      </c>
      <c r="AG8" s="2">
        <f>F8-H8-L8-U8-AA8-AB8-AD8-Y8</f>
        <v>-2245402.549914397</v>
      </c>
      <c r="AH8" s="2">
        <f>AH7+AG8</f>
        <v>12604149.979170652</v>
      </c>
      <c r="AI8" s="2">
        <v>10462746.51697008</v>
      </c>
      <c r="AJ8" s="2">
        <f>AH8-AI8</f>
        <v>2141403.462200571</v>
      </c>
      <c r="AK8" s="3">
        <v>0.125</v>
      </c>
    </row>
    <row r="9" spans="1:37">
      <c r="A9" s="2">
        <v>8</v>
      </c>
      <c r="B9" s="2">
        <v>2027</v>
      </c>
      <c r="C9" s="2">
        <v>13</v>
      </c>
      <c r="D9" s="2">
        <v>349990</v>
      </c>
      <c r="E9" s="2">
        <v>4549870</v>
      </c>
      <c r="F9" s="2">
        <f>E9/1.19</f>
        <v>3823420.168067227</v>
      </c>
      <c r="G9" s="2">
        <v>10</v>
      </c>
      <c r="H9" s="2">
        <v>811838.6554621849</v>
      </c>
      <c r="I9" s="2">
        <v>31</v>
      </c>
      <c r="J9" s="2">
        <v>2516699.831932774</v>
      </c>
      <c r="K9" s="2">
        <v>1055390.25210084</v>
      </c>
      <c r="L9" s="2">
        <v>389924.7201680673</v>
      </c>
      <c r="M9" s="2">
        <v>1620000</v>
      </c>
      <c r="N9" s="3">
        <v>0</v>
      </c>
      <c r="O9" s="3">
        <v>0</v>
      </c>
      <c r="P9" s="2">
        <v>120000</v>
      </c>
      <c r="Q9" s="2">
        <v>156500</v>
      </c>
      <c r="R9" s="2">
        <v>0</v>
      </c>
      <c r="S9" s="2">
        <v>280000</v>
      </c>
      <c r="T9" s="2">
        <v>500000</v>
      </c>
      <c r="U9" s="2">
        <f>M9+P9+Q9+R9+S9+T9</f>
        <v>2676500.0</v>
      </c>
      <c r="V9" s="2">
        <f>F9-K9-L9-U9</f>
        <v>-298394.80420168024</v>
      </c>
      <c r="W9" s="2">
        <v>284606.2479249274</v>
      </c>
      <c r="X9" s="2">
        <v>149229.9910650996</v>
      </c>
      <c r="Y9" s="2">
        <f>W9+X9</f>
        <v>433836.23899002705</v>
      </c>
      <c r="Z9" s="2">
        <v>29844706.00132501</v>
      </c>
      <c r="AA9" s="2">
        <v>0</v>
      </c>
      <c r="AB9" s="2">
        <v>0</v>
      </c>
      <c r="AC9" s="2">
        <v>0</v>
      </c>
      <c r="AD9" s="2">
        <v>-152539.3445378151</v>
      </c>
      <c r="AE9" s="2">
        <v>152539.3445378151</v>
      </c>
      <c r="AF9" s="2">
        <f>F9-H9-L9-U9-AA9-AC9-AD9</f>
        <v>97696.13697479019</v>
      </c>
      <c r="AG9" s="2">
        <f>F9-H9-L9-U9-AA9-AB9-AD9-Y9</f>
        <v>-336140.10201523686</v>
      </c>
      <c r="AH9" s="2">
        <f>AH8+AG9</f>
        <v>12268009.877155416</v>
      </c>
      <c r="AI9" s="2">
        <v>10462746.51697008</v>
      </c>
      <c r="AJ9" s="2">
        <f>AH9-AI9</f>
        <v>1805263.3601853345</v>
      </c>
      <c r="AK9" s="3">
        <v>0.125</v>
      </c>
    </row>
    <row r="10" spans="1:37">
      <c r="A10" s="2">
        <v>9</v>
      </c>
      <c r="B10" s="2">
        <v>2027</v>
      </c>
      <c r="C10" s="2">
        <v>14</v>
      </c>
      <c r="D10" s="2">
        <v>349990</v>
      </c>
      <c r="E10" s="2">
        <v>4899860</v>
      </c>
      <c r="F10" s="2">
        <f>E10/1.19</f>
        <v>4117529.411764706</v>
      </c>
      <c r="G10" s="2">
        <v>20</v>
      </c>
      <c r="H10" s="2">
        <v>1623677.31092437</v>
      </c>
      <c r="I10" s="2">
        <v>37</v>
      </c>
      <c r="J10" s="2">
        <v>3003803.025210084</v>
      </c>
      <c r="K10" s="2">
        <v>1136574.117647059</v>
      </c>
      <c r="L10" s="2">
        <v>419918.9294117647</v>
      </c>
      <c r="M10" s="2">
        <v>1620000</v>
      </c>
      <c r="N10" s="3">
        <v>0</v>
      </c>
      <c r="O10" s="3">
        <v>0</v>
      </c>
      <c r="P10" s="2">
        <v>120000</v>
      </c>
      <c r="Q10" s="2">
        <v>156500</v>
      </c>
      <c r="R10" s="2">
        <v>0</v>
      </c>
      <c r="S10" s="2">
        <v>280000</v>
      </c>
      <c r="T10" s="2">
        <v>500000</v>
      </c>
      <c r="U10" s="2">
        <f>M10+P10+Q10+R10+S10+T10</f>
        <v>2676500.0</v>
      </c>
      <c r="V10" s="2">
        <f>F10-K10-L10-U10</f>
        <v>-115463.6352941175</v>
      </c>
      <c r="W10" s="2">
        <v>283190.235440081</v>
      </c>
      <c r="X10" s="2">
        <v>150646.003549946</v>
      </c>
      <c r="Y10" s="2">
        <f>W10+X10</f>
        <v>433836.23899002705</v>
      </c>
      <c r="Z10" s="2">
        <v>29694059.99777507</v>
      </c>
      <c r="AA10" s="2">
        <v>0</v>
      </c>
      <c r="AB10" s="2">
        <v>0</v>
      </c>
      <c r="AC10" s="2">
        <v>0</v>
      </c>
      <c r="AD10" s="2">
        <v>152539.3445378151</v>
      </c>
      <c r="AE10" s="2">
        <v>305078.6890756303</v>
      </c>
      <c r="AF10" s="2">
        <f>F10-H10-L10-U10-AA10-AC10-AD10</f>
        <v>-755106.1731092436</v>
      </c>
      <c r="AG10" s="2">
        <f>F10-H10-L10-U10-AA10-AB10-AD10-Y10</f>
        <v>-1188942.4120992706</v>
      </c>
      <c r="AH10" s="2">
        <f>AH9+AG10</f>
        <v>11079067.465056146</v>
      </c>
      <c r="AI10" s="2">
        <v>10462746.51697008</v>
      </c>
      <c r="AJ10" s="2">
        <f>AH10-AI10</f>
        <v>616320.9480860643</v>
      </c>
      <c r="AK10" s="3">
        <v>0.125</v>
      </c>
    </row>
    <row r="11" spans="1:37">
      <c r="A11" s="2">
        <v>10</v>
      </c>
      <c r="B11" s="2">
        <v>2027</v>
      </c>
      <c r="C11" s="2">
        <v>17</v>
      </c>
      <c r="D11" s="2">
        <v>349990</v>
      </c>
      <c r="E11" s="2">
        <v>5949830</v>
      </c>
      <c r="F11" s="2">
        <f>E11/1.19</f>
        <v>4999857.142857143</v>
      </c>
      <c r="G11" s="2">
        <v>20</v>
      </c>
      <c r="H11" s="2">
        <v>1623677.31092437</v>
      </c>
      <c r="I11" s="2">
        <v>40</v>
      </c>
      <c r="J11" s="2">
        <v>3247354.62184874</v>
      </c>
      <c r="K11" s="2">
        <v>1380125.714285715</v>
      </c>
      <c r="L11" s="2">
        <v>509901.5571428572</v>
      </c>
      <c r="M11" s="2">
        <v>1620000</v>
      </c>
      <c r="N11" s="3">
        <v>0</v>
      </c>
      <c r="O11" s="3">
        <v>0</v>
      </c>
      <c r="P11" s="2">
        <v>120000</v>
      </c>
      <c r="Q11" s="2">
        <v>156500</v>
      </c>
      <c r="R11" s="2">
        <v>0</v>
      </c>
      <c r="S11" s="2">
        <v>280000</v>
      </c>
      <c r="T11" s="2">
        <v>500000</v>
      </c>
      <c r="U11" s="2">
        <f>M11+P11+Q11+R11+S11+T11</f>
        <v>2676500.0</v>
      </c>
      <c r="V11" s="2">
        <f>F11-K11-L11-U11</f>
        <v>433329.8714285712</v>
      </c>
      <c r="W11" s="2">
        <v>281760.7867059732</v>
      </c>
      <c r="X11" s="2">
        <v>152075.4522840539</v>
      </c>
      <c r="Y11" s="2">
        <f>W11+X11</f>
        <v>433836.23899002705</v>
      </c>
      <c r="Z11" s="2">
        <v>29541984.54549102</v>
      </c>
      <c r="AA11" s="2">
        <v>0</v>
      </c>
      <c r="AB11" s="2">
        <v>0</v>
      </c>
      <c r="AC11" s="2">
        <v>0</v>
      </c>
      <c r="AD11" s="2">
        <v>0</v>
      </c>
      <c r="AE11" s="2">
        <v>305078.6890756303</v>
      </c>
      <c r="AF11" s="2">
        <f>F11-H11-L11-U11-AA11-AC11-AD11</f>
        <v>189778.2747899159</v>
      </c>
      <c r="AG11" s="2">
        <f>F11-H11-L11-U11-AA11-AB11-AD11-Y11</f>
        <v>-244057.96420011116</v>
      </c>
      <c r="AH11" s="2">
        <f>AH10+AG11</f>
        <v>10835009.500856034</v>
      </c>
      <c r="AI11" s="2">
        <v>10462746.51697008</v>
      </c>
      <c r="AJ11" s="2">
        <f>AH11-AI11</f>
        <v>372262.9838859532</v>
      </c>
      <c r="AK11" s="3">
        <v>0.125</v>
      </c>
    </row>
    <row r="12" spans="1:37">
      <c r="A12" s="2">
        <v>11</v>
      </c>
      <c r="B12" s="2">
        <v>2027</v>
      </c>
      <c r="C12" s="2">
        <v>18</v>
      </c>
      <c r="D12" s="2">
        <v>349990</v>
      </c>
      <c r="E12" s="2">
        <v>6299820</v>
      </c>
      <c r="F12" s="2">
        <f>E12/1.19</f>
        <v>5293966.386554622</v>
      </c>
      <c r="G12" s="2">
        <v>10</v>
      </c>
      <c r="H12" s="2">
        <v>811838.6554621849</v>
      </c>
      <c r="I12" s="2">
        <v>32</v>
      </c>
      <c r="J12" s="2">
        <v>2597883.697478992</v>
      </c>
      <c r="K12" s="2">
        <v>1461309.579831933</v>
      </c>
      <c r="L12" s="2">
        <v>539895.7663865546</v>
      </c>
      <c r="M12" s="2">
        <v>1620000</v>
      </c>
      <c r="N12" s="3">
        <v>0</v>
      </c>
      <c r="O12" s="3">
        <v>0</v>
      </c>
      <c r="P12" s="2">
        <v>120000</v>
      </c>
      <c r="Q12" s="2">
        <v>156500</v>
      </c>
      <c r="R12" s="2">
        <v>0</v>
      </c>
      <c r="S12" s="2">
        <v>280000</v>
      </c>
      <c r="T12" s="2">
        <v>500000</v>
      </c>
      <c r="U12" s="2">
        <f>M12+P12+Q12+R12+S12+T12</f>
        <v>2676500.0</v>
      </c>
      <c r="V12" s="2">
        <f>F12-K12-L12-U12</f>
        <v>616261.0403361348</v>
      </c>
      <c r="W12" s="2">
        <v>280317.7742288167</v>
      </c>
      <c r="X12" s="2">
        <v>153518.4647612104</v>
      </c>
      <c r="Y12" s="2">
        <f>W12+X12</f>
        <v>433836.23899002705</v>
      </c>
      <c r="Z12" s="2">
        <v>29388466.08072981</v>
      </c>
      <c r="AA12" s="2">
        <v>0</v>
      </c>
      <c r="AB12" s="2">
        <v>0</v>
      </c>
      <c r="AC12" s="2">
        <v>0</v>
      </c>
      <c r="AD12" s="2">
        <v>-152539.3445378151</v>
      </c>
      <c r="AE12" s="2">
        <v>152539.3445378151</v>
      </c>
      <c r="AF12" s="2">
        <f>F12-H12-L12-U12-AA12-AC12-AD12</f>
        <v>1418271.3092436977</v>
      </c>
      <c r="AG12" s="2">
        <f>F12-H12-L12-U12-AA12-AB12-AD12-Y12</f>
        <v>984435.0702536707</v>
      </c>
      <c r="AH12" s="2">
        <f>AH11+AG12</f>
        <v>11819444.571109705</v>
      </c>
      <c r="AI12" s="2">
        <v>10462746.51697008</v>
      </c>
      <c r="AJ12" s="2">
        <f>AH12-AI12</f>
        <v>1356698.0541396234</v>
      </c>
      <c r="AK12" s="3">
        <v>0.125</v>
      </c>
    </row>
    <row r="13" spans="1:37">
      <c r="A13" s="2">
        <v>12</v>
      </c>
      <c r="B13" s="2">
        <v>2027</v>
      </c>
      <c r="C13" s="2">
        <v>22</v>
      </c>
      <c r="D13" s="2">
        <v>349990</v>
      </c>
      <c r="E13" s="2">
        <v>7699780</v>
      </c>
      <c r="F13" s="2">
        <f>E13/1.19</f>
        <v>6470403.361344538</v>
      </c>
      <c r="G13" s="2">
        <v>10</v>
      </c>
      <c r="H13" s="2">
        <v>811838.6554621849</v>
      </c>
      <c r="I13" s="2">
        <v>20</v>
      </c>
      <c r="J13" s="2">
        <v>1623677.31092437</v>
      </c>
      <c r="K13" s="2">
        <v>1786045.042016807</v>
      </c>
      <c r="L13" s="2">
        <v>659872.6033613445</v>
      </c>
      <c r="M13" s="2">
        <v>1620000</v>
      </c>
      <c r="N13" s="3">
        <v>0</v>
      </c>
      <c r="O13" s="3">
        <v>0</v>
      </c>
      <c r="P13" s="2">
        <v>120000</v>
      </c>
      <c r="Q13" s="2">
        <v>156500</v>
      </c>
      <c r="R13" s="2">
        <v>0</v>
      </c>
      <c r="S13" s="2">
        <v>280000</v>
      </c>
      <c r="T13" s="2">
        <v>500000</v>
      </c>
      <c r="U13" s="2">
        <f>M13+P13+Q13+R13+S13+T13</f>
        <v>2676500.0</v>
      </c>
      <c r="V13" s="2">
        <f>F13-K13-L13-U13</f>
        <v>1347985.7159663863</v>
      </c>
      <c r="W13" s="2">
        <v>278861.0693050625</v>
      </c>
      <c r="X13" s="2">
        <v>154975.1696849645</v>
      </c>
      <c r="Y13" s="2">
        <f>W13+X13</f>
        <v>433836.23899002705</v>
      </c>
      <c r="Z13" s="2">
        <v>29233490.91104484</v>
      </c>
      <c r="AA13" s="2">
        <v>0</v>
      </c>
      <c r="AB13" s="2">
        <v>0</v>
      </c>
      <c r="AC13" s="2">
        <v>0</v>
      </c>
      <c r="AD13" s="2">
        <v>0</v>
      </c>
      <c r="AE13" s="2">
        <v>152539.3445378151</v>
      </c>
      <c r="AF13" s="2">
        <f>F13-H13-L13-U13-AA13-AC13-AD13</f>
        <v>2322192.102521008</v>
      </c>
      <c r="AG13" s="2">
        <f>F13-H13-L13-U13-AA13-AB13-AD13-Y13</f>
        <v>1888355.863530981</v>
      </c>
      <c r="AH13" s="2">
        <f>AH12+AG13</f>
        <v>13707800.434640685</v>
      </c>
      <c r="AI13" s="2">
        <v>10462746.51697008</v>
      </c>
      <c r="AJ13" s="2">
        <f>AH13-AI13</f>
        <v>3245053.917670604</v>
      </c>
      <c r="AK13" s="3">
        <v>0.125</v>
      </c>
    </row>
    <row r="14" spans="1:37">
      <c r="A14" s="2">
        <v>13</v>
      </c>
      <c r="B14" s="2">
        <v>2028</v>
      </c>
      <c r="C14" s="2">
        <v>4</v>
      </c>
      <c r="D14" s="2">
        <v>360489.7</v>
      </c>
      <c r="E14" s="2">
        <v>1441958.8</v>
      </c>
      <c r="F14" s="2">
        <f>E14/1.19</f>
        <v>1211730.0840336136</v>
      </c>
      <c r="G14" s="2">
        <v>0</v>
      </c>
      <c r="H14" s="2">
        <v>0</v>
      </c>
      <c r="I14" s="2">
        <v>16</v>
      </c>
      <c r="J14" s="2">
        <v>1298941.848739496</v>
      </c>
      <c r="K14" s="2">
        <v>324735.462184874</v>
      </c>
      <c r="L14" s="2">
        <v>122796.7769747899</v>
      </c>
      <c r="M14" s="2">
        <v>2398612.5</v>
      </c>
      <c r="N14" s="3">
        <v>0.5</v>
      </c>
      <c r="O14" s="3">
        <v>0</v>
      </c>
      <c r="P14" s="2">
        <v>133900</v>
      </c>
      <c r="Q14" s="2">
        <v>179632</v>
      </c>
      <c r="R14" s="2">
        <v>0</v>
      </c>
      <c r="S14" s="2">
        <v>288400</v>
      </c>
      <c r="T14" s="2">
        <v>901250</v>
      </c>
      <c r="U14" s="2">
        <f>M14+P14+Q14+R14+S14+T14</f>
        <v>3901794.5</v>
      </c>
      <c r="V14" s="2">
        <f>F14-K14-L14-U14</f>
        <v>-3137596.65512605</v>
      </c>
      <c r="W14" s="2">
        <v>277390.54200992</v>
      </c>
      <c r="X14" s="2">
        <v>156445.6969801071</v>
      </c>
      <c r="Y14" s="2">
        <f>W14+X14</f>
        <v>433836.23899002705</v>
      </c>
      <c r="Z14" s="2">
        <v>29077045.21406474</v>
      </c>
      <c r="AA14" s="2">
        <v>0</v>
      </c>
      <c r="AB14" s="2">
        <v>0</v>
      </c>
      <c r="AC14" s="2">
        <v>0</v>
      </c>
      <c r="AD14" s="2">
        <v>-152539.3445378151</v>
      </c>
      <c r="AE14" s="2">
        <v>0</v>
      </c>
      <c r="AF14" s="2">
        <f>F14-H14-L14-U14-AA14-AC14-AD14</f>
        <v>-2660321.848403361</v>
      </c>
      <c r="AG14" s="2">
        <f>F14-H14-L14-U14-AA14-AB14-AD14-Y14</f>
        <v>-3094158.087393388</v>
      </c>
      <c r="AH14" s="2">
        <f>AH13+AG14</f>
        <v>10613642.347247297</v>
      </c>
      <c r="AI14" s="2">
        <v>14138630.01697008</v>
      </c>
      <c r="AJ14" s="2">
        <f>AH14-AI14</f>
        <v>-3524987.669722786</v>
      </c>
      <c r="AK14" s="3">
        <v>0.15</v>
      </c>
    </row>
    <row r="15" spans="1:37">
      <c r="A15" s="2">
        <v>14</v>
      </c>
      <c r="B15" s="2">
        <v>2028</v>
      </c>
      <c r="C15" s="2">
        <v>7</v>
      </c>
      <c r="D15" s="2">
        <v>360489.7</v>
      </c>
      <c r="E15" s="2">
        <v>2523427.9</v>
      </c>
      <c r="F15" s="2">
        <f>E15/1.19</f>
        <v>2120527.6470588236</v>
      </c>
      <c r="G15" s="2">
        <v>20</v>
      </c>
      <c r="H15" s="2">
        <v>1672387.630252101</v>
      </c>
      <c r="I15" s="2">
        <v>29</v>
      </c>
      <c r="J15" s="2">
        <v>2393570.969187675</v>
      </c>
      <c r="K15" s="2">
        <v>577758.5098039217</v>
      </c>
      <c r="L15" s="2">
        <v>215652.0757843137</v>
      </c>
      <c r="M15" s="2">
        <v>2398612.5</v>
      </c>
      <c r="N15" s="3">
        <v>0.5</v>
      </c>
      <c r="O15" s="3">
        <v>0</v>
      </c>
      <c r="P15" s="2">
        <v>133900</v>
      </c>
      <c r="Q15" s="2">
        <v>179632</v>
      </c>
      <c r="R15" s="2">
        <v>0</v>
      </c>
      <c r="S15" s="2">
        <v>288400</v>
      </c>
      <c r="T15" s="2">
        <v>901250</v>
      </c>
      <c r="U15" s="2">
        <f>M15+P15+Q15+R15+S15+T15</f>
        <v>3901794.5</v>
      </c>
      <c r="V15" s="2">
        <f>F15-K15-L15-U15</f>
        <v>-2574677.438529412</v>
      </c>
      <c r="W15" s="2">
        <v>275906.0611857692</v>
      </c>
      <c r="X15" s="2">
        <v>157930.1778042578</v>
      </c>
      <c r="Y15" s="2">
        <f>W15+X15</f>
        <v>433836.23899002705</v>
      </c>
      <c r="Z15" s="2">
        <v>28919115.03626048</v>
      </c>
      <c r="AA15" s="2">
        <v>0</v>
      </c>
      <c r="AB15" s="2">
        <v>0</v>
      </c>
      <c r="AC15" s="2">
        <v>0</v>
      </c>
      <c r="AD15" s="2">
        <v>314231.0497478992</v>
      </c>
      <c r="AE15" s="2">
        <v>314231.0497478992</v>
      </c>
      <c r="AF15" s="2">
        <f>F15-H15-L15-U15-AA15-AC15-AD15</f>
        <v>-3983537.60872549</v>
      </c>
      <c r="AG15" s="2">
        <f>F15-H15-L15-U15-AA15-AB15-AD15-Y15</f>
        <v>-4417373.8477155175</v>
      </c>
      <c r="AH15" s="2">
        <f>AH14+AG15</f>
        <v>6196268.499531779</v>
      </c>
      <c r="AI15" s="2">
        <v>14138630.01697008</v>
      </c>
      <c r="AJ15" s="2">
        <f>AH15-AI15</f>
        <v>-7942361.517438304</v>
      </c>
      <c r="AK15" s="3">
        <v>0.15</v>
      </c>
    </row>
    <row r="16" spans="1:37">
      <c r="A16" s="2">
        <v>15</v>
      </c>
      <c r="B16" s="2">
        <v>2028</v>
      </c>
      <c r="C16" s="2">
        <v>9</v>
      </c>
      <c r="D16" s="2">
        <v>360489.7</v>
      </c>
      <c r="E16" s="2">
        <v>3244407.3</v>
      </c>
      <c r="F16" s="2">
        <f>E16/1.19</f>
        <v>2726392.6890756306</v>
      </c>
      <c r="G16" s="2">
        <v>10</v>
      </c>
      <c r="H16" s="2">
        <v>836193.8151260505</v>
      </c>
      <c r="I16" s="2">
        <v>30</v>
      </c>
      <c r="J16" s="2">
        <v>2484434.449472097</v>
      </c>
      <c r="K16" s="2">
        <v>745330.334841629</v>
      </c>
      <c r="L16" s="2">
        <v>277466.7917873304</v>
      </c>
      <c r="M16" s="2">
        <v>2398612.5</v>
      </c>
      <c r="N16" s="3">
        <v>0.5</v>
      </c>
      <c r="O16" s="3">
        <v>0</v>
      </c>
      <c r="P16" s="2">
        <v>133900</v>
      </c>
      <c r="Q16" s="2">
        <v>179632</v>
      </c>
      <c r="R16" s="2">
        <v>0</v>
      </c>
      <c r="S16" s="2">
        <v>288400</v>
      </c>
      <c r="T16" s="2">
        <v>901250</v>
      </c>
      <c r="U16" s="2">
        <f>M16+P16+Q16+R16+S16+T16</f>
        <v>3901794.5</v>
      </c>
      <c r="V16" s="2">
        <f>F16-K16-L16-U16</f>
        <v>-2198198.9375533285</v>
      </c>
      <c r="W16" s="2">
        <v>274407.4944304628</v>
      </c>
      <c r="X16" s="2">
        <v>159428.7445595643</v>
      </c>
      <c r="Y16" s="2">
        <f>W16+X16</f>
        <v>433836.23899002705</v>
      </c>
      <c r="Z16" s="2">
        <v>28759686.29170091</v>
      </c>
      <c r="AA16" s="2">
        <v>0</v>
      </c>
      <c r="AB16" s="2">
        <v>0</v>
      </c>
      <c r="AC16" s="2">
        <v>0</v>
      </c>
      <c r="AD16" s="2">
        <v>-157115.5248739496</v>
      </c>
      <c r="AE16" s="2">
        <v>157115.5248739496</v>
      </c>
      <c r="AF16" s="2">
        <f>F16-H16-L16-U16-AA16-AC16-AD16</f>
        <v>-2131946.8929638006</v>
      </c>
      <c r="AG16" s="2">
        <f>F16-H16-L16-U16-AA16-AB16-AD16-Y16</f>
        <v>-2565783.1319538276</v>
      </c>
      <c r="AH16" s="2">
        <f>AH15+AG16</f>
        <v>3630485.367577952</v>
      </c>
      <c r="AI16" s="2">
        <v>14138630.01697008</v>
      </c>
      <c r="AJ16" s="2">
        <f>AH16-AI16</f>
        <v>-10508144.649392132</v>
      </c>
      <c r="AK16" s="3">
        <v>0.15</v>
      </c>
    </row>
    <row r="17" spans="1:37">
      <c r="A17" s="2">
        <v>16</v>
      </c>
      <c r="B17" s="2">
        <v>2028</v>
      </c>
      <c r="C17" s="2">
        <v>11</v>
      </c>
      <c r="D17" s="2">
        <v>360489.7</v>
      </c>
      <c r="E17" s="2">
        <v>3965386.7</v>
      </c>
      <c r="F17" s="2">
        <f>E17/1.19</f>
        <v>3332257.731092437</v>
      </c>
      <c r="G17" s="2">
        <v>20</v>
      </c>
      <c r="H17" s="2">
        <v>1672387.630252101</v>
      </c>
      <c r="I17" s="2">
        <v>39</v>
      </c>
      <c r="J17" s="2">
        <v>3242321.222184874</v>
      </c>
      <c r="K17" s="2">
        <v>914500.8575393235</v>
      </c>
      <c r="L17" s="2">
        <v>339409.4036031459</v>
      </c>
      <c r="M17" s="2">
        <v>2398612.5</v>
      </c>
      <c r="N17" s="3">
        <v>0.5</v>
      </c>
      <c r="O17" s="3">
        <v>0</v>
      </c>
      <c r="P17" s="2">
        <v>133900</v>
      </c>
      <c r="Q17" s="2">
        <v>179632</v>
      </c>
      <c r="R17" s="2">
        <v>0</v>
      </c>
      <c r="S17" s="2">
        <v>288400</v>
      </c>
      <c r="T17" s="2">
        <v>901250</v>
      </c>
      <c r="U17" s="2">
        <f>M17+P17+Q17+R17+S17+T17</f>
        <v>3901794.5</v>
      </c>
      <c r="V17" s="2">
        <f>F17-K17-L17-U17</f>
        <v>-1823447.0300500323</v>
      </c>
      <c r="W17" s="2">
        <v>272894.7080855165</v>
      </c>
      <c r="X17" s="2">
        <v>160941.5309045105</v>
      </c>
      <c r="Y17" s="2">
        <f>W17+X17</f>
        <v>433836.23899002705</v>
      </c>
      <c r="Z17" s="2">
        <v>28598744.76079641</v>
      </c>
      <c r="AA17" s="2">
        <v>0</v>
      </c>
      <c r="AB17" s="2">
        <v>0</v>
      </c>
      <c r="AC17" s="2">
        <v>0</v>
      </c>
      <c r="AD17" s="2">
        <v>157115.5248739496</v>
      </c>
      <c r="AE17" s="2">
        <v>314231.0497478992</v>
      </c>
      <c r="AF17" s="2">
        <f>F17-H17-L17-U17-AA17-AC17-AD17</f>
        <v>-2738449.3276367593</v>
      </c>
      <c r="AG17" s="2">
        <f>F17-H17-L17-U17-AA17-AB17-AD17-Y17</f>
        <v>-3172285.5666267863</v>
      </c>
      <c r="AH17" s="2">
        <f>AH16+AG17</f>
        <v>458199.8009511656</v>
      </c>
      <c r="AI17" s="2">
        <v>14138630.01697008</v>
      </c>
      <c r="AJ17" s="2">
        <f>AH17-AI17</f>
        <v>-13680430.216018917</v>
      </c>
      <c r="AK17" s="3">
        <v>0.15</v>
      </c>
    </row>
    <row r="18" spans="1:37">
      <c r="A18" s="2">
        <v>17</v>
      </c>
      <c r="B18" s="2">
        <v>2028</v>
      </c>
      <c r="C18" s="2">
        <v>14</v>
      </c>
      <c r="D18" s="2">
        <v>360489.7</v>
      </c>
      <c r="E18" s="2">
        <v>5046855.8</v>
      </c>
      <c r="F18" s="2">
        <f>E18/1.19</f>
        <v>4241055.294117647</v>
      </c>
      <c r="G18" s="2">
        <v>10</v>
      </c>
      <c r="H18" s="2">
        <v>836193.8151260505</v>
      </c>
      <c r="I18" s="2">
        <v>35</v>
      </c>
      <c r="J18" s="2">
        <v>2913225.026650661</v>
      </c>
      <c r="K18" s="2">
        <v>1165290.010660264</v>
      </c>
      <c r="L18" s="2">
        <v>432085.9908528212</v>
      </c>
      <c r="M18" s="2">
        <v>2398612.5</v>
      </c>
      <c r="N18" s="3">
        <v>0.5</v>
      </c>
      <c r="O18" s="3">
        <v>0</v>
      </c>
      <c r="P18" s="2">
        <v>133900</v>
      </c>
      <c r="Q18" s="2">
        <v>179632</v>
      </c>
      <c r="R18" s="2">
        <v>0</v>
      </c>
      <c r="S18" s="2">
        <v>288400</v>
      </c>
      <c r="T18" s="2">
        <v>901250</v>
      </c>
      <c r="U18" s="2">
        <f>M18+P18+Q18+R18+S18+T18</f>
        <v>3901794.5</v>
      </c>
      <c r="V18" s="2">
        <f>F18-K18-L18-U18</f>
        <v>-1258115.2073954376</v>
      </c>
      <c r="W18" s="2">
        <v>271367.5672241888</v>
      </c>
      <c r="X18" s="2">
        <v>162468.6717658382</v>
      </c>
      <c r="Y18" s="2">
        <f>W18+X18</f>
        <v>433836.23899002705</v>
      </c>
      <c r="Z18" s="2">
        <v>28436276.08903057</v>
      </c>
      <c r="AA18" s="2">
        <v>0</v>
      </c>
      <c r="AB18" s="2">
        <v>0</v>
      </c>
      <c r="AC18" s="2">
        <v>0</v>
      </c>
      <c r="AD18" s="2">
        <v>-157115.5248739496</v>
      </c>
      <c r="AE18" s="2">
        <v>157115.5248739496</v>
      </c>
      <c r="AF18" s="2">
        <f>F18-H18-L18-U18-AA18-AC18-AD18</f>
        <v>-771903.4869872746</v>
      </c>
      <c r="AG18" s="2">
        <f>F18-H18-L18-U18-AA18-AB18-AD18-Y18</f>
        <v>-1205739.7259773016</v>
      </c>
      <c r="AH18" s="2">
        <f>AH17+AG18</f>
        <v>-747539.925026136</v>
      </c>
      <c r="AI18" s="2">
        <v>14138630.01697008</v>
      </c>
      <c r="AJ18" s="2">
        <f>AH18-AI18</f>
        <v>-14886169.941996219</v>
      </c>
      <c r="AK18" s="3">
        <v>0.15</v>
      </c>
    </row>
    <row r="19" spans="1:37">
      <c r="A19" s="2">
        <v>18</v>
      </c>
      <c r="B19" s="2">
        <v>2028</v>
      </c>
      <c r="C19" s="2">
        <v>16</v>
      </c>
      <c r="D19" s="2">
        <v>360489.7</v>
      </c>
      <c r="E19" s="2">
        <v>5767835.2</v>
      </c>
      <c r="F19" s="2">
        <f>E19/1.19</f>
        <v>4846920.336134454</v>
      </c>
      <c r="G19" s="2">
        <v>30</v>
      </c>
      <c r="H19" s="2">
        <v>2508581.445378151</v>
      </c>
      <c r="I19" s="2">
        <v>49</v>
      </c>
      <c r="J19" s="2">
        <v>4087207.955837104</v>
      </c>
      <c r="K19" s="2">
        <v>1334598.516191708</v>
      </c>
      <c r="L19" s="2">
        <v>494039.6412953367</v>
      </c>
      <c r="M19" s="2">
        <v>2398612.5</v>
      </c>
      <c r="N19" s="3">
        <v>0.5</v>
      </c>
      <c r="O19" s="3">
        <v>0</v>
      </c>
      <c r="P19" s="2">
        <v>133900</v>
      </c>
      <c r="Q19" s="2">
        <v>179632</v>
      </c>
      <c r="R19" s="2">
        <v>0</v>
      </c>
      <c r="S19" s="2">
        <v>288400</v>
      </c>
      <c r="T19" s="2">
        <v>901250</v>
      </c>
      <c r="U19" s="2">
        <f>M19+P19+Q19+R19+S19+T19</f>
        <v>3901794.5</v>
      </c>
      <c r="V19" s="2">
        <f>F19-K19-L19-U19</f>
        <v>-883512.3213525903</v>
      </c>
      <c r="W19" s="2">
        <v>269825.9356394461</v>
      </c>
      <c r="X19" s="2">
        <v>164010.303350581</v>
      </c>
      <c r="Y19" s="2">
        <f>W19+X19</f>
        <v>433836.23899002705</v>
      </c>
      <c r="Z19" s="2">
        <v>28272265.78567998</v>
      </c>
      <c r="AA19" s="2">
        <v>0</v>
      </c>
      <c r="AB19" s="2">
        <v>0</v>
      </c>
      <c r="AC19" s="2">
        <v>0</v>
      </c>
      <c r="AD19" s="2">
        <v>314231.0497478992</v>
      </c>
      <c r="AE19" s="2">
        <v>471346.5746218488</v>
      </c>
      <c r="AF19" s="2">
        <f>F19-H19-L19-U19-AA19-AC19-AD19</f>
        <v>-2371726.300286933</v>
      </c>
      <c r="AG19" s="2">
        <f>F19-H19-L19-U19-AA19-AB19-AD19-Y19</f>
        <v>-2805562.53927696</v>
      </c>
      <c r="AH19" s="2">
        <f>AH18+AG19</f>
        <v>-3553102.464303096</v>
      </c>
      <c r="AI19" s="2">
        <v>14138630.01697008</v>
      </c>
      <c r="AJ19" s="2">
        <f>AH19-AI19</f>
        <v>-17691732.481273178</v>
      </c>
      <c r="AK19" s="3">
        <v>0.15</v>
      </c>
    </row>
    <row r="20" spans="1:37">
      <c r="A20" s="2">
        <v>19</v>
      </c>
      <c r="B20" s="2">
        <v>2028</v>
      </c>
      <c r="C20" s="2">
        <v>18</v>
      </c>
      <c r="D20" s="2">
        <v>360489.7</v>
      </c>
      <c r="E20" s="2">
        <v>6488814.600000001</v>
      </c>
      <c r="F20" s="2">
        <f>E20/1.19</f>
        <v>5452785.378151261</v>
      </c>
      <c r="G20" s="2">
        <v>20</v>
      </c>
      <c r="H20" s="2">
        <v>1672387.630252101</v>
      </c>
      <c r="I20" s="2">
        <v>51</v>
      </c>
      <c r="J20" s="2">
        <v>4257092.389718109</v>
      </c>
      <c r="K20" s="2">
        <v>1502503.196371097</v>
      </c>
      <c r="L20" s="2">
        <v>555880.9857096878</v>
      </c>
      <c r="M20" s="2">
        <v>2398612.5</v>
      </c>
      <c r="N20" s="3">
        <v>0.5</v>
      </c>
      <c r="O20" s="3">
        <v>0</v>
      </c>
      <c r="P20" s="2">
        <v>133900</v>
      </c>
      <c r="Q20" s="2">
        <v>179632</v>
      </c>
      <c r="R20" s="2">
        <v>0</v>
      </c>
      <c r="S20" s="2">
        <v>288400</v>
      </c>
      <c r="T20" s="2">
        <v>901250</v>
      </c>
      <c r="U20" s="2">
        <f>M20+P20+Q20+R20+S20+T20</f>
        <v>3901794.5</v>
      </c>
      <c r="V20" s="2">
        <f>F20-K20-L20-U20</f>
        <v>-507393.30392952356</v>
      </c>
      <c r="W20" s="2">
        <v>268269.6758318142</v>
      </c>
      <c r="X20" s="2">
        <v>165566.5631582128</v>
      </c>
      <c r="Y20" s="2">
        <f>W20+X20</f>
        <v>433836.23899002705</v>
      </c>
      <c r="Z20" s="2">
        <v>28106699.22252177</v>
      </c>
      <c r="AA20" s="2">
        <v>0</v>
      </c>
      <c r="AB20" s="2">
        <v>0</v>
      </c>
      <c r="AC20" s="2">
        <v>0</v>
      </c>
      <c r="AD20" s="2">
        <v>-157115.5248739496</v>
      </c>
      <c r="AE20" s="2">
        <v>314231.0497478992</v>
      </c>
      <c r="AF20" s="2">
        <f>F20-H20-L20-U20-AA20-AC20-AD20</f>
        <v>-520162.21293657785</v>
      </c>
      <c r="AG20" s="2">
        <f>F20-H20-L20-U20-AA20-AB20-AD20-Y20</f>
        <v>-953998.4519266048</v>
      </c>
      <c r="AH20" s="2">
        <f>AH19+AG20</f>
        <v>-4507100.916229701</v>
      </c>
      <c r="AI20" s="2">
        <v>14138630.01697008</v>
      </c>
      <c r="AJ20" s="2">
        <f>AH20-AI20</f>
        <v>-18645730.933199786</v>
      </c>
      <c r="AK20" s="3">
        <v>0.15</v>
      </c>
    </row>
    <row r="21" spans="1:37">
      <c r="A21" s="2">
        <v>20</v>
      </c>
      <c r="B21" s="2">
        <v>2028</v>
      </c>
      <c r="C21" s="2">
        <v>23</v>
      </c>
      <c r="D21" s="2">
        <v>360489.7</v>
      </c>
      <c r="E21" s="2">
        <v>8291263.100000001</v>
      </c>
      <c r="F21" s="2">
        <f>E21/1.19</f>
        <v>6967447.983193278</v>
      </c>
      <c r="G21" s="2">
        <v>30</v>
      </c>
      <c r="H21" s="2">
        <v>2508581.445378151</v>
      </c>
      <c r="I21" s="2">
        <v>58</v>
      </c>
      <c r="J21" s="2">
        <v>4844556.573278803</v>
      </c>
      <c r="K21" s="2">
        <v>1921117.261817457</v>
      </c>
      <c r="L21" s="2">
        <v>710392.5359453966</v>
      </c>
      <c r="M21" s="2">
        <v>2398612.5</v>
      </c>
      <c r="N21" s="3">
        <v>0.5</v>
      </c>
      <c r="O21" s="3">
        <v>0</v>
      </c>
      <c r="P21" s="2">
        <v>133900</v>
      </c>
      <c r="Q21" s="2">
        <v>179632</v>
      </c>
      <c r="R21" s="2">
        <v>0</v>
      </c>
      <c r="S21" s="2">
        <v>288400</v>
      </c>
      <c r="T21" s="2">
        <v>901250</v>
      </c>
      <c r="U21" s="2">
        <f>M21+P21+Q21+R21+S21+T21</f>
        <v>3901794.5</v>
      </c>
      <c r="V21" s="2">
        <f>F21-K21-L21-U21</f>
        <v>434143.6854304243</v>
      </c>
      <c r="W21" s="2">
        <v>266698.6489971154</v>
      </c>
      <c r="X21" s="2">
        <v>167137.5899929117</v>
      </c>
      <c r="Y21" s="2">
        <f>W21+X21</f>
        <v>433836.23899002705</v>
      </c>
      <c r="Z21" s="2">
        <v>27939561.63252886</v>
      </c>
      <c r="AA21" s="2">
        <v>0</v>
      </c>
      <c r="AB21" s="2">
        <v>0</v>
      </c>
      <c r="AC21" s="2">
        <v>0</v>
      </c>
      <c r="AD21" s="2">
        <v>157115.5248739496</v>
      </c>
      <c r="AE21" s="2">
        <v>471346.5746218488</v>
      </c>
      <c r="AF21" s="2">
        <f>F21-H21-L21-U21-AA21-AC21-AD21</f>
        <v>-310436.02300421894</v>
      </c>
      <c r="AG21" s="2">
        <f>F21-H21-L21-U21-AA21-AB21-AD21-Y21</f>
        <v>-744272.2619942459</v>
      </c>
      <c r="AH21" s="2">
        <f>AH20+AG21</f>
        <v>-5251373.178223947</v>
      </c>
      <c r="AI21" s="2">
        <v>14138630.01697008</v>
      </c>
      <c r="AJ21" s="2">
        <f>AH21-AI21</f>
        <v>-19390003.19519403</v>
      </c>
      <c r="AK21" s="3">
        <v>0.15</v>
      </c>
    </row>
    <row r="22" spans="1:37">
      <c r="A22" s="2">
        <v>21</v>
      </c>
      <c r="B22" s="2">
        <v>2028</v>
      </c>
      <c r="C22" s="2">
        <v>25</v>
      </c>
      <c r="D22" s="2">
        <v>360489.7</v>
      </c>
      <c r="E22" s="2">
        <v>9012242.5</v>
      </c>
      <c r="F22" s="2">
        <f>E22/1.19</f>
        <v>7573313.025210084</v>
      </c>
      <c r="G22" s="2">
        <v>30</v>
      </c>
      <c r="H22" s="2">
        <v>2508581.445378151</v>
      </c>
      <c r="I22" s="2">
        <v>63</v>
      </c>
      <c r="J22" s="2">
        <v>5264178.354265775</v>
      </c>
      <c r="K22" s="2">
        <v>2088959.66439118</v>
      </c>
      <c r="L22" s="2">
        <v>772228.8981512944</v>
      </c>
      <c r="M22" s="2">
        <v>2398612.5</v>
      </c>
      <c r="N22" s="3">
        <v>0.5</v>
      </c>
      <c r="O22" s="3">
        <v>0</v>
      </c>
      <c r="P22" s="2">
        <v>133900</v>
      </c>
      <c r="Q22" s="2">
        <v>179632</v>
      </c>
      <c r="R22" s="2">
        <v>0</v>
      </c>
      <c r="S22" s="2">
        <v>288400</v>
      </c>
      <c r="T22" s="2">
        <v>901250</v>
      </c>
      <c r="U22" s="2">
        <f>M22+P22+Q22+R22+S22+T22</f>
        <v>3901794.5</v>
      </c>
      <c r="V22" s="2">
        <f>F22-K22-L22-U22</f>
        <v>810329.9626676096</v>
      </c>
      <c r="W22" s="2">
        <v>265112.7150140874</v>
      </c>
      <c r="X22" s="2">
        <v>168723.5239759397</v>
      </c>
      <c r="Y22" s="2">
        <f>W22+X22</f>
        <v>433836.23899002705</v>
      </c>
      <c r="Z22" s="2">
        <v>27770838.10855292</v>
      </c>
      <c r="AA22" s="2">
        <v>0</v>
      </c>
      <c r="AB22" s="2">
        <v>0</v>
      </c>
      <c r="AC22" s="2">
        <v>0</v>
      </c>
      <c r="AD22" s="2">
        <v>0</v>
      </c>
      <c r="AE22" s="2">
        <v>471346.5746218488</v>
      </c>
      <c r="AF22" s="2">
        <f>F22-H22-L22-U22-AA22-AC22-AD22</f>
        <v>390708.1816806393</v>
      </c>
      <c r="AG22" s="2">
        <f>F22-H22-L22-U22-AA22-AB22-AD22-Y22</f>
        <v>-43128.057309387776</v>
      </c>
      <c r="AH22" s="2">
        <f>AH21+AG22</f>
        <v>-5294501.235533335</v>
      </c>
      <c r="AI22" s="2">
        <v>14138630.01697008</v>
      </c>
      <c r="AJ22" s="2">
        <f>AH22-AI22</f>
        <v>-19433131.252503417</v>
      </c>
      <c r="AK22" s="3">
        <v>0.15</v>
      </c>
    </row>
    <row r="23" spans="1:37">
      <c r="A23" s="2">
        <v>22</v>
      </c>
      <c r="B23" s="2">
        <v>2028</v>
      </c>
      <c r="C23" s="2">
        <v>30</v>
      </c>
      <c r="D23" s="2">
        <v>360489.7</v>
      </c>
      <c r="E23" s="2">
        <v>10814691</v>
      </c>
      <c r="F23" s="2">
        <f>E23/1.19</f>
        <v>9087975.6302521</v>
      </c>
      <c r="G23" s="2">
        <v>40</v>
      </c>
      <c r="H23" s="2">
        <v>3344775.260504202</v>
      </c>
      <c r="I23" s="2">
        <v>73</v>
      </c>
      <c r="J23" s="2">
        <v>6101491.396875808</v>
      </c>
      <c r="K23" s="2">
        <v>2507462.217894168</v>
      </c>
      <c r="L23" s="2">
        <v>926731.5274315334</v>
      </c>
      <c r="M23" s="2">
        <v>2398612.5</v>
      </c>
      <c r="N23" s="3">
        <v>0.5</v>
      </c>
      <c r="O23" s="3">
        <v>0</v>
      </c>
      <c r="P23" s="2">
        <v>133900</v>
      </c>
      <c r="Q23" s="2">
        <v>179632</v>
      </c>
      <c r="R23" s="2">
        <v>0</v>
      </c>
      <c r="S23" s="2">
        <v>288400</v>
      </c>
      <c r="T23" s="2">
        <v>901250</v>
      </c>
      <c r="U23" s="2">
        <f>M23+P23+Q23+R23+S23+T23</f>
        <v>3901794.5</v>
      </c>
      <c r="V23" s="2">
        <f>F23-K23-L23-U23</f>
        <v>1751987.3849263983</v>
      </c>
      <c r="W23" s="2">
        <v>263511.7324318865</v>
      </c>
      <c r="X23" s="2">
        <v>170324.5065581405</v>
      </c>
      <c r="Y23" s="2">
        <f>W23+X23</f>
        <v>433836.23899002705</v>
      </c>
      <c r="Z23" s="2">
        <v>27600513.60199478</v>
      </c>
      <c r="AA23" s="2">
        <v>0</v>
      </c>
      <c r="AB23" s="2">
        <v>0</v>
      </c>
      <c r="AC23" s="2">
        <v>0</v>
      </c>
      <c r="AD23" s="2">
        <v>157115.5248739496</v>
      </c>
      <c r="AE23" s="2">
        <v>628462.0994957983</v>
      </c>
      <c r="AF23" s="2">
        <f>F23-H23-L23-U23-AA23-AC23-AD23</f>
        <v>757558.8174424153</v>
      </c>
      <c r="AG23" s="2">
        <f>F23-H23-L23-U23-AA23-AB23-AD23-Y23</f>
        <v>323722.57845238823</v>
      </c>
      <c r="AH23" s="2">
        <f>AH22+AG23</f>
        <v>-4970778.657080947</v>
      </c>
      <c r="AI23" s="2">
        <v>14138630.01697008</v>
      </c>
      <c r="AJ23" s="2">
        <f>AH23-AI23</f>
        <v>-19109408.67405103</v>
      </c>
      <c r="AK23" s="3">
        <v>0.15</v>
      </c>
    </row>
    <row r="24" spans="1:37">
      <c r="A24" s="2">
        <v>23</v>
      </c>
      <c r="B24" s="2">
        <v>2028</v>
      </c>
      <c r="C24" s="2">
        <v>32</v>
      </c>
      <c r="D24" s="2">
        <v>360489.7</v>
      </c>
      <c r="E24" s="2">
        <v>11535670.4</v>
      </c>
      <c r="F24" s="2">
        <f>E24/1.19</f>
        <v>9693840.672268908</v>
      </c>
      <c r="G24" s="2">
        <v>10</v>
      </c>
      <c r="H24" s="2">
        <v>836193.8151260505</v>
      </c>
      <c r="I24" s="2">
        <v>51</v>
      </c>
      <c r="J24" s="2">
        <v>4262915.009784275</v>
      </c>
      <c r="K24" s="2">
        <v>2674770.202217584</v>
      </c>
      <c r="L24" s="2">
        <v>988525.1361774068</v>
      </c>
      <c r="M24" s="2">
        <v>2398612.5</v>
      </c>
      <c r="N24" s="3">
        <v>0.5</v>
      </c>
      <c r="O24" s="3">
        <v>0</v>
      </c>
      <c r="P24" s="2">
        <v>133900</v>
      </c>
      <c r="Q24" s="2">
        <v>179632</v>
      </c>
      <c r="R24" s="2">
        <v>0</v>
      </c>
      <c r="S24" s="2">
        <v>288400</v>
      </c>
      <c r="T24" s="2">
        <v>901250</v>
      </c>
      <c r="U24" s="2">
        <f>M24+P24+Q24+R24+S24+T24</f>
        <v>3901794.5</v>
      </c>
      <c r="V24" s="2">
        <f>F24-K24-L24-U24</f>
        <v>2128750.8338739173</v>
      </c>
      <c r="W24" s="2">
        <v>261895.5584574713</v>
      </c>
      <c r="X24" s="2">
        <v>171940.6805325557</v>
      </c>
      <c r="Y24" s="2">
        <f>W24+X24</f>
        <v>433836.23899002705</v>
      </c>
      <c r="Z24" s="2">
        <v>27428572.92146223</v>
      </c>
      <c r="AA24" s="2">
        <v>0</v>
      </c>
      <c r="AB24" s="2">
        <v>0</v>
      </c>
      <c r="AC24" s="2">
        <v>0</v>
      </c>
      <c r="AD24" s="2">
        <v>-471346.5746218488</v>
      </c>
      <c r="AE24" s="2">
        <v>157115.5248739496</v>
      </c>
      <c r="AF24" s="2">
        <f>F24-H24-L24-U24-AA24-AC24-AD24</f>
        <v>4438673.7955873</v>
      </c>
      <c r="AG24" s="2">
        <f>F24-H24-L24-U24-AA24-AB24-AD24-Y24</f>
        <v>4004837.5565972733</v>
      </c>
      <c r="AH24" s="2">
        <f>AH23+AG24</f>
        <v>-965941.1004836741</v>
      </c>
      <c r="AI24" s="2">
        <v>14138630.01697008</v>
      </c>
      <c r="AJ24" s="2">
        <f>AH24-AI24</f>
        <v>-15104571.117453758</v>
      </c>
      <c r="AK24" s="3">
        <v>0.15</v>
      </c>
    </row>
    <row r="25" spans="1:37">
      <c r="A25" s="2">
        <v>24</v>
      </c>
      <c r="B25" s="2">
        <v>2028</v>
      </c>
      <c r="C25" s="2">
        <v>39</v>
      </c>
      <c r="D25" s="2">
        <v>360489.7</v>
      </c>
      <c r="E25" s="2">
        <v>14059098.3</v>
      </c>
      <c r="F25" s="2">
        <f>E25/1.19</f>
        <v>11814368.319327733</v>
      </c>
      <c r="G25" s="2">
        <v>10</v>
      </c>
      <c r="H25" s="2">
        <v>836193.8151260505</v>
      </c>
      <c r="I25" s="2">
        <v>22</v>
      </c>
      <c r="J25" s="2">
        <v>1839022.854885691</v>
      </c>
      <c r="K25" s="2">
        <v>3260085.970024634</v>
      </c>
      <c r="L25" s="2">
        <v>1204781.792601971</v>
      </c>
      <c r="M25" s="2">
        <v>2398612.5</v>
      </c>
      <c r="N25" s="3">
        <v>0.5</v>
      </c>
      <c r="O25" s="3">
        <v>0</v>
      </c>
      <c r="P25" s="2">
        <v>133900</v>
      </c>
      <c r="Q25" s="2">
        <v>179632</v>
      </c>
      <c r="R25" s="2">
        <v>0</v>
      </c>
      <c r="S25" s="2">
        <v>288400</v>
      </c>
      <c r="T25" s="2">
        <v>901250</v>
      </c>
      <c r="U25" s="2">
        <f>M25+P25+Q25+R25+S25+T25</f>
        <v>3901794.5</v>
      </c>
      <c r="V25" s="2">
        <f>F25-K25-L25-U25</f>
        <v>3447706.0567011274</v>
      </c>
      <c r="W25" s="2">
        <v>260264.0489428666</v>
      </c>
      <c r="X25" s="2">
        <v>173572.1900471604</v>
      </c>
      <c r="Y25" s="2">
        <f>W25+X25</f>
        <v>433836.23899002705</v>
      </c>
      <c r="Z25" s="2">
        <v>27255000.73141507</v>
      </c>
      <c r="AA25" s="2">
        <v>0</v>
      </c>
      <c r="AB25" s="2">
        <v>0</v>
      </c>
      <c r="AC25" s="2">
        <v>0</v>
      </c>
      <c r="AD25" s="2">
        <v>0</v>
      </c>
      <c r="AE25" s="2">
        <v>157115.5248739496</v>
      </c>
      <c r="AF25" s="2">
        <f>F25-H25-L25-U25-AA25-AC25-AD25</f>
        <v>5871598.211599711</v>
      </c>
      <c r="AG25" s="2">
        <f>F25-H25-L25-U25-AA25-AB25-AD25-Y25</f>
        <v>5437761.972609684</v>
      </c>
      <c r="AH25" s="2">
        <f>AH24+AG25</f>
        <v>4471820.872126009</v>
      </c>
      <c r="AI25" s="2">
        <v>14138630.01697008</v>
      </c>
      <c r="AJ25" s="2">
        <f>AH25-AI25</f>
        <v>-9666809.144844074</v>
      </c>
      <c r="AK25" s="3">
        <v>0.15</v>
      </c>
    </row>
    <row r="26" spans="1:37">
      <c r="A26" s="2">
        <v>25</v>
      </c>
      <c r="B26" s="2">
        <v>2029</v>
      </c>
      <c r="C26" s="2">
        <v>7</v>
      </c>
      <c r="D26" s="2">
        <v>371304.391</v>
      </c>
      <c r="E26" s="2">
        <v>2599130.737</v>
      </c>
      <c r="F26" s="2">
        <f>E26/1.19</f>
        <v>2184143.4764705882</v>
      </c>
      <c r="G26" s="2">
        <v>10</v>
      </c>
      <c r="H26" s="2">
        <v>861279.629579832</v>
      </c>
      <c r="I26" s="2">
        <v>25</v>
      </c>
      <c r="J26" s="2">
        <v>2109611.31598869</v>
      </c>
      <c r="K26" s="2">
        <v>590691.168476833</v>
      </c>
      <c r="L26" s="2">
        <v>221769.6303281466</v>
      </c>
      <c r="M26" s="2">
        <v>3437316</v>
      </c>
      <c r="N26" s="3">
        <v>0.5</v>
      </c>
      <c r="O26" s="3">
        <v>0.5</v>
      </c>
      <c r="P26" s="2">
        <v>148526</v>
      </c>
      <c r="Q26" s="2">
        <v>214354.845</v>
      </c>
      <c r="R26" s="2">
        <v>0</v>
      </c>
      <c r="S26" s="2">
        <v>297052</v>
      </c>
      <c r="T26" s="2">
        <v>1326125</v>
      </c>
      <c r="U26" s="2">
        <f>M26+P26+Q26+R26+S26+T26</f>
        <v>5423373.845000001</v>
      </c>
      <c r="V26" s="2">
        <f>F26-K26-L26-U26</f>
        <v>-4051691.167334392</v>
      </c>
      <c r="W26" s="2">
        <v>258617.058372307</v>
      </c>
      <c r="X26" s="2">
        <v>175219.18061772</v>
      </c>
      <c r="Y26" s="2">
        <f>W26+X26</f>
        <v>433836.23899002705</v>
      </c>
      <c r="Z26" s="2">
        <v>27079781.55079735</v>
      </c>
      <c r="AA26" s="2">
        <v>0</v>
      </c>
      <c r="AB26" s="2">
        <v>0</v>
      </c>
      <c r="AC26" s="2">
        <v>0</v>
      </c>
      <c r="AD26" s="2">
        <v>4713.465746218484</v>
      </c>
      <c r="AE26" s="2">
        <v>161828.9906201681</v>
      </c>
      <c r="AF26" s="2">
        <f>F26-H26-L26-U26-AA26-AC26-AD26</f>
        <v>-4326993.094183609</v>
      </c>
      <c r="AG26" s="2">
        <f>F26-H26-L26-U26-AA26-AB26-AD26-Y26</f>
        <v>-4760829.333173636</v>
      </c>
      <c r="AH26" s="2">
        <f>AH25+AG26</f>
        <v>-289008.46104762703</v>
      </c>
      <c r="AI26" s="2">
        <v>18703368.05197008</v>
      </c>
      <c r="AJ26" s="2">
        <f>AH26-AI26</f>
        <v>-18992376.51301771</v>
      </c>
      <c r="AK26" s="3">
        <v>0.25</v>
      </c>
    </row>
    <row r="27" spans="1:37">
      <c r="A27" s="2">
        <v>26</v>
      </c>
      <c r="B27" s="2">
        <v>2029</v>
      </c>
      <c r="C27" s="2">
        <v>10</v>
      </c>
      <c r="D27" s="2">
        <v>371304.391</v>
      </c>
      <c r="E27" s="2">
        <v>3713043.91</v>
      </c>
      <c r="F27" s="2">
        <f>E27/1.19</f>
        <v>3120204.9663865543</v>
      </c>
      <c r="G27" s="2">
        <v>20</v>
      </c>
      <c r="H27" s="2">
        <v>1722559.259159664</v>
      </c>
      <c r="I27" s="2">
        <v>35</v>
      </c>
      <c r="J27" s="2">
        <v>2980577.114004275</v>
      </c>
      <c r="K27" s="2">
        <v>851593.4611440785</v>
      </c>
      <c r="L27" s="2">
        <v>317433.6723915263</v>
      </c>
      <c r="M27" s="2">
        <v>3437316</v>
      </c>
      <c r="N27" s="3">
        <v>0.5</v>
      </c>
      <c r="O27" s="3">
        <v>0.5</v>
      </c>
      <c r="P27" s="2">
        <v>148526</v>
      </c>
      <c r="Q27" s="2">
        <v>214354.845</v>
      </c>
      <c r="R27" s="2">
        <v>0</v>
      </c>
      <c r="S27" s="2">
        <v>297052</v>
      </c>
      <c r="T27" s="2">
        <v>1326125</v>
      </c>
      <c r="U27" s="2">
        <f>M27+P27+Q27+R27+S27+T27</f>
        <v>5423373.845000001</v>
      </c>
      <c r="V27" s="2">
        <f>F27-K27-L27-U27</f>
        <v>-3472196.0121490513</v>
      </c>
      <c r="W27" s="2">
        <v>256954.4398492582</v>
      </c>
      <c r="X27" s="2">
        <v>176881.7991407689</v>
      </c>
      <c r="Y27" s="2">
        <f>W27+X27</f>
        <v>433836.23899002705</v>
      </c>
      <c r="Z27" s="2">
        <v>26902899.75165658</v>
      </c>
      <c r="AA27" s="2">
        <v>0</v>
      </c>
      <c r="AB27" s="2">
        <v>0</v>
      </c>
      <c r="AC27" s="2">
        <v>0</v>
      </c>
      <c r="AD27" s="2">
        <v>161828.9906201681</v>
      </c>
      <c r="AE27" s="2">
        <v>323657.9812403361</v>
      </c>
      <c r="AF27" s="2">
        <f>F27-H27-L27-U27-AA27-AC27-AD27</f>
        <v>-4504990.800784804</v>
      </c>
      <c r="AG27" s="2">
        <f>F27-H27-L27-U27-AA27-AB27-AD27-Y27</f>
        <v>-4938827.039774831</v>
      </c>
      <c r="AH27" s="2">
        <f>AH26+AG27</f>
        <v>-5227835.500822458</v>
      </c>
      <c r="AI27" s="2">
        <v>18703368.05197008</v>
      </c>
      <c r="AJ27" s="2">
        <f>AH27-AI27</f>
        <v>-23931203.55279254</v>
      </c>
      <c r="AK27" s="3">
        <v>0.25</v>
      </c>
    </row>
    <row r="28" spans="1:37">
      <c r="A28" s="2">
        <v>27</v>
      </c>
      <c r="B28" s="2">
        <v>2029</v>
      </c>
      <c r="C28" s="2">
        <v>13</v>
      </c>
      <c r="D28" s="2">
        <v>371304.391</v>
      </c>
      <c r="E28" s="2">
        <v>4826957.083</v>
      </c>
      <c r="F28" s="2">
        <f>E28/1.19</f>
        <v>4056266.456302521</v>
      </c>
      <c r="G28" s="2">
        <v>20</v>
      </c>
      <c r="H28" s="2">
        <v>1722559.259159664</v>
      </c>
      <c r="I28" s="2">
        <v>42</v>
      </c>
      <c r="J28" s="2">
        <v>3591485.957688826</v>
      </c>
      <c r="K28" s="2">
        <v>1111650.415475113</v>
      </c>
      <c r="L28" s="2">
        <v>413030.087388009</v>
      </c>
      <c r="M28" s="2">
        <v>3437316</v>
      </c>
      <c r="N28" s="3">
        <v>0.5</v>
      </c>
      <c r="O28" s="3">
        <v>0.5</v>
      </c>
      <c r="P28" s="2">
        <v>148526</v>
      </c>
      <c r="Q28" s="2">
        <v>214354.845</v>
      </c>
      <c r="R28" s="2">
        <v>0</v>
      </c>
      <c r="S28" s="2">
        <v>297052</v>
      </c>
      <c r="T28" s="2">
        <v>1326125</v>
      </c>
      <c r="U28" s="2">
        <f>M28+P28+Q28+R28+S28+T28</f>
        <v>5423373.845000001</v>
      </c>
      <c r="V28" s="2">
        <f>F28-K28-L28-U28</f>
        <v>-2891787.891560601</v>
      </c>
      <c r="W28" s="2">
        <v>255276.0450833149</v>
      </c>
      <c r="X28" s="2">
        <v>178560.1939067121</v>
      </c>
      <c r="Y28" s="2">
        <f>W28+X28</f>
        <v>433836.23899002705</v>
      </c>
      <c r="Z28" s="2">
        <v>26724339.55774986</v>
      </c>
      <c r="AA28" s="2">
        <v>0</v>
      </c>
      <c r="AB28" s="2">
        <v>0</v>
      </c>
      <c r="AC28" s="2">
        <v>0</v>
      </c>
      <c r="AD28" s="2">
        <v>0</v>
      </c>
      <c r="AE28" s="2">
        <v>323657.9812403361</v>
      </c>
      <c r="AF28" s="2">
        <f>F28-H28-L28-U28-AA28-AC28-AD28</f>
        <v>-3502696.7352451524</v>
      </c>
      <c r="AG28" s="2">
        <f>F28-H28-L28-U28-AA28-AB28-AD28-Y28</f>
        <v>-3936532.9742351794</v>
      </c>
      <c r="AH28" s="2">
        <f>AH27+AG28</f>
        <v>-9164368.475057637</v>
      </c>
      <c r="AI28" s="2">
        <v>18703368.05197008</v>
      </c>
      <c r="AJ28" s="2">
        <f>AH28-AI28</f>
        <v>-27867736.52702772</v>
      </c>
      <c r="AK28" s="3">
        <v>0.25</v>
      </c>
    </row>
    <row r="29" spans="1:37">
      <c r="A29" s="2">
        <v>28</v>
      </c>
      <c r="B29" s="2">
        <v>2029</v>
      </c>
      <c r="C29" s="2">
        <v>16</v>
      </c>
      <c r="D29" s="2">
        <v>371304.391</v>
      </c>
      <c r="E29" s="2">
        <v>5940870.256</v>
      </c>
      <c r="F29" s="2">
        <f>E29/1.19</f>
        <v>4992327.946218488</v>
      </c>
      <c r="G29" s="2">
        <v>20</v>
      </c>
      <c r="H29" s="2">
        <v>1722559.259159664</v>
      </c>
      <c r="I29" s="2">
        <v>46</v>
      </c>
      <c r="J29" s="2">
        <v>3942678.709274686</v>
      </c>
      <c r="K29" s="2">
        <v>1371366.507573804</v>
      </c>
      <c r="L29" s="2">
        <v>508599.2334059043</v>
      </c>
      <c r="M29" s="2">
        <v>3437316</v>
      </c>
      <c r="N29" s="3">
        <v>0.5</v>
      </c>
      <c r="O29" s="3">
        <v>0.5</v>
      </c>
      <c r="P29" s="2">
        <v>148526</v>
      </c>
      <c r="Q29" s="2">
        <v>214354.845</v>
      </c>
      <c r="R29" s="2">
        <v>0</v>
      </c>
      <c r="S29" s="2">
        <v>297052</v>
      </c>
      <c r="T29" s="2">
        <v>1326125</v>
      </c>
      <c r="U29" s="2">
        <f>M29+P29+Q29+R29+S29+T29</f>
        <v>5423373.845000001</v>
      </c>
      <c r="V29" s="2">
        <f>F29-K29-L29-U29</f>
        <v>-2311011.639761221</v>
      </c>
      <c r="W29" s="2">
        <v>253581.7243769751</v>
      </c>
      <c r="X29" s="2">
        <v>180254.514613052</v>
      </c>
      <c r="Y29" s="2">
        <f>W29+X29</f>
        <v>433836.23899002705</v>
      </c>
      <c r="Z29" s="2">
        <v>26544085.04313681</v>
      </c>
      <c r="AA29" s="2">
        <v>0</v>
      </c>
      <c r="AB29" s="2">
        <v>0</v>
      </c>
      <c r="AC29" s="2">
        <v>0</v>
      </c>
      <c r="AD29" s="2">
        <v>0</v>
      </c>
      <c r="AE29" s="2">
        <v>323657.9812403361</v>
      </c>
      <c r="AF29" s="2">
        <f>F29-H29-L29-U29-AA29-AC29-AD29</f>
        <v>-2662204.391347081</v>
      </c>
      <c r="AG29" s="2">
        <f>F29-H29-L29-U29-AA29-AB29-AD29-Y29</f>
        <v>-3096040.630337108</v>
      </c>
      <c r="AH29" s="2">
        <f>AH28+AG29</f>
        <v>-12260409.105394745</v>
      </c>
      <c r="AI29" s="2">
        <v>18703368.05197008</v>
      </c>
      <c r="AJ29" s="2">
        <f>AH29-AI29</f>
        <v>-30963777.15736483</v>
      </c>
      <c r="AK29" s="3">
        <v>0.25</v>
      </c>
    </row>
    <row r="30" spans="1:37">
      <c r="A30" s="2">
        <v>29</v>
      </c>
      <c r="B30" s="2">
        <v>2029</v>
      </c>
      <c r="C30" s="2">
        <v>20</v>
      </c>
      <c r="D30" s="2">
        <v>371304.391</v>
      </c>
      <c r="E30" s="2">
        <v>7426087.819999999</v>
      </c>
      <c r="F30" s="2">
        <f>E30/1.19</f>
        <v>6240409.932773109</v>
      </c>
      <c r="G30" s="2">
        <v>30</v>
      </c>
      <c r="H30" s="2">
        <v>2583838.888739496</v>
      </c>
      <c r="I30" s="2">
        <v>56</v>
      </c>
      <c r="J30" s="2">
        <v>4809012.966957819</v>
      </c>
      <c r="K30" s="2">
        <v>1717504.631056364</v>
      </c>
      <c r="L30" s="2">
        <v>636012.7614845091</v>
      </c>
      <c r="M30" s="2">
        <v>3437316</v>
      </c>
      <c r="N30" s="3">
        <v>0.5</v>
      </c>
      <c r="O30" s="3">
        <v>0.5</v>
      </c>
      <c r="P30" s="2">
        <v>148526</v>
      </c>
      <c r="Q30" s="2">
        <v>214354.845</v>
      </c>
      <c r="R30" s="2">
        <v>0</v>
      </c>
      <c r="S30" s="2">
        <v>297052</v>
      </c>
      <c r="T30" s="2">
        <v>1326125</v>
      </c>
      <c r="U30" s="2">
        <f>M30+P30+Q30+R30+S30+T30</f>
        <v>5423373.845000001</v>
      </c>
      <c r="V30" s="2">
        <f>F30-K30-L30-U30</f>
        <v>-1536481.304767765</v>
      </c>
      <c r="W30" s="2">
        <v>251871.3266122881</v>
      </c>
      <c r="X30" s="2">
        <v>181964.9123777389</v>
      </c>
      <c r="Y30" s="2">
        <f>W30+X30</f>
        <v>433836.23899002705</v>
      </c>
      <c r="Z30" s="2">
        <v>26362120.13075908</v>
      </c>
      <c r="AA30" s="2">
        <v>0</v>
      </c>
      <c r="AB30" s="2">
        <v>0</v>
      </c>
      <c r="AC30" s="2">
        <v>0</v>
      </c>
      <c r="AD30" s="2">
        <v>161828.990620168</v>
      </c>
      <c r="AE30" s="2">
        <v>485486.9718605042</v>
      </c>
      <c r="AF30" s="2">
        <f>F30-H30-L30-U30-AA30-AC30-AD30</f>
        <v>-2564644.553071065</v>
      </c>
      <c r="AG30" s="2">
        <f>F30-H30-L30-U30-AA30-AB30-AD30-Y30</f>
        <v>-2998480.792061092</v>
      </c>
      <c r="AH30" s="2">
        <f>AH29+AG30</f>
        <v>-15258889.897455838</v>
      </c>
      <c r="AI30" s="2">
        <v>18703368.05197008</v>
      </c>
      <c r="AJ30" s="2">
        <f>AH30-AI30</f>
        <v>-33962257.94942592</v>
      </c>
      <c r="AK30" s="3">
        <v>0.25</v>
      </c>
    </row>
    <row r="31" spans="1:37">
      <c r="A31" s="2">
        <v>30</v>
      </c>
      <c r="B31" s="2">
        <v>2029</v>
      </c>
      <c r="C31" s="2">
        <v>23</v>
      </c>
      <c r="D31" s="2">
        <v>371304.391</v>
      </c>
      <c r="E31" s="2">
        <v>8540000.992999999</v>
      </c>
      <c r="F31" s="2">
        <f>E31/1.19</f>
        <v>7176471.422689075</v>
      </c>
      <c r="G31" s="2">
        <v>30</v>
      </c>
      <c r="H31" s="2">
        <v>2583838.888739496</v>
      </c>
      <c r="I31" s="2">
        <v>63</v>
      </c>
      <c r="J31" s="2">
        <v>5415693.801266638</v>
      </c>
      <c r="K31" s="2">
        <v>1977158.054430677</v>
      </c>
      <c r="L31" s="2">
        <v>731576.8940044541</v>
      </c>
      <c r="M31" s="2">
        <v>3437316</v>
      </c>
      <c r="N31" s="3">
        <v>0.5</v>
      </c>
      <c r="O31" s="3">
        <v>0.5</v>
      </c>
      <c r="P31" s="2">
        <v>148526</v>
      </c>
      <c r="Q31" s="2">
        <v>214354.845</v>
      </c>
      <c r="R31" s="2">
        <v>0</v>
      </c>
      <c r="S31" s="2">
        <v>297052</v>
      </c>
      <c r="T31" s="2">
        <v>1326125</v>
      </c>
      <c r="U31" s="2">
        <f>M31+P31+Q31+R31+S31+T31</f>
        <v>5423373.845000001</v>
      </c>
      <c r="V31" s="2">
        <f>F31-K31-L31-U31</f>
        <v>-955637.3707460565</v>
      </c>
      <c r="W31" s="2">
        <v>250144.6992373762</v>
      </c>
      <c r="X31" s="2">
        <v>183691.5397526509</v>
      </c>
      <c r="Y31" s="2">
        <f>W31+X31</f>
        <v>433836.23899002705</v>
      </c>
      <c r="Z31" s="2">
        <v>26178428.59100642</v>
      </c>
      <c r="AA31" s="2">
        <v>0</v>
      </c>
      <c r="AB31" s="2">
        <v>0</v>
      </c>
      <c r="AC31" s="2">
        <v>0</v>
      </c>
      <c r="AD31" s="2">
        <v>0</v>
      </c>
      <c r="AE31" s="2">
        <v>485486.9718605042</v>
      </c>
      <c r="AF31" s="2">
        <f>F31-H31-L31-U31-AA31-AC31-AD31</f>
        <v>-1562318.2050548764</v>
      </c>
      <c r="AG31" s="2">
        <f>F31-H31-L31-U31-AA31-AB31-AD31-Y31</f>
        <v>-1996154.4440449034</v>
      </c>
      <c r="AH31" s="2">
        <f>AH30+AG31</f>
        <v>-17255044.34150074</v>
      </c>
      <c r="AI31" s="2">
        <v>18703368.05197008</v>
      </c>
      <c r="AJ31" s="2">
        <f>AH31-AI31</f>
        <v>-35958412.393470824</v>
      </c>
      <c r="AK31" s="3">
        <v>0.25</v>
      </c>
    </row>
    <row r="32" spans="1:37">
      <c r="A32" s="2">
        <v>31</v>
      </c>
      <c r="B32" s="2">
        <v>2029</v>
      </c>
      <c r="C32" s="2">
        <v>26</v>
      </c>
      <c r="D32" s="2">
        <v>371304.391</v>
      </c>
      <c r="E32" s="2">
        <v>9653914.165999999</v>
      </c>
      <c r="F32" s="2">
        <f>E32/1.19</f>
        <v>8112532.912605042</v>
      </c>
      <c r="G32" s="2">
        <v>40</v>
      </c>
      <c r="H32" s="2">
        <v>3445118.518319328</v>
      </c>
      <c r="I32" s="2">
        <v>77</v>
      </c>
      <c r="J32" s="2">
        <v>6624102.413671061</v>
      </c>
      <c r="K32" s="2">
        <v>2236709.905914904</v>
      </c>
      <c r="L32" s="2">
        <v>827132.9007731923</v>
      </c>
      <c r="M32" s="2">
        <v>3437316</v>
      </c>
      <c r="N32" s="3">
        <v>0.5</v>
      </c>
      <c r="O32" s="3">
        <v>0.5</v>
      </c>
      <c r="P32" s="2">
        <v>148526</v>
      </c>
      <c r="Q32" s="2">
        <v>214354.845</v>
      </c>
      <c r="R32" s="2">
        <v>0</v>
      </c>
      <c r="S32" s="2">
        <v>297052</v>
      </c>
      <c r="T32" s="2">
        <v>1326125</v>
      </c>
      <c r="U32" s="2">
        <f>M32+P32+Q32+R32+S32+T32</f>
        <v>5423373.845000001</v>
      </c>
      <c r="V32" s="2">
        <f>F32-K32-L32-U32</f>
        <v>-374683.7390830554</v>
      </c>
      <c r="W32" s="2">
        <v>248401.6882528285</v>
      </c>
      <c r="X32" s="2">
        <v>185434.5507371985</v>
      </c>
      <c r="Y32" s="2">
        <f>W32+X32</f>
        <v>433836.23899002705</v>
      </c>
      <c r="Z32" s="2">
        <v>25992994.04026923</v>
      </c>
      <c r="AA32" s="2">
        <v>0</v>
      </c>
      <c r="AB32" s="2">
        <v>0</v>
      </c>
      <c r="AC32" s="2">
        <v>0</v>
      </c>
      <c r="AD32" s="2">
        <v>161828.9906201681</v>
      </c>
      <c r="AE32" s="2">
        <v>647315.9624806723</v>
      </c>
      <c r="AF32" s="2">
        <f>F32-H32-L32-U32-AA32-AC32-AD32</f>
        <v>-1744921.3421076469</v>
      </c>
      <c r="AG32" s="2">
        <f>F32-H32-L32-U32-AA32-AB32-AD32-Y32</f>
        <v>-2178757.581097674</v>
      </c>
      <c r="AH32" s="2">
        <f>AH31+AG32</f>
        <v>-19433801.922598414</v>
      </c>
      <c r="AI32" s="2">
        <v>18703368.05197008</v>
      </c>
      <c r="AJ32" s="2">
        <f>AH32-AI32</f>
        <v>-38137169.9745685</v>
      </c>
      <c r="AK32" s="3">
        <v>0.25</v>
      </c>
    </row>
    <row r="33" spans="1:37">
      <c r="A33" s="2">
        <v>32</v>
      </c>
      <c r="B33" s="2">
        <v>2029</v>
      </c>
      <c r="C33" s="2">
        <v>32</v>
      </c>
      <c r="D33" s="2">
        <v>371304.391</v>
      </c>
      <c r="E33" s="2">
        <v>11881740.512</v>
      </c>
      <c r="F33" s="2">
        <f>E33/1.19</f>
        <v>9984655.892436976</v>
      </c>
      <c r="G33" s="2">
        <v>40</v>
      </c>
      <c r="H33" s="2">
        <v>3445118.518319328</v>
      </c>
      <c r="I33" s="2">
        <v>85</v>
      </c>
      <c r="J33" s="2">
        <v>7315245.976232334</v>
      </c>
      <c r="K33" s="2">
        <v>2753974.955758055</v>
      </c>
      <c r="L33" s="2">
        <v>1018097.822060644</v>
      </c>
      <c r="M33" s="2">
        <v>3437316</v>
      </c>
      <c r="N33" s="3">
        <v>0.5</v>
      </c>
      <c r="O33" s="3">
        <v>0.5</v>
      </c>
      <c r="P33" s="2">
        <v>148526</v>
      </c>
      <c r="Q33" s="2">
        <v>214354.845</v>
      </c>
      <c r="R33" s="2">
        <v>0</v>
      </c>
      <c r="S33" s="2">
        <v>297052</v>
      </c>
      <c r="T33" s="2">
        <v>1326125</v>
      </c>
      <c r="U33" s="2">
        <f>M33+P33+Q33+R33+S33+T33</f>
        <v>5423373.845000001</v>
      </c>
      <c r="V33" s="2">
        <f>F33-K33-L33-U33</f>
        <v>789209.2696182746</v>
      </c>
      <c r="W33" s="2">
        <v>246642.1381979658</v>
      </c>
      <c r="X33" s="2">
        <v>187194.1007920612</v>
      </c>
      <c r="Y33" s="2">
        <f>W33+X33</f>
        <v>433836.23899002705</v>
      </c>
      <c r="Z33" s="2">
        <v>25805799.93947716</v>
      </c>
      <c r="AA33" s="2">
        <v>0</v>
      </c>
      <c r="AB33" s="2">
        <v>0</v>
      </c>
      <c r="AC33" s="2">
        <v>0</v>
      </c>
      <c r="AD33" s="2">
        <v>0</v>
      </c>
      <c r="AE33" s="2">
        <v>647315.9624806723</v>
      </c>
      <c r="AF33" s="2">
        <f>F33-H33-L33-U33-AA33-AC33-AD33</f>
        <v>98065.70705700293</v>
      </c>
      <c r="AG33" s="2">
        <f>F33-H33-L33-U33-AA33-AB33-AD33-Y33</f>
        <v>-335770.5319330241</v>
      </c>
      <c r="AH33" s="2">
        <f>AH32+AG33</f>
        <v>-19769572.45453144</v>
      </c>
      <c r="AI33" s="2">
        <v>18703368.05197008</v>
      </c>
      <c r="AJ33" s="2">
        <f>AH33-AI33</f>
        <v>-38472940.506501526</v>
      </c>
      <c r="AK33" s="3">
        <v>0.25</v>
      </c>
    </row>
    <row r="34" spans="1:37">
      <c r="A34" s="2">
        <v>33</v>
      </c>
      <c r="B34" s="2">
        <v>2029</v>
      </c>
      <c r="C34" s="2">
        <v>36</v>
      </c>
      <c r="D34" s="2">
        <v>371304.391</v>
      </c>
      <c r="E34" s="2">
        <v>13366958.076</v>
      </c>
      <c r="F34" s="2">
        <f>E34/1.19</f>
        <v>11232737.878991596</v>
      </c>
      <c r="G34" s="2">
        <v>40</v>
      </c>
      <c r="H34" s="2">
        <v>3445118.518319328</v>
      </c>
      <c r="I34" s="2">
        <v>89</v>
      </c>
      <c r="J34" s="2">
        <v>7661379.520120783</v>
      </c>
      <c r="K34" s="2">
        <v>3098984.974430879</v>
      </c>
      <c r="L34" s="2">
        <v>1145421.10175447</v>
      </c>
      <c r="M34" s="2">
        <v>3437316</v>
      </c>
      <c r="N34" s="3">
        <v>0.5</v>
      </c>
      <c r="O34" s="3">
        <v>0.5</v>
      </c>
      <c r="P34" s="2">
        <v>148526</v>
      </c>
      <c r="Q34" s="2">
        <v>214354.845</v>
      </c>
      <c r="R34" s="2">
        <v>0</v>
      </c>
      <c r="S34" s="2">
        <v>297052</v>
      </c>
      <c r="T34" s="2">
        <v>1326125</v>
      </c>
      <c r="U34" s="2">
        <f>M34+P34+Q34+R34+S34+T34</f>
        <v>5423373.845000001</v>
      </c>
      <c r="V34" s="2">
        <f>F34-K34-L34-U34</f>
        <v>1564957.9578062464</v>
      </c>
      <c r="W34" s="2">
        <v>244865.8921369745</v>
      </c>
      <c r="X34" s="2">
        <v>188970.3468530526</v>
      </c>
      <c r="Y34" s="2">
        <f>W34+X34</f>
        <v>433836.23899002705</v>
      </c>
      <c r="Z34" s="2">
        <v>25616829.59262411</v>
      </c>
      <c r="AA34" s="2">
        <v>0</v>
      </c>
      <c r="AB34" s="2">
        <v>0</v>
      </c>
      <c r="AC34" s="2">
        <v>0</v>
      </c>
      <c r="AD34" s="2">
        <v>0</v>
      </c>
      <c r="AE34" s="2">
        <v>647315.9624806723</v>
      </c>
      <c r="AF34" s="2">
        <f>F34-H34-L34-U34-AA34-AC34-AD34</f>
        <v>1218824.4139177985</v>
      </c>
      <c r="AG34" s="2">
        <f>F34-H34-L34-U34-AA34-AB34-AD34-Y34</f>
        <v>784988.1749277716</v>
      </c>
      <c r="AH34" s="2">
        <f>AH33+AG34</f>
        <v>-18984584.279603668</v>
      </c>
      <c r="AI34" s="2">
        <v>18703368.05197008</v>
      </c>
      <c r="AJ34" s="2">
        <f>AH34-AI34</f>
        <v>-37687952.331573755</v>
      </c>
      <c r="AK34" s="3">
        <v>0.25</v>
      </c>
    </row>
    <row r="35" spans="1:37">
      <c r="A35" s="2">
        <v>34</v>
      </c>
      <c r="B35" s="2">
        <v>2029</v>
      </c>
      <c r="C35" s="2">
        <v>42</v>
      </c>
      <c r="D35" s="2">
        <v>371304.391</v>
      </c>
      <c r="E35" s="2">
        <v>15594784.422</v>
      </c>
      <c r="F35" s="2">
        <f>E35/1.19</f>
        <v>13104860.85882353</v>
      </c>
      <c r="G35" s="2">
        <v>60</v>
      </c>
      <c r="H35" s="2">
        <v>5167677.777478992</v>
      </c>
      <c r="I35" s="2">
        <v>107</v>
      </c>
      <c r="J35" s="2">
        <v>9212812.958679033</v>
      </c>
      <c r="K35" s="2">
        <v>3616244.338920741</v>
      </c>
      <c r="L35" s="2">
        <v>1336385.568213659</v>
      </c>
      <c r="M35" s="2">
        <v>3437316</v>
      </c>
      <c r="N35" s="3">
        <v>0.5</v>
      </c>
      <c r="O35" s="3">
        <v>0.5</v>
      </c>
      <c r="P35" s="2">
        <v>148526</v>
      </c>
      <c r="Q35" s="2">
        <v>214354.845</v>
      </c>
      <c r="R35" s="2">
        <v>0</v>
      </c>
      <c r="S35" s="2">
        <v>297052</v>
      </c>
      <c r="T35" s="2">
        <v>1326125</v>
      </c>
      <c r="U35" s="2">
        <f>M35+P35+Q35+R35+S35+T35</f>
        <v>5423373.845000001</v>
      </c>
      <c r="V35" s="2">
        <f>F35-K35-L35-U35</f>
        <v>2728857.106689128</v>
      </c>
      <c r="W35" s="2">
        <v>243072.7916449096</v>
      </c>
      <c r="X35" s="2">
        <v>190763.4473451175</v>
      </c>
      <c r="Y35" s="2">
        <f>W35+X35</f>
        <v>433836.23899002705</v>
      </c>
      <c r="Z35" s="2">
        <v>25426066.14527899</v>
      </c>
      <c r="AA35" s="2">
        <v>0</v>
      </c>
      <c r="AB35" s="2">
        <v>0</v>
      </c>
      <c r="AC35" s="2">
        <v>0</v>
      </c>
      <c r="AD35" s="2">
        <v>323657.9812403361</v>
      </c>
      <c r="AE35" s="2">
        <v>970973.9437210084</v>
      </c>
      <c r="AF35" s="2">
        <f>F35-H35-L35-U35-AA35-AC35-AD35</f>
        <v>853765.6868905423</v>
      </c>
      <c r="AG35" s="2">
        <f>F35-H35-L35-U35-AA35-AB35-AD35-Y35</f>
        <v>419929.4479005152</v>
      </c>
      <c r="AH35" s="2">
        <f>AH34+AG35</f>
        <v>-18564654.831703153</v>
      </c>
      <c r="AI35" s="2">
        <v>18703368.05197008</v>
      </c>
      <c r="AJ35" s="2">
        <f>AH35-AI35</f>
        <v>-37268022.883673236</v>
      </c>
      <c r="AK35" s="3">
        <v>0.25</v>
      </c>
    </row>
    <row r="36" spans="1:37">
      <c r="A36" s="2">
        <v>35</v>
      </c>
      <c r="B36" s="2">
        <v>2029</v>
      </c>
      <c r="C36" s="2">
        <v>45</v>
      </c>
      <c r="D36" s="2">
        <v>371304.391</v>
      </c>
      <c r="E36" s="2">
        <v>16708697.595</v>
      </c>
      <c r="F36" s="2">
        <f>E36/1.19</f>
        <v>14040922.348739496</v>
      </c>
      <c r="G36" s="2">
        <v>10</v>
      </c>
      <c r="H36" s="2">
        <v>861279.629579832</v>
      </c>
      <c r="I36" s="2">
        <v>72</v>
      </c>
      <c r="J36" s="2">
        <v>6199441.592774685</v>
      </c>
      <c r="K36" s="2">
        <v>3874650.995484179</v>
      </c>
      <c r="L36" s="2">
        <v>1431849.959388734</v>
      </c>
      <c r="M36" s="2">
        <v>3437316</v>
      </c>
      <c r="N36" s="3">
        <v>0.5</v>
      </c>
      <c r="O36" s="3">
        <v>0.5</v>
      </c>
      <c r="P36" s="2">
        <v>148526</v>
      </c>
      <c r="Q36" s="2">
        <v>214354.845</v>
      </c>
      <c r="R36" s="2">
        <v>0</v>
      </c>
      <c r="S36" s="2">
        <v>297052</v>
      </c>
      <c r="T36" s="2">
        <v>1326125</v>
      </c>
      <c r="U36" s="2">
        <f>M36+P36+Q36+R36+S36+T36</f>
        <v>5423373.845000001</v>
      </c>
      <c r="V36" s="2">
        <f>F36-K36-L36-U36</f>
        <v>3311047.548866581</v>
      </c>
      <c r="W36" s="2">
        <v>241262.6767935645</v>
      </c>
      <c r="X36" s="2">
        <v>192573.5621964626</v>
      </c>
      <c r="Y36" s="2">
        <f>W36+X36</f>
        <v>433836.23899002705</v>
      </c>
      <c r="Z36" s="2">
        <v>25233492.58308253</v>
      </c>
      <c r="AA36" s="2">
        <v>0</v>
      </c>
      <c r="AB36" s="2">
        <v>0</v>
      </c>
      <c r="AC36" s="2">
        <v>0</v>
      </c>
      <c r="AD36" s="2">
        <v>-809144.9531008403</v>
      </c>
      <c r="AE36" s="2">
        <v>161828.9906201681</v>
      </c>
      <c r="AF36" s="2">
        <f>F36-H36-L36-U36-AA36-AC36-AD36</f>
        <v>7133563.867871768</v>
      </c>
      <c r="AG36" s="2">
        <f>F36-H36-L36-U36-AA36-AB36-AD36-Y36</f>
        <v>6699727.62888174</v>
      </c>
      <c r="AH36" s="2">
        <f>AH35+AG36</f>
        <v>-11864927.202821411</v>
      </c>
      <c r="AI36" s="2">
        <v>18703368.05197008</v>
      </c>
      <c r="AJ36" s="2">
        <f>AH36-AI36</f>
        <v>-30568295.254791494</v>
      </c>
      <c r="AK36" s="3">
        <v>0.25</v>
      </c>
    </row>
    <row r="37" spans="1:37">
      <c r="A37" s="2">
        <v>36</v>
      </c>
      <c r="B37" s="2">
        <v>2029</v>
      </c>
      <c r="C37" s="2">
        <v>55</v>
      </c>
      <c r="D37" s="2">
        <v>371304.391</v>
      </c>
      <c r="E37" s="2">
        <v>20421741.505</v>
      </c>
      <c r="F37" s="2">
        <f>E37/1.19</f>
        <v>17161127.31512605</v>
      </c>
      <c r="G37" s="2">
        <v>10</v>
      </c>
      <c r="H37" s="2">
        <v>861279.629579832</v>
      </c>
      <c r="I37" s="2">
        <v>27</v>
      </c>
      <c r="J37" s="2">
        <v>2324871.621994779</v>
      </c>
      <c r="K37" s="2">
        <v>4735849.600359738</v>
      </c>
      <c r="L37" s="2">
        <v>1750052.043278779</v>
      </c>
      <c r="M37" s="2">
        <v>3437316</v>
      </c>
      <c r="N37" s="3">
        <v>0.5</v>
      </c>
      <c r="O37" s="3">
        <v>0.5</v>
      </c>
      <c r="P37" s="2">
        <v>148526</v>
      </c>
      <c r="Q37" s="2">
        <v>214354.845</v>
      </c>
      <c r="R37" s="2">
        <v>0</v>
      </c>
      <c r="S37" s="2">
        <v>297052</v>
      </c>
      <c r="T37" s="2">
        <v>1326125</v>
      </c>
      <c r="U37" s="2">
        <f>M37+P37+Q37+R37+S37+T37</f>
        <v>5423373.845000001</v>
      </c>
      <c r="V37" s="2">
        <f>F37-K37-L37-U37</f>
        <v>5251851.826487532</v>
      </c>
      <c r="W37" s="2">
        <v>239435.3861372072</v>
      </c>
      <c r="X37" s="2">
        <v>194400.8528528198</v>
      </c>
      <c r="Y37" s="2">
        <f>W37+X37</f>
        <v>433836.23899002705</v>
      </c>
      <c r="Z37" s="2">
        <v>25039091.73022971</v>
      </c>
      <c r="AA37" s="2">
        <v>0</v>
      </c>
      <c r="AB37" s="2">
        <v>0</v>
      </c>
      <c r="AC37" s="2">
        <v>0</v>
      </c>
      <c r="AD37" s="2">
        <v>0</v>
      </c>
      <c r="AE37" s="2">
        <v>161828.9906201681</v>
      </c>
      <c r="AF37" s="2">
        <f>F37-H37-L37-U37-AA37-AC37-AD37</f>
        <v>9126421.797267439</v>
      </c>
      <c r="AG37" s="2">
        <f>F37-H37-L37-U37-AA37-AB37-AD37-Y37</f>
        <v>8692585.558277411</v>
      </c>
      <c r="AH37" s="2">
        <f>AH36+AG37</f>
        <v>-3172341.644544</v>
      </c>
      <c r="AI37" s="2">
        <v>18703368.05197008</v>
      </c>
      <c r="AJ37" s="2">
        <f>AH37-AI37</f>
        <v>-21875709.696514085</v>
      </c>
      <c r="AK37" s="3">
        <v>0.25</v>
      </c>
    </row>
    <row r="38" spans="1:37">
      <c r="A38" s="2">
        <v>37</v>
      </c>
      <c r="B38" s="2">
        <v>2030</v>
      </c>
      <c r="C38" s="2">
        <v>8</v>
      </c>
      <c r="D38" s="2">
        <v>382443.52273</v>
      </c>
      <c r="E38" s="2">
        <v>3059548.18184</v>
      </c>
      <c r="F38" s="2">
        <f>E38/1.19</f>
        <v>2571048.8923025215</v>
      </c>
      <c r="G38" s="2">
        <v>20</v>
      </c>
      <c r="H38" s="2">
        <v>1774236.036934454</v>
      </c>
      <c r="I38" s="2">
        <v>39</v>
      </c>
      <c r="J38" s="2">
        <v>3401387.206345534</v>
      </c>
      <c r="K38" s="2">
        <v>697720.4525836993</v>
      </c>
      <c r="L38" s="2">
        <v>261245.941298696</v>
      </c>
      <c r="M38" s="2">
        <v>3982989.915000001</v>
      </c>
      <c r="N38" s="3">
        <v>0.5</v>
      </c>
      <c r="O38" s="3">
        <v>0.5</v>
      </c>
      <c r="P38" s="2">
        <v>152981.78</v>
      </c>
      <c r="Q38" s="2">
        <v>261598.8438</v>
      </c>
      <c r="R38" s="2">
        <v>273181.75</v>
      </c>
      <c r="S38" s="2">
        <v>305963.56</v>
      </c>
      <c r="T38" s="2">
        <v>1775681.375</v>
      </c>
      <c r="U38" s="2">
        <f>M38+P38+Q38+R38+S38+T38</f>
        <v>6752397.2238</v>
      </c>
      <c r="V38" s="2">
        <f>F38-K38-L38-U38</f>
        <v>-5140314.725379873</v>
      </c>
      <c r="W38" s="2">
        <v>237590.7566981804</v>
      </c>
      <c r="X38" s="2">
        <v>196245.4822918466</v>
      </c>
      <c r="Y38" s="2">
        <f>W38+X38</f>
        <v>433836.23899002705</v>
      </c>
      <c r="Z38" s="2">
        <v>24842846.24793786</v>
      </c>
      <c r="AA38" s="2">
        <v>1639090.5</v>
      </c>
      <c r="AB38" s="2">
        <v>0</v>
      </c>
      <c r="AC38" s="2">
        <v>0</v>
      </c>
      <c r="AD38" s="2">
        <v>171538.7300573782</v>
      </c>
      <c r="AE38" s="2">
        <v>333367.7206775462</v>
      </c>
      <c r="AF38" s="2">
        <f>F38-H38-L38-U38-AA38-AC38-AD38</f>
        <v>-8027459.539788007</v>
      </c>
      <c r="AG38" s="2">
        <f>F38-H38-L38-U38-AA38-AB38-AD38-Y38</f>
        <v>-8461295.778778033</v>
      </c>
      <c r="AH38" s="2">
        <f>AH37+AG38</f>
        <v>-11633637.423322033</v>
      </c>
      <c r="AI38" s="2">
        <v>22690438.18837008</v>
      </c>
      <c r="AJ38" s="2">
        <f>AH38-AI38</f>
        <v>-34324075.611692116</v>
      </c>
      <c r="AK38" s="3">
        <v>0.25</v>
      </c>
    </row>
    <row r="39" spans="1:37">
      <c r="A39" s="2">
        <v>38</v>
      </c>
      <c r="B39" s="2">
        <v>2030</v>
      </c>
      <c r="C39" s="2">
        <v>13</v>
      </c>
      <c r="D39" s="2">
        <v>382443.52273</v>
      </c>
      <c r="E39" s="2">
        <v>4971765.79549</v>
      </c>
      <c r="F39" s="2">
        <f>E39/1.19</f>
        <v>4177954.4499915973</v>
      </c>
      <c r="G39" s="2">
        <v>20</v>
      </c>
      <c r="H39" s="2">
        <v>1774236.036934454</v>
      </c>
      <c r="I39" s="2">
        <v>46</v>
      </c>
      <c r="J39" s="2">
        <v>4035231.681201347</v>
      </c>
      <c r="K39" s="2">
        <v>1140391.562078641</v>
      </c>
      <c r="L39" s="2">
        <v>425052.3207407914</v>
      </c>
      <c r="M39" s="2">
        <v>3982989.915000001</v>
      </c>
      <c r="N39" s="3">
        <v>0.5</v>
      </c>
      <c r="O39" s="3">
        <v>0.5</v>
      </c>
      <c r="P39" s="2">
        <v>152981.78</v>
      </c>
      <c r="Q39" s="2">
        <v>261598.8438</v>
      </c>
      <c r="R39" s="2">
        <v>273181.75</v>
      </c>
      <c r="S39" s="2">
        <v>305963.56</v>
      </c>
      <c r="T39" s="2">
        <v>1775681.375</v>
      </c>
      <c r="U39" s="2">
        <f>M39+P39+Q39+R39+S39+T39</f>
        <v>6752397.2238</v>
      </c>
      <c r="V39" s="2">
        <f>F39-K39-L39-U39</f>
        <v>-4139886.6566278352</v>
      </c>
      <c r="W39" s="2">
        <v>235728.6239523657</v>
      </c>
      <c r="X39" s="2">
        <v>198107.6150376613</v>
      </c>
      <c r="Y39" s="2">
        <f>W39+X39</f>
        <v>433836.23899002705</v>
      </c>
      <c r="Z39" s="2">
        <v>24644738.6329002</v>
      </c>
      <c r="AA39" s="2">
        <v>0</v>
      </c>
      <c r="AB39" s="2">
        <v>0</v>
      </c>
      <c r="AC39" s="2">
        <v>0</v>
      </c>
      <c r="AD39" s="2">
        <v>0</v>
      </c>
      <c r="AE39" s="2">
        <v>333367.7206775462</v>
      </c>
      <c r="AF39" s="2">
        <f>F39-H39-L39-U39-AA39-AC39-AD39</f>
        <v>-4773731.131483648</v>
      </c>
      <c r="AG39" s="2">
        <f>F39-H39-L39-U39-AA39-AB39-AD39-Y39</f>
        <v>-5207567.370473675</v>
      </c>
      <c r="AH39" s="2">
        <f>AH38+AG39</f>
        <v>-16841204.79379571</v>
      </c>
      <c r="AI39" s="2">
        <v>22690438.18837008</v>
      </c>
      <c r="AJ39" s="2">
        <f>AH39-AI39</f>
        <v>-39531642.98216579</v>
      </c>
      <c r="AK39" s="3">
        <v>0.25</v>
      </c>
    </row>
    <row r="40" spans="1:37">
      <c r="A40" s="2">
        <v>39</v>
      </c>
      <c r="B40" s="2">
        <v>2030</v>
      </c>
      <c r="C40" s="2">
        <v>17</v>
      </c>
      <c r="D40" s="2">
        <v>382443.52273</v>
      </c>
      <c r="E40" s="2">
        <v>6501539.88641</v>
      </c>
      <c r="F40" s="2">
        <f>E40/1.19</f>
        <v>5463478.896142857</v>
      </c>
      <c r="G40" s="2">
        <v>20</v>
      </c>
      <c r="H40" s="2">
        <v>1774236.036934454</v>
      </c>
      <c r="I40" s="2">
        <v>49</v>
      </c>
      <c r="J40" s="2">
        <v>4313089.669525065</v>
      </c>
      <c r="K40" s="2">
        <v>1496378.048610736</v>
      </c>
      <c r="L40" s="2">
        <v>556245.392209359</v>
      </c>
      <c r="M40" s="2">
        <v>3982989.915000001</v>
      </c>
      <c r="N40" s="3">
        <v>0.5</v>
      </c>
      <c r="O40" s="3">
        <v>0.5</v>
      </c>
      <c r="P40" s="2">
        <v>152981.78</v>
      </c>
      <c r="Q40" s="2">
        <v>261598.8438</v>
      </c>
      <c r="R40" s="2">
        <v>273181.75</v>
      </c>
      <c r="S40" s="2">
        <v>305963.56</v>
      </c>
      <c r="T40" s="2">
        <v>1775681.375</v>
      </c>
      <c r="U40" s="2">
        <f>M40+P40+Q40+R40+S40+T40</f>
        <v>6752397.2238</v>
      </c>
      <c r="V40" s="2">
        <f>F40-K40-L40-U40</f>
        <v>-3341541.7684772382</v>
      </c>
      <c r="W40" s="2">
        <v>233848.8218145093</v>
      </c>
      <c r="X40" s="2">
        <v>199987.4171755178</v>
      </c>
      <c r="Y40" s="2">
        <f>W40+X40</f>
        <v>433836.23899002705</v>
      </c>
      <c r="Z40" s="2">
        <v>24444751.21572468</v>
      </c>
      <c r="AA40" s="2">
        <v>0</v>
      </c>
      <c r="AB40" s="2">
        <v>0</v>
      </c>
      <c r="AC40" s="2">
        <v>0</v>
      </c>
      <c r="AD40" s="2">
        <v>0</v>
      </c>
      <c r="AE40" s="2">
        <v>333367.7206775462</v>
      </c>
      <c r="AF40" s="2">
        <f>F40-H40-L40-U40-AA40-AC40-AD40</f>
        <v>-3619399.7568009556</v>
      </c>
      <c r="AG40" s="2">
        <f>F40-H40-L40-U40-AA40-AB40-AD40-Y40</f>
        <v>-4053235.9957909826</v>
      </c>
      <c r="AH40" s="2">
        <f>AH39+AG40</f>
        <v>-20894440.789586693</v>
      </c>
      <c r="AI40" s="2">
        <v>22690438.18837008</v>
      </c>
      <c r="AJ40" s="2">
        <f>AH40-AI40</f>
        <v>-43584878.97795677</v>
      </c>
      <c r="AK40" s="3">
        <v>0.25</v>
      </c>
    </row>
    <row r="41" spans="1:37">
      <c r="A41" s="2">
        <v>40</v>
      </c>
      <c r="B41" s="2">
        <v>2030</v>
      </c>
      <c r="C41" s="2">
        <v>21</v>
      </c>
      <c r="D41" s="2">
        <v>382443.52273</v>
      </c>
      <c r="E41" s="2">
        <v>8031313.97733</v>
      </c>
      <c r="F41" s="2">
        <f>E41/1.19</f>
        <v>6749003.342294118</v>
      </c>
      <c r="G41" s="2">
        <v>30</v>
      </c>
      <c r="H41" s="2">
        <v>2661354.055401681</v>
      </c>
      <c r="I41" s="2">
        <v>58</v>
      </c>
      <c r="J41" s="2">
        <v>5120477.671465205</v>
      </c>
      <c r="K41" s="2">
        <v>1853966.05346154</v>
      </c>
      <c r="L41" s="2">
        <v>687566.5851434233</v>
      </c>
      <c r="M41" s="2">
        <v>3982989.915000001</v>
      </c>
      <c r="N41" s="3">
        <v>0.5</v>
      </c>
      <c r="O41" s="3">
        <v>0.5</v>
      </c>
      <c r="P41" s="2">
        <v>152981.78</v>
      </c>
      <c r="Q41" s="2">
        <v>261598.8438</v>
      </c>
      <c r="R41" s="2">
        <v>273181.75</v>
      </c>
      <c r="S41" s="2">
        <v>305963.56</v>
      </c>
      <c r="T41" s="2">
        <v>1775681.375</v>
      </c>
      <c r="U41" s="2">
        <f>M41+P41+Q41+R41+S41+T41</f>
        <v>6752397.2238</v>
      </c>
      <c r="V41" s="2">
        <f>F41-K41-L41-U41</f>
        <v>-2544926.5201108446</v>
      </c>
      <c r="W41" s="2">
        <v>231951.1826234087</v>
      </c>
      <c r="X41" s="2">
        <v>201885.0563666183</v>
      </c>
      <c r="Y41" s="2">
        <f>W41+X41</f>
        <v>433836.23899002705</v>
      </c>
      <c r="Z41" s="2">
        <v>24242866.15935807</v>
      </c>
      <c r="AA41" s="2">
        <v>0</v>
      </c>
      <c r="AB41" s="2">
        <v>0</v>
      </c>
      <c r="AC41" s="2">
        <v>0</v>
      </c>
      <c r="AD41" s="2">
        <v>166683.8603387731</v>
      </c>
      <c r="AE41" s="2">
        <v>500051.5810163193</v>
      </c>
      <c r="AF41" s="2">
        <f>F41-H41-L41-U41-AA41-AC41-AD41</f>
        <v>-3518998.3823897587</v>
      </c>
      <c r="AG41" s="2">
        <f>F41-H41-L41-U41-AA41-AB41-AD41-Y41</f>
        <v>-3952834.6213797857</v>
      </c>
      <c r="AH41" s="2">
        <f>AH40+AG41</f>
        <v>-24847275.41096648</v>
      </c>
      <c r="AI41" s="2">
        <v>22690438.18837008</v>
      </c>
      <c r="AJ41" s="2">
        <f>AH41-AI41</f>
        <v>-47537713.599336565</v>
      </c>
      <c r="AK41" s="3">
        <v>0.25</v>
      </c>
    </row>
    <row r="42" spans="1:37">
      <c r="A42" s="2">
        <v>41</v>
      </c>
      <c r="B42" s="2">
        <v>2030</v>
      </c>
      <c r="C42" s="2">
        <v>25</v>
      </c>
      <c r="D42" s="2">
        <v>382443.52273</v>
      </c>
      <c r="E42" s="2">
        <v>9561088.06825</v>
      </c>
      <c r="F42" s="2">
        <f>E42/1.19</f>
        <v>8034527.788445379</v>
      </c>
      <c r="G42" s="2">
        <v>40</v>
      </c>
      <c r="H42" s="2">
        <v>3548472.073868908</v>
      </c>
      <c r="I42" s="2">
        <v>73</v>
      </c>
      <c r="J42" s="2">
        <v>6457482.973565207</v>
      </c>
      <c r="K42" s="2">
        <v>2211466.771768906</v>
      </c>
      <c r="L42" s="2">
        <v>818880.7951540125</v>
      </c>
      <c r="M42" s="2">
        <v>3982989.915000001</v>
      </c>
      <c r="N42" s="3">
        <v>0.5</v>
      </c>
      <c r="O42" s="3">
        <v>0.5</v>
      </c>
      <c r="P42" s="2">
        <v>152981.78</v>
      </c>
      <c r="Q42" s="2">
        <v>261598.8438</v>
      </c>
      <c r="R42" s="2">
        <v>273181.75</v>
      </c>
      <c r="S42" s="2">
        <v>305963.56</v>
      </c>
      <c r="T42" s="2">
        <v>1775681.375</v>
      </c>
      <c r="U42" s="2">
        <f>M42+P42+Q42+R42+S42+T42</f>
        <v>6752397.2238</v>
      </c>
      <c r="V42" s="2">
        <f>F42-K42-L42-U42</f>
        <v>-1748217.00227754</v>
      </c>
      <c r="W42" s="2">
        <v>230035.5371269592</v>
      </c>
      <c r="X42" s="2">
        <v>203800.7018630678</v>
      </c>
      <c r="Y42" s="2">
        <f>W42+X42</f>
        <v>433836.23899002705</v>
      </c>
      <c r="Z42" s="2">
        <v>24039065.457495</v>
      </c>
      <c r="AA42" s="2">
        <v>0</v>
      </c>
      <c r="AB42" s="2">
        <v>0</v>
      </c>
      <c r="AC42" s="2">
        <v>0</v>
      </c>
      <c r="AD42" s="2">
        <v>166683.8603387731</v>
      </c>
      <c r="AE42" s="2">
        <v>666735.4413550925</v>
      </c>
      <c r="AF42" s="2">
        <f>F42-H42-L42-U42-AA42-AC42-AD42</f>
        <v>-3251906.164716315</v>
      </c>
      <c r="AG42" s="2">
        <f>F42-H42-L42-U42-AA42-AB42-AD42-Y42</f>
        <v>-3685742.403706342</v>
      </c>
      <c r="AH42" s="2">
        <f>AH41+AG42</f>
        <v>-28533017.81467282</v>
      </c>
      <c r="AI42" s="2">
        <v>22690438.18837008</v>
      </c>
      <c r="AJ42" s="2">
        <f>AH42-AI42</f>
        <v>-51223456.00304291</v>
      </c>
      <c r="AK42" s="3">
        <v>0.25</v>
      </c>
    </row>
    <row r="43" spans="1:37">
      <c r="A43" s="2">
        <v>42</v>
      </c>
      <c r="B43" s="2">
        <v>2030</v>
      </c>
      <c r="C43" s="2">
        <v>30</v>
      </c>
      <c r="D43" s="2">
        <v>382443.52273</v>
      </c>
      <c r="E43" s="2">
        <v>11473305.6819</v>
      </c>
      <c r="F43" s="2">
        <f>E43/1.19</f>
        <v>9641433.346134454</v>
      </c>
      <c r="G43" s="2">
        <v>40</v>
      </c>
      <c r="H43" s="2">
        <v>3548472.073868908</v>
      </c>
      <c r="I43" s="2">
        <v>83</v>
      </c>
      <c r="J43" s="2">
        <v>7349506.804752491</v>
      </c>
      <c r="K43" s="2">
        <v>2656448.242681623</v>
      </c>
      <c r="L43" s="2">
        <v>982872.0035095299</v>
      </c>
      <c r="M43" s="2">
        <v>3982989.915000001</v>
      </c>
      <c r="N43" s="3">
        <v>0.5</v>
      </c>
      <c r="O43" s="3">
        <v>0.5</v>
      </c>
      <c r="P43" s="2">
        <v>152981.78</v>
      </c>
      <c r="Q43" s="2">
        <v>261598.8438</v>
      </c>
      <c r="R43" s="2">
        <v>273181.75</v>
      </c>
      <c r="S43" s="2">
        <v>305963.56</v>
      </c>
      <c r="T43" s="2">
        <v>1775681.375</v>
      </c>
      <c r="U43" s="2">
        <f>M43+P43+Q43+R43+S43+T43</f>
        <v>6752397.2238</v>
      </c>
      <c r="V43" s="2">
        <f>F43-K43-L43-U43</f>
        <v>-750284.1238566982</v>
      </c>
      <c r="W43" s="2">
        <v>228101.7144670579</v>
      </c>
      <c r="X43" s="2">
        <v>205734.5245229692</v>
      </c>
      <c r="Y43" s="2">
        <f>W43+X43</f>
        <v>433836.23899002705</v>
      </c>
      <c r="Z43" s="2">
        <v>23833330.93297203</v>
      </c>
      <c r="AA43" s="2">
        <v>0</v>
      </c>
      <c r="AB43" s="2">
        <v>0</v>
      </c>
      <c r="AC43" s="2">
        <v>0</v>
      </c>
      <c r="AD43" s="2">
        <v>0</v>
      </c>
      <c r="AE43" s="2">
        <v>666735.4413550925</v>
      </c>
      <c r="AF43" s="2">
        <f>F43-H43-L43-U43-AA43-AC43-AD43</f>
        <v>-1642307.9550439836</v>
      </c>
      <c r="AG43" s="2">
        <f>F43-H43-L43-U43-AA43-AB43-AD43-Y43</f>
        <v>-2076144.1940340106</v>
      </c>
      <c r="AH43" s="2">
        <f>AH42+AG43</f>
        <v>-30609162.00870683</v>
      </c>
      <c r="AI43" s="2">
        <v>22690438.18837008</v>
      </c>
      <c r="AJ43" s="2">
        <f>AH43-AI43</f>
        <v>-53299600.19707692</v>
      </c>
      <c r="AK43" s="3">
        <v>0.25</v>
      </c>
    </row>
    <row r="44" spans="1:37">
      <c r="A44" s="2">
        <v>43</v>
      </c>
      <c r="B44" s="2">
        <v>2030</v>
      </c>
      <c r="C44" s="2">
        <v>34</v>
      </c>
      <c r="D44" s="2">
        <v>382443.52273</v>
      </c>
      <c r="E44" s="2">
        <v>13003079.77282</v>
      </c>
      <c r="F44" s="2">
        <f>E44/1.19</f>
        <v>10926957.792285714</v>
      </c>
      <c r="G44" s="2">
        <v>40</v>
      </c>
      <c r="H44" s="2">
        <v>3548472.073868908</v>
      </c>
      <c r="I44" s="2">
        <v>89</v>
      </c>
      <c r="J44" s="2">
        <v>7885529.432498411</v>
      </c>
      <c r="K44" s="2">
        <v>3012449.446122988</v>
      </c>
      <c r="L44" s="2">
        <v>1114066.252330839</v>
      </c>
      <c r="M44" s="2">
        <v>3982989.915000001</v>
      </c>
      <c r="N44" s="3">
        <v>0.5</v>
      </c>
      <c r="O44" s="3">
        <v>0.5</v>
      </c>
      <c r="P44" s="2">
        <v>152981.78</v>
      </c>
      <c r="Q44" s="2">
        <v>261598.8438</v>
      </c>
      <c r="R44" s="2">
        <v>273181.75</v>
      </c>
      <c r="S44" s="2">
        <v>305963.56</v>
      </c>
      <c r="T44" s="2">
        <v>1775681.375</v>
      </c>
      <c r="U44" s="2">
        <f>M44+P44+Q44+R44+S44+T44</f>
        <v>6752397.2238</v>
      </c>
      <c r="V44" s="2">
        <f>F44-K44-L44-U44</f>
        <v>48044.870031887665</v>
      </c>
      <c r="W44" s="2">
        <v>226149.5421643645</v>
      </c>
      <c r="X44" s="2">
        <v>207686.6968256625</v>
      </c>
      <c r="Y44" s="2">
        <f>W44+X44</f>
        <v>433836.23899002705</v>
      </c>
      <c r="Z44" s="2">
        <v>23625644.23614637</v>
      </c>
      <c r="AA44" s="2">
        <v>0</v>
      </c>
      <c r="AB44" s="2">
        <v>0</v>
      </c>
      <c r="AC44" s="2">
        <v>0</v>
      </c>
      <c r="AD44" s="2">
        <v>0</v>
      </c>
      <c r="AE44" s="2">
        <v>666735.4413550925</v>
      </c>
      <c r="AF44" s="2">
        <f>F44-H44-L44-U44-AA44-AC44-AD44</f>
        <v>-487977.7577140331</v>
      </c>
      <c r="AG44" s="2">
        <f>F44-H44-L44-U44-AA44-AB44-AD44-Y44</f>
        <v>-921813.9967040601</v>
      </c>
      <c r="AH44" s="2">
        <f>AH43+AG44</f>
        <v>-31530976.00541089</v>
      </c>
      <c r="AI44" s="2">
        <v>22690438.18837008</v>
      </c>
      <c r="AJ44" s="2">
        <f>AH44-AI44</f>
        <v>-54221414.19378097</v>
      </c>
      <c r="AK44" s="3">
        <v>0.25</v>
      </c>
    </row>
    <row r="45" spans="1:37">
      <c r="A45" s="2">
        <v>44</v>
      </c>
      <c r="B45" s="2">
        <v>2030</v>
      </c>
      <c r="C45" s="2">
        <v>42</v>
      </c>
      <c r="D45" s="2">
        <v>382443.52273</v>
      </c>
      <c r="E45" s="2">
        <v>16062627.95466</v>
      </c>
      <c r="F45" s="2">
        <f>E45/1.19</f>
        <v>13498006.684588237</v>
      </c>
      <c r="G45" s="2">
        <v>60</v>
      </c>
      <c r="H45" s="2">
        <v>5322708.110803362</v>
      </c>
      <c r="I45" s="2">
        <v>107</v>
      </c>
      <c r="J45" s="2">
        <v>9485110.182102615</v>
      </c>
      <c r="K45" s="2">
        <v>3723127.361199158</v>
      </c>
      <c r="L45" s="2">
        <v>1376348.790628933</v>
      </c>
      <c r="M45" s="2">
        <v>3982989.915000001</v>
      </c>
      <c r="N45" s="3">
        <v>0.5</v>
      </c>
      <c r="O45" s="3">
        <v>0.5</v>
      </c>
      <c r="P45" s="2">
        <v>152981.78</v>
      </c>
      <c r="Q45" s="2">
        <v>261598.8438</v>
      </c>
      <c r="R45" s="2">
        <v>273181.75</v>
      </c>
      <c r="S45" s="2">
        <v>305963.56</v>
      </c>
      <c r="T45" s="2">
        <v>1775681.375</v>
      </c>
      <c r="U45" s="2">
        <f>M45+P45+Q45+R45+S45+T45</f>
        <v>6752397.2238</v>
      </c>
      <c r="V45" s="2">
        <f>F45-K45-L45-U45</f>
        <v>1646133.3089601472</v>
      </c>
      <c r="W45" s="2">
        <v>224178.8461029183</v>
      </c>
      <c r="X45" s="2">
        <v>209657.3928871087</v>
      </c>
      <c r="Y45" s="2">
        <f>W45+X45</f>
        <v>433836.23899002705</v>
      </c>
      <c r="Z45" s="2">
        <v>23415986.84325926</v>
      </c>
      <c r="AA45" s="2">
        <v>0</v>
      </c>
      <c r="AB45" s="2">
        <v>0</v>
      </c>
      <c r="AC45" s="2">
        <v>0</v>
      </c>
      <c r="AD45" s="2">
        <v>333367.7206775462</v>
      </c>
      <c r="AE45" s="2">
        <v>1000103.162032639</v>
      </c>
      <c r="AF45" s="2">
        <f>F45-H45-L45-U45-AA45-AC45-AD45</f>
        <v>-286815.1613216037</v>
      </c>
      <c r="AG45" s="2">
        <f>F45-H45-L45-U45-AA45-AB45-AD45-Y45</f>
        <v>-720651.4003116307</v>
      </c>
      <c r="AH45" s="2">
        <f>AH44+AG45</f>
        <v>-32251627.40572252</v>
      </c>
      <c r="AI45" s="2">
        <v>22690438.18837008</v>
      </c>
      <c r="AJ45" s="2">
        <f>AH45-AI45</f>
        <v>-54942065.59409261</v>
      </c>
      <c r="AK45" s="3">
        <v>0.25</v>
      </c>
    </row>
    <row r="46" spans="1:37">
      <c r="A46" s="2">
        <v>45</v>
      </c>
      <c r="B46" s="2">
        <v>2030</v>
      </c>
      <c r="C46" s="2">
        <v>46</v>
      </c>
      <c r="D46" s="2">
        <v>382443.52273</v>
      </c>
      <c r="E46" s="2">
        <v>17592402.04558</v>
      </c>
      <c r="F46" s="2">
        <f>E46/1.19</f>
        <v>14783531.130739497</v>
      </c>
      <c r="G46" s="2">
        <v>60</v>
      </c>
      <c r="H46" s="2">
        <v>5322708.110803362</v>
      </c>
      <c r="I46" s="2">
        <v>121</v>
      </c>
      <c r="J46" s="2">
        <v>10729018.04456062</v>
      </c>
      <c r="K46" s="2">
        <v>4078800.248345359</v>
      </c>
      <c r="L46" s="2">
        <v>1507516.774146629</v>
      </c>
      <c r="M46" s="2">
        <v>3982989.915000001</v>
      </c>
      <c r="N46" s="3">
        <v>0.5</v>
      </c>
      <c r="O46" s="3">
        <v>0.5</v>
      </c>
      <c r="P46" s="2">
        <v>152981.78</v>
      </c>
      <c r="Q46" s="2">
        <v>261598.8438</v>
      </c>
      <c r="R46" s="2">
        <v>273181.75</v>
      </c>
      <c r="S46" s="2">
        <v>305963.56</v>
      </c>
      <c r="T46" s="2">
        <v>1775681.375</v>
      </c>
      <c r="U46" s="2">
        <f>M46+P46+Q46+R46+S46+T46</f>
        <v>6752397.2238</v>
      </c>
      <c r="V46" s="2">
        <f>F46-K46-L46-U46</f>
        <v>2444816.8844475094</v>
      </c>
      <c r="W46" s="2">
        <v>222189.450514608</v>
      </c>
      <c r="X46" s="2">
        <v>211646.788475419</v>
      </c>
      <c r="Y46" s="2">
        <f>W46+X46</f>
        <v>433836.23899002705</v>
      </c>
      <c r="Z46" s="2">
        <v>23204340.05478384</v>
      </c>
      <c r="AA46" s="2">
        <v>0</v>
      </c>
      <c r="AB46" s="2">
        <v>0</v>
      </c>
      <c r="AC46" s="2">
        <v>0</v>
      </c>
      <c r="AD46" s="2">
        <v>0</v>
      </c>
      <c r="AE46" s="2">
        <v>1000103.162032639</v>
      </c>
      <c r="AF46" s="2">
        <f>F46-H46-L46-U46-AA46-AC46-AD46</f>
        <v>1200909.0219895067</v>
      </c>
      <c r="AG46" s="2">
        <f>F46-H46-L46-U46-AA46-AB46-AD46-Y46</f>
        <v>767072.7829994797</v>
      </c>
      <c r="AH46" s="2">
        <f>AH45+AG46</f>
        <v>-31484554.622723043</v>
      </c>
      <c r="AI46" s="2">
        <v>22690438.18837008</v>
      </c>
      <c r="AJ46" s="2">
        <f>AH46-AI46</f>
        <v>-54174992.81109312</v>
      </c>
      <c r="AK46" s="3">
        <v>0.25</v>
      </c>
    </row>
    <row r="47" spans="1:37">
      <c r="A47" s="2">
        <v>46</v>
      </c>
      <c r="B47" s="2">
        <v>2030</v>
      </c>
      <c r="C47" s="2">
        <v>55</v>
      </c>
      <c r="D47" s="2">
        <v>382443.52273</v>
      </c>
      <c r="E47" s="2">
        <v>21034393.75015</v>
      </c>
      <c r="F47" s="2">
        <f>E47/1.19</f>
        <v>17675961.13457983</v>
      </c>
      <c r="G47" s="2">
        <v>70</v>
      </c>
      <c r="H47" s="2">
        <v>6209826.129270589</v>
      </c>
      <c r="I47" s="2">
        <v>136</v>
      </c>
      <c r="J47" s="2">
        <v>12061166.53215206</v>
      </c>
      <c r="K47" s="2">
        <v>4877677.641679144</v>
      </c>
      <c r="L47" s="2">
        <v>1802533.808841832</v>
      </c>
      <c r="M47" s="2">
        <v>3982989.915000001</v>
      </c>
      <c r="N47" s="3">
        <v>0.5</v>
      </c>
      <c r="O47" s="3">
        <v>0.5</v>
      </c>
      <c r="P47" s="2">
        <v>152981.78</v>
      </c>
      <c r="Q47" s="2">
        <v>261598.8438</v>
      </c>
      <c r="R47" s="2">
        <v>273181.75</v>
      </c>
      <c r="S47" s="2">
        <v>305963.56</v>
      </c>
      <c r="T47" s="2">
        <v>1775681.375</v>
      </c>
      <c r="U47" s="2">
        <f>M47+P47+Q47+R47+S47+T47</f>
        <v>6752397.2238</v>
      </c>
      <c r="V47" s="2">
        <f>F47-K47-L47-U47</f>
        <v>4243352.460258853</v>
      </c>
      <c r="W47" s="2">
        <v>220181.1779634953</v>
      </c>
      <c r="X47" s="2">
        <v>213655.0610265318</v>
      </c>
      <c r="Y47" s="2">
        <f>W47+X47</f>
        <v>433836.23899002705</v>
      </c>
      <c r="Z47" s="2">
        <v>22990684.99375731</v>
      </c>
      <c r="AA47" s="2">
        <v>0</v>
      </c>
      <c r="AB47" s="2">
        <v>0</v>
      </c>
      <c r="AC47" s="2">
        <v>0</v>
      </c>
      <c r="AD47" s="2">
        <v>166683.8603387733</v>
      </c>
      <c r="AE47" s="2">
        <v>1166787.022371412</v>
      </c>
      <c r="AF47" s="2">
        <f>F47-H47-L47-U47-AA47-AC47-AD47</f>
        <v>2744520.1123286355</v>
      </c>
      <c r="AG47" s="2">
        <f>F47-H47-L47-U47-AA47-AB47-AD47-Y47</f>
        <v>2310683.8733386085</v>
      </c>
      <c r="AH47" s="2">
        <f>AH46+AG47</f>
        <v>-29173870.749384433</v>
      </c>
      <c r="AI47" s="2">
        <v>22690438.18837008</v>
      </c>
      <c r="AJ47" s="2">
        <f>AH47-AI47</f>
        <v>-51864308.93775451</v>
      </c>
      <c r="AK47" s="3">
        <v>0.25</v>
      </c>
    </row>
    <row r="48" spans="1:37">
      <c r="A48" s="2">
        <v>47</v>
      </c>
      <c r="B48" s="2">
        <v>2030</v>
      </c>
      <c r="C48" s="2">
        <v>59</v>
      </c>
      <c r="D48" s="2">
        <v>382443.52273</v>
      </c>
      <c r="E48" s="2">
        <v>22564167.84107</v>
      </c>
      <c r="F48" s="2">
        <f>E48/1.19</f>
        <v>18961485.580731094</v>
      </c>
      <c r="G48" s="2">
        <v>10</v>
      </c>
      <c r="H48" s="2">
        <v>887118.018467227</v>
      </c>
      <c r="I48" s="2">
        <v>87</v>
      </c>
      <c r="J48" s="2">
        <v>7715758.602081358</v>
      </c>
      <c r="K48" s="2">
        <v>5232525.948537933</v>
      </c>
      <c r="L48" s="2">
        <v>1933635.825936535</v>
      </c>
      <c r="M48" s="2">
        <v>3982989.915000001</v>
      </c>
      <c r="N48" s="3">
        <v>0.5</v>
      </c>
      <c r="O48" s="3">
        <v>0.5</v>
      </c>
      <c r="P48" s="2">
        <v>152981.78</v>
      </c>
      <c r="Q48" s="2">
        <v>261598.8438</v>
      </c>
      <c r="R48" s="2">
        <v>273181.75</v>
      </c>
      <c r="S48" s="2">
        <v>305963.56</v>
      </c>
      <c r="T48" s="2">
        <v>1775681.375</v>
      </c>
      <c r="U48" s="2">
        <f>M48+P48+Q48+R48+S48+T48</f>
        <v>6752397.2238</v>
      </c>
      <c r="V48" s="2">
        <f>F48-K48-L48-U48</f>
        <v>5042926.582456626</v>
      </c>
      <c r="W48" s="2">
        <v>218153.8493299888</v>
      </c>
      <c r="X48" s="2">
        <v>215682.3896600383</v>
      </c>
      <c r="Y48" s="2">
        <f>W48+X48</f>
        <v>433836.23899002705</v>
      </c>
      <c r="Z48" s="2">
        <v>22775002.60409727</v>
      </c>
      <c r="AA48" s="2">
        <v>0</v>
      </c>
      <c r="AB48" s="2">
        <v>0</v>
      </c>
      <c r="AC48" s="2">
        <v>0</v>
      </c>
      <c r="AD48" s="2">
        <v>-1000103.162032639</v>
      </c>
      <c r="AE48" s="2">
        <v>166683.8603387731</v>
      </c>
      <c r="AF48" s="2">
        <f>F48-H48-L48-U48-AA48-AC48-AD48</f>
        <v>10388437.674559973</v>
      </c>
      <c r="AG48" s="2">
        <f>F48-H48-L48-U48-AA48-AB48-AD48-Y48</f>
        <v>9954601.435569946</v>
      </c>
      <c r="AH48" s="2">
        <f>AH47+AG48</f>
        <v>-19219269.313814487</v>
      </c>
      <c r="AI48" s="2">
        <v>22690438.18837008</v>
      </c>
      <c r="AJ48" s="2">
        <f>AH48-AI48</f>
        <v>-41909707.50218457</v>
      </c>
      <c r="AK48" s="3">
        <v>0.25</v>
      </c>
    </row>
    <row r="49" spans="1:37">
      <c r="A49" s="2">
        <v>48</v>
      </c>
      <c r="B49" s="2">
        <v>2030</v>
      </c>
      <c r="C49" s="2">
        <v>72</v>
      </c>
      <c r="D49" s="2">
        <v>382443.52273</v>
      </c>
      <c r="E49" s="2">
        <v>27535933.63656</v>
      </c>
      <c r="F49" s="2">
        <f>E49/1.19</f>
        <v>23139440.03072269</v>
      </c>
      <c r="G49" s="2">
        <v>20</v>
      </c>
      <c r="H49" s="2">
        <v>1774236.036934454</v>
      </c>
      <c r="I49" s="2">
        <v>35</v>
      </c>
      <c r="J49" s="2">
        <v>3104203.853883676</v>
      </c>
      <c r="K49" s="2">
        <v>6385790.785132136</v>
      </c>
      <c r="L49" s="2">
        <v>2359718.008638571</v>
      </c>
      <c r="M49" s="2">
        <v>3982989.915000001</v>
      </c>
      <c r="N49" s="3">
        <v>0.5</v>
      </c>
      <c r="O49" s="3">
        <v>0.5</v>
      </c>
      <c r="P49" s="2">
        <v>152981.78</v>
      </c>
      <c r="Q49" s="2">
        <v>261598.8438</v>
      </c>
      <c r="R49" s="2">
        <v>273181.75</v>
      </c>
      <c r="S49" s="2">
        <v>305963.56</v>
      </c>
      <c r="T49" s="2">
        <v>1775681.375</v>
      </c>
      <c r="U49" s="2">
        <f>M49+P49+Q49+R49+S49+T49</f>
        <v>6752397.2238</v>
      </c>
      <c r="V49" s="2">
        <f>F49-K49-L49-U49</f>
        <v>7641534.013151981</v>
      </c>
      <c r="W49" s="2">
        <v>216107.2837948687</v>
      </c>
      <c r="X49" s="2">
        <v>217728.9551951584</v>
      </c>
      <c r="Y49" s="2">
        <f>W49+X49</f>
        <v>433836.23899002705</v>
      </c>
      <c r="Z49" s="2">
        <v>22557273.64890211</v>
      </c>
      <c r="AA49" s="2">
        <v>0</v>
      </c>
      <c r="AB49" s="2">
        <v>0</v>
      </c>
      <c r="AC49" s="2">
        <v>0</v>
      </c>
      <c r="AD49" s="2">
        <v>166683.8603387731</v>
      </c>
      <c r="AE49" s="2">
        <v>333367.7206775462</v>
      </c>
      <c r="AF49" s="2">
        <f>F49-H49-L49-U49-AA49-AC49-AD49</f>
        <v>12086404.90101089</v>
      </c>
      <c r="AG49" s="2">
        <f>F49-H49-L49-U49-AA49-AB49-AD49-Y49</f>
        <v>11652568.662020862</v>
      </c>
      <c r="AH49" s="2">
        <f>AH48+AG49</f>
        <v>-7566700.651793625</v>
      </c>
      <c r="AI49" s="2">
        <v>22690438.18837008</v>
      </c>
      <c r="AJ49" s="2">
        <f>AH49-AI49</f>
        <v>-30257138.840163708</v>
      </c>
      <c r="AK49" s="3">
        <v>0.25</v>
      </c>
    </row>
    <row r="50" spans="1:37">
      <c r="A50" s="2">
        <v>49</v>
      </c>
      <c r="B50" s="2">
        <v>2031</v>
      </c>
      <c r="C50" s="2">
        <v>11</v>
      </c>
      <c r="D50" s="2">
        <v>393916.8284119</v>
      </c>
      <c r="E50" s="2">
        <v>4333085.1125309</v>
      </c>
      <c r="F50" s="2">
        <f>E50/1.19</f>
        <v>3641247.9937234456</v>
      </c>
      <c r="G50" s="2">
        <v>20</v>
      </c>
      <c r="H50" s="2">
        <v>1827463.118042488</v>
      </c>
      <c r="I50" s="2">
        <v>44</v>
      </c>
      <c r="J50" s="2">
        <v>3945333.577540931</v>
      </c>
      <c r="K50" s="2">
        <v>986333.3943852328</v>
      </c>
      <c r="L50" s="2">
        <v>369844.5086373637</v>
      </c>
      <c r="M50" s="2">
        <v>5773860.195300001</v>
      </c>
      <c r="N50" s="3">
        <v>1</v>
      </c>
      <c r="O50" s="3">
        <v>1</v>
      </c>
      <c r="P50" s="2">
        <v>180081.4096</v>
      </c>
      <c r="Q50" s="2">
        <v>324259.0881610001</v>
      </c>
      <c r="R50" s="2">
        <v>281377.2025</v>
      </c>
      <c r="S50" s="2">
        <v>315142.4668000001</v>
      </c>
      <c r="T50" s="2">
        <v>2391706.22125</v>
      </c>
      <c r="U50" s="2">
        <f>M50+P50+Q50+R50+S50+T50</f>
        <v>9266426.583611</v>
      </c>
      <c r="V50" s="2">
        <f>F50-K50-L50-U50</f>
        <v>-6981356.49291015</v>
      </c>
      <c r="W50" s="2">
        <v>214041.2988231587</v>
      </c>
      <c r="X50" s="2">
        <v>219794.9401668684</v>
      </c>
      <c r="Y50" s="2">
        <f>W50+X50</f>
        <v>433836.23899002705</v>
      </c>
      <c r="Z50" s="2">
        <v>22337478.70873524</v>
      </c>
      <c r="AA50" s="2">
        <v>0</v>
      </c>
      <c r="AB50" s="2">
        <v>0</v>
      </c>
      <c r="AC50" s="2">
        <v>0</v>
      </c>
      <c r="AD50" s="2">
        <v>10001.03162032645</v>
      </c>
      <c r="AE50" s="2">
        <v>343368.7522978727</v>
      </c>
      <c r="AF50" s="2">
        <f>F50-H50-L50-U50-AA50-AC50-AD50</f>
        <v>-7832487.248187733</v>
      </c>
      <c r="AG50" s="2">
        <f>F50-H50-L50-U50-AA50-AB50-AD50-Y50</f>
        <v>-8266323.48717776</v>
      </c>
      <c r="AH50" s="2">
        <f>AH49+AG50</f>
        <v>-15833024.138971385</v>
      </c>
      <c r="AI50" s="2">
        <v>30232526.26780308</v>
      </c>
      <c r="AJ50" s="2">
        <f>AH50-AI50</f>
        <v>-46065550.40677447</v>
      </c>
      <c r="AK50" s="3">
        <v>0.25</v>
      </c>
    </row>
    <row r="51" spans="1:37">
      <c r="A51" s="2">
        <v>50</v>
      </c>
      <c r="B51" s="2">
        <v>2031</v>
      </c>
      <c r="C51" s="2">
        <v>16</v>
      </c>
      <c r="D51" s="2">
        <v>393916.8284119</v>
      </c>
      <c r="E51" s="2">
        <v>6302669.2545904</v>
      </c>
      <c r="F51" s="2">
        <f>E51/1.19</f>
        <v>5296360.718143194</v>
      </c>
      <c r="G51" s="2">
        <v>30</v>
      </c>
      <c r="H51" s="2">
        <v>2741194.677063731</v>
      </c>
      <c r="I51" s="2">
        <v>58</v>
      </c>
      <c r="J51" s="2">
        <v>5240792.415771222</v>
      </c>
      <c r="K51" s="2">
        <v>1445735.838833441</v>
      </c>
      <c r="L51" s="2">
        <v>538841.1755961953</v>
      </c>
      <c r="M51" s="2">
        <v>5773860.195300001</v>
      </c>
      <c r="N51" s="3">
        <v>1</v>
      </c>
      <c r="O51" s="3">
        <v>1</v>
      </c>
      <c r="P51" s="2">
        <v>180081.4096</v>
      </c>
      <c r="Q51" s="2">
        <v>324259.0881610001</v>
      </c>
      <c r="R51" s="2">
        <v>281377.2025</v>
      </c>
      <c r="S51" s="2">
        <v>315142.4668000001</v>
      </c>
      <c r="T51" s="2">
        <v>2391706.22125</v>
      </c>
      <c r="U51" s="2">
        <f>M51+P51+Q51+R51+S51+T51</f>
        <v>9266426.583611</v>
      </c>
      <c r="V51" s="2">
        <f>F51-K51-L51-U51</f>
        <v>-5954642.879897442</v>
      </c>
      <c r="W51" s="2">
        <v>211955.7101478462</v>
      </c>
      <c r="X51" s="2">
        <v>221880.5288421809</v>
      </c>
      <c r="Y51" s="2">
        <f>W51+X51</f>
        <v>433836.23899002705</v>
      </c>
      <c r="Z51" s="2">
        <v>22115598.17989306</v>
      </c>
      <c r="AA51" s="2">
        <v>0</v>
      </c>
      <c r="AB51" s="2">
        <v>0</v>
      </c>
      <c r="AC51" s="2">
        <v>0</v>
      </c>
      <c r="AD51" s="2">
        <v>171684.3761489363</v>
      </c>
      <c r="AE51" s="2">
        <v>515053.128446809</v>
      </c>
      <c r="AF51" s="2">
        <f>F51-H51-L51-U51-AA51-AC51-AD51</f>
        <v>-7421786.094276669</v>
      </c>
      <c r="AG51" s="2">
        <f>F51-H51-L51-U51-AA51-AB51-AD51-Y51</f>
        <v>-7855622.333266697</v>
      </c>
      <c r="AH51" s="2">
        <f>AH50+AG51</f>
        <v>-23688646.472238082</v>
      </c>
      <c r="AI51" s="2">
        <v>30232526.26780308</v>
      </c>
      <c r="AJ51" s="2">
        <f>AH51-AI51</f>
        <v>-53921172.74004117</v>
      </c>
      <c r="AK51" s="3">
        <v>0.25</v>
      </c>
    </row>
    <row r="52" spans="1:37">
      <c r="A52" s="2">
        <v>51</v>
      </c>
      <c r="B52" s="2">
        <v>2031</v>
      </c>
      <c r="C52" s="2">
        <v>22</v>
      </c>
      <c r="D52" s="2">
        <v>393916.8284119</v>
      </c>
      <c r="E52" s="2">
        <v>8666170.2250618</v>
      </c>
      <c r="F52" s="2">
        <f>E52/1.19</f>
        <v>7282495.987446891</v>
      </c>
      <c r="G52" s="2">
        <v>30</v>
      </c>
      <c r="H52" s="2">
        <v>2741194.677063731</v>
      </c>
      <c r="I52" s="2">
        <v>66</v>
      </c>
      <c r="J52" s="2">
        <v>5986490.319626215</v>
      </c>
      <c r="K52" s="2">
        <v>1995496.773208738</v>
      </c>
      <c r="L52" s="2">
        <v>741515.4160297893</v>
      </c>
      <c r="M52" s="2">
        <v>5773860.195300001</v>
      </c>
      <c r="N52" s="3">
        <v>1</v>
      </c>
      <c r="O52" s="3">
        <v>1</v>
      </c>
      <c r="P52" s="2">
        <v>180081.4096</v>
      </c>
      <c r="Q52" s="2">
        <v>324259.0881610001</v>
      </c>
      <c r="R52" s="2">
        <v>281377.2025</v>
      </c>
      <c r="S52" s="2">
        <v>315142.4668000001</v>
      </c>
      <c r="T52" s="2">
        <v>2391706.22125</v>
      </c>
      <c r="U52" s="2">
        <f>M52+P52+Q52+R52+S52+T52</f>
        <v>9266426.583611</v>
      </c>
      <c r="V52" s="2">
        <f>F52-K52-L52-U52</f>
        <v>-4720942.785402637</v>
      </c>
      <c r="W52" s="2">
        <v>209850.331753447</v>
      </c>
      <c r="X52" s="2">
        <v>223985.9072365801</v>
      </c>
      <c r="Y52" s="2">
        <f>W52+X52</f>
        <v>433836.23899002705</v>
      </c>
      <c r="Z52" s="2">
        <v>21891612.27265648</v>
      </c>
      <c r="AA52" s="2">
        <v>0</v>
      </c>
      <c r="AB52" s="2">
        <v>0</v>
      </c>
      <c r="AC52" s="2">
        <v>0</v>
      </c>
      <c r="AD52" s="2">
        <v>0</v>
      </c>
      <c r="AE52" s="2">
        <v>515053.128446809</v>
      </c>
      <c r="AF52" s="2">
        <f>F52-H52-L52-U52-AA52-AC52-AD52</f>
        <v>-5466640.68925763</v>
      </c>
      <c r="AG52" s="2">
        <f>F52-H52-L52-U52-AA52-AB52-AD52-Y52</f>
        <v>-5900476.928247658</v>
      </c>
      <c r="AH52" s="2">
        <f>AH51+AG52</f>
        <v>-29589123.40048574</v>
      </c>
      <c r="AI52" s="2">
        <v>30232526.26780308</v>
      </c>
      <c r="AJ52" s="2">
        <f>AH52-AI52</f>
        <v>-59821649.66828883</v>
      </c>
      <c r="AK52" s="3">
        <v>0.25</v>
      </c>
    </row>
    <row r="53" spans="1:37">
      <c r="A53" s="2">
        <v>52</v>
      </c>
      <c r="B53" s="2">
        <v>2031</v>
      </c>
      <c r="C53" s="2">
        <v>28</v>
      </c>
      <c r="D53" s="2">
        <v>393916.8284119</v>
      </c>
      <c r="E53" s="2">
        <v>11029671.1955332</v>
      </c>
      <c r="F53" s="2">
        <f>E53/1.19</f>
        <v>9268631.25675059</v>
      </c>
      <c r="G53" s="2">
        <v>40</v>
      </c>
      <c r="H53" s="2">
        <v>3654926.236084975</v>
      </c>
      <c r="I53" s="2">
        <v>78</v>
      </c>
      <c r="J53" s="2">
        <v>7094627.276844082</v>
      </c>
      <c r="K53" s="2">
        <v>2546789.278867107</v>
      </c>
      <c r="L53" s="2">
        <v>944312.1821660287</v>
      </c>
      <c r="M53" s="2">
        <v>5773860.195300001</v>
      </c>
      <c r="N53" s="3">
        <v>1</v>
      </c>
      <c r="O53" s="3">
        <v>1</v>
      </c>
      <c r="P53" s="2">
        <v>180081.4096</v>
      </c>
      <c r="Q53" s="2">
        <v>324259.0881610001</v>
      </c>
      <c r="R53" s="2">
        <v>281377.2025</v>
      </c>
      <c r="S53" s="2">
        <v>315142.4668000001</v>
      </c>
      <c r="T53" s="2">
        <v>2391706.22125</v>
      </c>
      <c r="U53" s="2">
        <f>M53+P53+Q53+R53+S53+T53</f>
        <v>9266426.583611</v>
      </c>
      <c r="V53" s="2">
        <f>F53-K53-L53-U53</f>
        <v>-3488896.7878935467</v>
      </c>
      <c r="W53" s="2">
        <v>207724.9758594143</v>
      </c>
      <c r="X53" s="2">
        <v>226111.2631306127</v>
      </c>
      <c r="Y53" s="2">
        <f>W53+X53</f>
        <v>433836.23899002705</v>
      </c>
      <c r="Z53" s="2">
        <v>21665501.00952587</v>
      </c>
      <c r="AA53" s="2">
        <v>0</v>
      </c>
      <c r="AB53" s="2">
        <v>0</v>
      </c>
      <c r="AC53" s="2">
        <v>0</v>
      </c>
      <c r="AD53" s="2">
        <v>171684.3761489363</v>
      </c>
      <c r="AE53" s="2">
        <v>686737.5045957454</v>
      </c>
      <c r="AF53" s="2">
        <f>F53-H53-L53-U53-AA53-AC53-AD53</f>
        <v>-4768718.1212603515</v>
      </c>
      <c r="AG53" s="2">
        <f>F53-H53-L53-U53-AA53-AB53-AD53-Y53</f>
        <v>-5202554.360250379</v>
      </c>
      <c r="AH53" s="2">
        <f>AH52+AG53</f>
        <v>-34791677.760736115</v>
      </c>
      <c r="AI53" s="2">
        <v>30232526.26780308</v>
      </c>
      <c r="AJ53" s="2">
        <f>AH53-AI53</f>
        <v>-65024204.028539196</v>
      </c>
      <c r="AK53" s="3">
        <v>0.25</v>
      </c>
    </row>
    <row r="54" spans="1:37">
      <c r="A54" s="2">
        <v>53</v>
      </c>
      <c r="B54" s="2">
        <v>2031</v>
      </c>
      <c r="C54" s="2">
        <v>33</v>
      </c>
      <c r="D54" s="2">
        <v>393916.8284119</v>
      </c>
      <c r="E54" s="2">
        <v>12999255.3375927</v>
      </c>
      <c r="F54" s="2">
        <f>E54/1.19</f>
        <v>10923743.98117034</v>
      </c>
      <c r="G54" s="2">
        <v>40</v>
      </c>
      <c r="H54" s="2">
        <v>3654926.236084975</v>
      </c>
      <c r="I54" s="2">
        <v>85</v>
      </c>
      <c r="J54" s="2">
        <v>7743322.445753982</v>
      </c>
      <c r="K54" s="2">
        <v>3006231.067175075</v>
      </c>
      <c r="L54" s="2">
        <v>1113311.996633641</v>
      </c>
      <c r="M54" s="2">
        <v>5773860.195300001</v>
      </c>
      <c r="N54" s="3">
        <v>1</v>
      </c>
      <c r="O54" s="3">
        <v>1</v>
      </c>
      <c r="P54" s="2">
        <v>180081.4096</v>
      </c>
      <c r="Q54" s="2">
        <v>324259.0881610001</v>
      </c>
      <c r="R54" s="2">
        <v>281377.2025</v>
      </c>
      <c r="S54" s="2">
        <v>315142.4668000001</v>
      </c>
      <c r="T54" s="2">
        <v>2391706.22125</v>
      </c>
      <c r="U54" s="2">
        <f>M54+P54+Q54+R54+S54+T54</f>
        <v>9266426.583611</v>
      </c>
      <c r="V54" s="2">
        <f>F54-K54-L54-U54</f>
        <v>-2462225.6662493777</v>
      </c>
      <c r="W54" s="2">
        <v>205579.4529033909</v>
      </c>
      <c r="X54" s="2">
        <v>228256.7860866361</v>
      </c>
      <c r="Y54" s="2">
        <f>W54+X54</f>
        <v>433836.23899002705</v>
      </c>
      <c r="Z54" s="2">
        <v>21437244.22343923</v>
      </c>
      <c r="AA54" s="2">
        <v>0</v>
      </c>
      <c r="AB54" s="2">
        <v>0</v>
      </c>
      <c r="AC54" s="2">
        <v>0</v>
      </c>
      <c r="AD54" s="2">
        <v>0</v>
      </c>
      <c r="AE54" s="2">
        <v>686737.5045957454</v>
      </c>
      <c r="AF54" s="2">
        <f>F54-H54-L54-U54-AA54-AC54-AD54</f>
        <v>-3110920.8351592775</v>
      </c>
      <c r="AG54" s="2">
        <f>F54-H54-L54-U54-AA54-AB54-AD54-Y54</f>
        <v>-3544757.0741493045</v>
      </c>
      <c r="AH54" s="2">
        <f>AH53+AG54</f>
        <v>-38336434.83488542</v>
      </c>
      <c r="AI54" s="2">
        <v>30232526.26780308</v>
      </c>
      <c r="AJ54" s="2">
        <f>AH54-AI54</f>
        <v>-68568961.1026885</v>
      </c>
      <c r="AK54" s="3">
        <v>0.25</v>
      </c>
    </row>
    <row r="55" spans="1:37">
      <c r="A55" s="2">
        <v>54</v>
      </c>
      <c r="B55" s="2">
        <v>2031</v>
      </c>
      <c r="C55" s="2">
        <v>39</v>
      </c>
      <c r="D55" s="2">
        <v>393916.8284119</v>
      </c>
      <c r="E55" s="2">
        <v>15362756.3080641</v>
      </c>
      <c r="F55" s="2">
        <f>E55/1.19</f>
        <v>12909879.250474036</v>
      </c>
      <c r="G55" s="2">
        <v>60</v>
      </c>
      <c r="H55" s="2">
        <v>5482389.354127463</v>
      </c>
      <c r="I55" s="2">
        <v>106</v>
      </c>
      <c r="J55" s="2">
        <v>9668451.384740919</v>
      </c>
      <c r="K55" s="2">
        <v>3557260.415140527</v>
      </c>
      <c r="L55" s="2">
        <v>1316087.710154447</v>
      </c>
      <c r="M55" s="2">
        <v>5773860.195300001</v>
      </c>
      <c r="N55" s="3">
        <v>1</v>
      </c>
      <c r="O55" s="3">
        <v>1</v>
      </c>
      <c r="P55" s="2">
        <v>180081.4096</v>
      </c>
      <c r="Q55" s="2">
        <v>324259.0881610001</v>
      </c>
      <c r="R55" s="2">
        <v>281377.2025</v>
      </c>
      <c r="S55" s="2">
        <v>315142.4668000001</v>
      </c>
      <c r="T55" s="2">
        <v>2391706.22125</v>
      </c>
      <c r="U55" s="2">
        <f>M55+P55+Q55+R55+S55+T55</f>
        <v>9266426.583611</v>
      </c>
      <c r="V55" s="2">
        <f>F55-K55-L55-U55</f>
        <v>-1229895.4584319387</v>
      </c>
      <c r="W55" s="2">
        <v>203413.5715243014</v>
      </c>
      <c r="X55" s="2">
        <v>230422.6674657257</v>
      </c>
      <c r="Y55" s="2">
        <f>W55+X55</f>
        <v>433836.23899002705</v>
      </c>
      <c r="Z55" s="2">
        <v>21206821.55597351</v>
      </c>
      <c r="AA55" s="2">
        <v>0</v>
      </c>
      <c r="AB55" s="2">
        <v>0</v>
      </c>
      <c r="AC55" s="2">
        <v>0</v>
      </c>
      <c r="AD55" s="2">
        <v>343368.7522978727</v>
      </c>
      <c r="AE55" s="2">
        <v>1030106.256893618</v>
      </c>
      <c r="AF55" s="2">
        <f>F55-H55-L55-U55-AA55-AC55-AD55</f>
        <v>-3498393.149716748</v>
      </c>
      <c r="AG55" s="2">
        <f>F55-H55-L55-U55-AA55-AB55-AD55-Y55</f>
        <v>-3932229.388706775</v>
      </c>
      <c r="AH55" s="2">
        <f>AH54+AG55</f>
        <v>-42268664.22359219</v>
      </c>
      <c r="AI55" s="2">
        <v>30232526.26780308</v>
      </c>
      <c r="AJ55" s="2">
        <f>AH55-AI55</f>
        <v>-72501190.49139528</v>
      </c>
      <c r="AK55" s="3">
        <v>0.25</v>
      </c>
    </row>
    <row r="56" spans="1:37">
      <c r="A56" s="2">
        <v>55</v>
      </c>
      <c r="B56" s="2">
        <v>2031</v>
      </c>
      <c r="C56" s="2">
        <v>44</v>
      </c>
      <c r="D56" s="2">
        <v>393916.8284119</v>
      </c>
      <c r="E56" s="2">
        <v>17332340.4501236</v>
      </c>
      <c r="F56" s="2">
        <f>E56/1.19</f>
        <v>14564991.974893782</v>
      </c>
      <c r="G56" s="2">
        <v>60</v>
      </c>
      <c r="H56" s="2">
        <v>5482389.354127463</v>
      </c>
      <c r="I56" s="2">
        <v>122</v>
      </c>
      <c r="J56" s="2">
        <v>11134955.24181893</v>
      </c>
      <c r="K56" s="2">
        <v>4015885.49704945</v>
      </c>
      <c r="L56" s="2">
        <v>1485022.188110136</v>
      </c>
      <c r="M56" s="2">
        <v>5773860.195300001</v>
      </c>
      <c r="N56" s="3">
        <v>1</v>
      </c>
      <c r="O56" s="3">
        <v>1</v>
      </c>
      <c r="P56" s="2">
        <v>180081.4096</v>
      </c>
      <c r="Q56" s="2">
        <v>324259.0881610001</v>
      </c>
      <c r="R56" s="2">
        <v>281377.2025</v>
      </c>
      <c r="S56" s="2">
        <v>315142.4668000001</v>
      </c>
      <c r="T56" s="2">
        <v>2391706.22125</v>
      </c>
      <c r="U56" s="2">
        <f>M56+P56+Q56+R56+S56+T56</f>
        <v>9266426.583611</v>
      </c>
      <c r="V56" s="2">
        <f>F56-K56-L56-U56</f>
        <v>-202342.2938768044</v>
      </c>
      <c r="W56" s="2">
        <v>201227.1385452849</v>
      </c>
      <c r="X56" s="2">
        <v>232609.1004447422</v>
      </c>
      <c r="Y56" s="2">
        <f>W56+X56</f>
        <v>433836.23899002705</v>
      </c>
      <c r="Z56" s="2">
        <v>20974212.45552877</v>
      </c>
      <c r="AA56" s="2">
        <v>0</v>
      </c>
      <c r="AB56" s="2">
        <v>0</v>
      </c>
      <c r="AC56" s="2">
        <v>0</v>
      </c>
      <c r="AD56" s="2">
        <v>0</v>
      </c>
      <c r="AE56" s="2">
        <v>1030106.256893618</v>
      </c>
      <c r="AF56" s="2">
        <f>F56-H56-L56-U56-AA56-AC56-AD56</f>
        <v>-1668846.1509548174</v>
      </c>
      <c r="AG56" s="2">
        <f>F56-H56-L56-U56-AA56-AB56-AD56-Y56</f>
        <v>-2102682.3899448444</v>
      </c>
      <c r="AH56" s="2">
        <f>AH55+AG56</f>
        <v>-44371346.613537036</v>
      </c>
      <c r="AI56" s="2">
        <v>30232526.26780308</v>
      </c>
      <c r="AJ56" s="2">
        <f>AH56-AI56</f>
        <v>-74603872.88134012</v>
      </c>
      <c r="AK56" s="3">
        <v>0.25</v>
      </c>
    </row>
    <row r="57" spans="1:37">
      <c r="A57" s="2">
        <v>56</v>
      </c>
      <c r="B57" s="2">
        <v>2031</v>
      </c>
      <c r="C57" s="2">
        <v>55</v>
      </c>
      <c r="D57" s="2">
        <v>393916.8284119</v>
      </c>
      <c r="E57" s="2">
        <v>21665425.5626545</v>
      </c>
      <c r="F57" s="2">
        <f>E57/1.19</f>
        <v>18206239.96861723</v>
      </c>
      <c r="G57" s="2">
        <v>70</v>
      </c>
      <c r="H57" s="2">
        <v>6396120.913148707</v>
      </c>
      <c r="I57" s="2">
        <v>137</v>
      </c>
      <c r="J57" s="2">
        <v>12509153.29807587</v>
      </c>
      <c r="K57" s="2">
        <v>5021922.856891771</v>
      </c>
      <c r="L57" s="2">
        <v>1856443.013984067</v>
      </c>
      <c r="M57" s="2">
        <v>5773860.195300001</v>
      </c>
      <c r="N57" s="3">
        <v>1</v>
      </c>
      <c r="O57" s="3">
        <v>1</v>
      </c>
      <c r="P57" s="2">
        <v>180081.4096</v>
      </c>
      <c r="Q57" s="2">
        <v>324259.0881610001</v>
      </c>
      <c r="R57" s="2">
        <v>281377.2025</v>
      </c>
      <c r="S57" s="2">
        <v>315142.4668000001</v>
      </c>
      <c r="T57" s="2">
        <v>2391706.22125</v>
      </c>
      <c r="U57" s="2">
        <f>M57+P57+Q57+R57+S57+T57</f>
        <v>9266426.583611</v>
      </c>
      <c r="V57" s="2">
        <f>F57-K57-L57-U57</f>
        <v>2061447.514130393</v>
      </c>
      <c r="W57" s="2">
        <v>199019.9589564651</v>
      </c>
      <c r="X57" s="2">
        <v>234816.280033562</v>
      </c>
      <c r="Y57" s="2">
        <f>W57+X57</f>
        <v>433836.23899002705</v>
      </c>
      <c r="Z57" s="2">
        <v>20739396.1754952</v>
      </c>
      <c r="AA57" s="2">
        <v>0</v>
      </c>
      <c r="AB57" s="2">
        <v>0</v>
      </c>
      <c r="AC57" s="2">
        <v>0</v>
      </c>
      <c r="AD57" s="2">
        <v>171684.3761489363</v>
      </c>
      <c r="AE57" s="2">
        <v>1201790.633042554</v>
      </c>
      <c r="AF57" s="2">
        <f>F57-H57-L57-U57-AA57-AC57-AD57</f>
        <v>515565.08172451984</v>
      </c>
      <c r="AG57" s="2">
        <f>F57-H57-L57-U57-AA57-AB57-AD57-Y57</f>
        <v>81728.84273449279</v>
      </c>
      <c r="AH57" s="2">
        <f>AH56+AG57</f>
        <v>-44289617.77080254</v>
      </c>
      <c r="AI57" s="2">
        <v>30232526.26780308</v>
      </c>
      <c r="AJ57" s="2">
        <f>AH57-AI57</f>
        <v>-74522144.03860563</v>
      </c>
      <c r="AK57" s="3">
        <v>0.25</v>
      </c>
    </row>
    <row r="58" spans="1:37">
      <c r="A58" s="2">
        <v>57</v>
      </c>
      <c r="B58" s="2">
        <v>2031</v>
      </c>
      <c r="C58" s="2">
        <v>61</v>
      </c>
      <c r="D58" s="2">
        <v>393916.8284119</v>
      </c>
      <c r="E58" s="2">
        <v>24028926.5331259</v>
      </c>
      <c r="F58" s="2">
        <f>E58/1.19</f>
        <v>20192375.23792093</v>
      </c>
      <c r="G58" s="2">
        <v>80</v>
      </c>
      <c r="H58" s="2">
        <v>7309852.472169951</v>
      </c>
      <c r="I58" s="2">
        <v>156</v>
      </c>
      <c r="J58" s="2">
        <v>14247764.51685874</v>
      </c>
      <c r="K58" s="2">
        <v>5571241.253387073</v>
      </c>
      <c r="L58" s="2">
        <v>2059081.851387261</v>
      </c>
      <c r="M58" s="2">
        <v>5773860.195300001</v>
      </c>
      <c r="N58" s="3">
        <v>1</v>
      </c>
      <c r="O58" s="3">
        <v>1</v>
      </c>
      <c r="P58" s="2">
        <v>180081.4096</v>
      </c>
      <c r="Q58" s="2">
        <v>324259.0881610001</v>
      </c>
      <c r="R58" s="2">
        <v>281377.2025</v>
      </c>
      <c r="S58" s="2">
        <v>315142.4668000001</v>
      </c>
      <c r="T58" s="2">
        <v>2391706.22125</v>
      </c>
      <c r="U58" s="2">
        <f>M58+P58+Q58+R58+S58+T58</f>
        <v>9266426.583611</v>
      </c>
      <c r="V58" s="2">
        <f>F58-K58-L58-U58</f>
        <v>3295625.549535595</v>
      </c>
      <c r="W58" s="2">
        <v>196791.8358975575</v>
      </c>
      <c r="X58" s="2">
        <v>237044.4030924695</v>
      </c>
      <c r="Y58" s="2">
        <f>W58+X58</f>
        <v>433836.23899002705</v>
      </c>
      <c r="Z58" s="2">
        <v>20502351.77240273</v>
      </c>
      <c r="AA58" s="2">
        <v>0</v>
      </c>
      <c r="AB58" s="2">
        <v>0</v>
      </c>
      <c r="AC58" s="2">
        <v>0</v>
      </c>
      <c r="AD58" s="2">
        <v>171684.3761489363</v>
      </c>
      <c r="AE58" s="2">
        <v>1373475.009191491</v>
      </c>
      <c r="AF58" s="2">
        <f>F58-H58-L58-U58-AA58-AC58-AD58</f>
        <v>1385329.954603781</v>
      </c>
      <c r="AG58" s="2">
        <f>F58-H58-L58-U58-AA58-AB58-AD58-Y58</f>
        <v>951493.715613754</v>
      </c>
      <c r="AH58" s="2">
        <f>AH57+AG58</f>
        <v>-43338124.05518879</v>
      </c>
      <c r="AI58" s="2">
        <v>30232526.26780308</v>
      </c>
      <c r="AJ58" s="2">
        <f>AH58-AI58</f>
        <v>-73570650.32299188</v>
      </c>
      <c r="AK58" s="3">
        <v>0.25</v>
      </c>
    </row>
    <row r="59" spans="1:37">
      <c r="A59" s="2">
        <v>58</v>
      </c>
      <c r="B59" s="2">
        <v>2031</v>
      </c>
      <c r="C59" s="2">
        <v>72</v>
      </c>
      <c r="D59" s="2">
        <v>393916.8284119</v>
      </c>
      <c r="E59" s="2">
        <v>28362011.6456568</v>
      </c>
      <c r="F59" s="2">
        <f>E59/1.19</f>
        <v>23833623.231644373</v>
      </c>
      <c r="G59" s="2">
        <v>90</v>
      </c>
      <c r="H59" s="2">
        <v>8223584.031191195</v>
      </c>
      <c r="I59" s="2">
        <v>174</v>
      </c>
      <c r="J59" s="2">
        <v>15894368.48520605</v>
      </c>
      <c r="K59" s="2">
        <v>6576980.062843884</v>
      </c>
      <c r="L59" s="2">
        <v>2430478.793230351</v>
      </c>
      <c r="M59" s="2">
        <v>5773860.195300001</v>
      </c>
      <c r="N59" s="3">
        <v>1</v>
      </c>
      <c r="O59" s="3">
        <v>1</v>
      </c>
      <c r="P59" s="2">
        <v>180081.4096</v>
      </c>
      <c r="Q59" s="2">
        <v>324259.0881610001</v>
      </c>
      <c r="R59" s="2">
        <v>281377.2025</v>
      </c>
      <c r="S59" s="2">
        <v>315142.4668000001</v>
      </c>
      <c r="T59" s="2">
        <v>2391706.22125</v>
      </c>
      <c r="U59" s="2">
        <f>M59+P59+Q59+R59+S59+T59</f>
        <v>9266426.583611</v>
      </c>
      <c r="V59" s="2">
        <f>F59-K59-L59-U59</f>
        <v>5559737.791959137</v>
      </c>
      <c r="W59" s="2">
        <v>194542.5706403113</v>
      </c>
      <c r="X59" s="2">
        <v>239293.6683497158</v>
      </c>
      <c r="Y59" s="2">
        <f>W59+X59</f>
        <v>433836.23899002705</v>
      </c>
      <c r="Z59" s="2">
        <v>20263058.10405302</v>
      </c>
      <c r="AA59" s="2">
        <v>0</v>
      </c>
      <c r="AB59" s="2">
        <v>0</v>
      </c>
      <c r="AC59" s="2">
        <v>0</v>
      </c>
      <c r="AD59" s="2">
        <v>171684.3761489363</v>
      </c>
      <c r="AE59" s="2">
        <v>1545159.385340427</v>
      </c>
      <c r="AF59" s="2">
        <f>F59-H59-L59-U59-AA59-AC59-AD59</f>
        <v>3741449.4474628894</v>
      </c>
      <c r="AG59" s="2">
        <f>F59-H59-L59-U59-AA59-AB59-AD59-Y59</f>
        <v>3307613.2084728624</v>
      </c>
      <c r="AH59" s="2">
        <f>AH58+AG59</f>
        <v>-40030510.84671593</v>
      </c>
      <c r="AI59" s="2">
        <v>30232526.26780308</v>
      </c>
      <c r="AJ59" s="2">
        <f>AH59-AI59</f>
        <v>-70263037.11451901</v>
      </c>
      <c r="AK59" s="3">
        <v>0.25</v>
      </c>
    </row>
    <row r="60" spans="1:37">
      <c r="A60" s="2">
        <v>59</v>
      </c>
      <c r="B60" s="2">
        <v>2031</v>
      </c>
      <c r="C60" s="2">
        <v>77</v>
      </c>
      <c r="D60" s="2">
        <v>393916.8284119</v>
      </c>
      <c r="E60" s="2">
        <v>30331595.7877163</v>
      </c>
      <c r="F60" s="2">
        <f>E60/1.19</f>
        <v>25488735.95606412</v>
      </c>
      <c r="G60" s="2">
        <v>10</v>
      </c>
      <c r="H60" s="2">
        <v>913731.5590212438</v>
      </c>
      <c r="I60" s="2">
        <v>107</v>
      </c>
      <c r="J60" s="2">
        <v>9774275.569197396</v>
      </c>
      <c r="K60" s="2">
        <v>7033824.475029903</v>
      </c>
      <c r="L60" s="2">
        <v>2599270.817608207</v>
      </c>
      <c r="M60" s="2">
        <v>5773860.195300001</v>
      </c>
      <c r="N60" s="3">
        <v>1</v>
      </c>
      <c r="O60" s="3">
        <v>1</v>
      </c>
      <c r="P60" s="2">
        <v>180081.4096</v>
      </c>
      <c r="Q60" s="2">
        <v>324259.0881610001</v>
      </c>
      <c r="R60" s="2">
        <v>281377.2025</v>
      </c>
      <c r="S60" s="2">
        <v>315142.4668000001</v>
      </c>
      <c r="T60" s="2">
        <v>2391706.22125</v>
      </c>
      <c r="U60" s="2">
        <f>M60+P60+Q60+R60+S60+T60</f>
        <v>9266426.583611</v>
      </c>
      <c r="V60" s="2">
        <f>F60-K60-L60-U60</f>
        <v>6589214.0798150115</v>
      </c>
      <c r="W60" s="2">
        <v>192271.962570784</v>
      </c>
      <c r="X60" s="2">
        <v>241564.276419243</v>
      </c>
      <c r="Y60" s="2">
        <f>W60+X60</f>
        <v>433836.23899002705</v>
      </c>
      <c r="Z60" s="2">
        <v>20021493.82763377</v>
      </c>
      <c r="AA60" s="2">
        <v>0</v>
      </c>
      <c r="AB60" s="2">
        <v>0</v>
      </c>
      <c r="AC60" s="2">
        <v>0</v>
      </c>
      <c r="AD60" s="2">
        <v>-1373475.009191491</v>
      </c>
      <c r="AE60" s="2">
        <v>171684.3761489363</v>
      </c>
      <c r="AF60" s="2">
        <f>F60-H60-L60-U60-AA60-AC60-AD60</f>
        <v>14082782.00501516</v>
      </c>
      <c r="AG60" s="2">
        <f>F60-H60-L60-U60-AA60-AB60-AD60-Y60</f>
        <v>13648945.766025133</v>
      </c>
      <c r="AH60" s="2">
        <f>AH59+AG60</f>
        <v>-26381565.080690794</v>
      </c>
      <c r="AI60" s="2">
        <v>30232526.26780308</v>
      </c>
      <c r="AJ60" s="2">
        <f>AH60-AI60</f>
        <v>-56614091.348493874</v>
      </c>
      <c r="AK60" s="3">
        <v>0.25</v>
      </c>
    </row>
    <row r="61" spans="1:37">
      <c r="A61" s="2">
        <v>60</v>
      </c>
      <c r="B61" s="2">
        <v>2031</v>
      </c>
      <c r="C61" s="2">
        <v>94</v>
      </c>
      <c r="D61" s="2">
        <v>393916.8284119</v>
      </c>
      <c r="E61" s="2">
        <v>37028181.87071861</v>
      </c>
      <c r="F61" s="2">
        <f>E61/1.19</f>
        <v>31116119.219091266</v>
      </c>
      <c r="G61" s="2">
        <v>20</v>
      </c>
      <c r="H61" s="2">
        <v>1827463.118042488</v>
      </c>
      <c r="I61" s="2">
        <v>33</v>
      </c>
      <c r="J61" s="2">
        <v>3014625.013219813</v>
      </c>
      <c r="K61" s="2">
        <v>8587113.674020071</v>
      </c>
      <c r="L61" s="2">
        <v>3173165.156297536</v>
      </c>
      <c r="M61" s="2">
        <v>5773860.195300001</v>
      </c>
      <c r="N61" s="3">
        <v>1</v>
      </c>
      <c r="O61" s="3">
        <v>1</v>
      </c>
      <c r="P61" s="2">
        <v>180081.4096</v>
      </c>
      <c r="Q61" s="2">
        <v>324259.0881610001</v>
      </c>
      <c r="R61" s="2">
        <v>281377.2025</v>
      </c>
      <c r="S61" s="2">
        <v>315142.4668000001</v>
      </c>
      <c r="T61" s="2">
        <v>2391706.22125</v>
      </c>
      <c r="U61" s="2">
        <f>M61+P61+Q61+R61+S61+T61</f>
        <v>9266426.583611</v>
      </c>
      <c r="V61" s="2">
        <f>F61-K61-L61-U61</f>
        <v>10089413.80516266</v>
      </c>
      <c r="W61" s="2">
        <v>189979.8091714494</v>
      </c>
      <c r="X61" s="2">
        <v>243856.4298185777</v>
      </c>
      <c r="Y61" s="2">
        <f>W61+X61</f>
        <v>433836.23899002705</v>
      </c>
      <c r="Z61" s="2">
        <v>19777637.39781519</v>
      </c>
      <c r="AA61" s="2">
        <v>0</v>
      </c>
      <c r="AB61" s="2">
        <v>0</v>
      </c>
      <c r="AC61" s="2">
        <v>0</v>
      </c>
      <c r="AD61" s="2">
        <v>171684.3761489363</v>
      </c>
      <c r="AE61" s="2">
        <v>343368.7522978727</v>
      </c>
      <c r="AF61" s="2">
        <f>F61-H61-L61-U61-AA61-AC61-AD61</f>
        <v>16677379.984991308</v>
      </c>
      <c r="AG61" s="2">
        <f>F61-H61-L61-U61-AA61-AB61-AD61-Y61</f>
        <v>16243543.74600128</v>
      </c>
      <c r="AH61" s="2">
        <f>AH60+AG61</f>
        <v>-10138021.334689513</v>
      </c>
      <c r="AI61" s="2">
        <v>30232526.26780308</v>
      </c>
      <c r="AJ61" s="2">
        <f>AH61-AI61</f>
        <v>-40370547.6024926</v>
      </c>
      <c r="AK61" s="3">
        <v>0.25</v>
      </c>
    </row>
    <row r="62" spans="1:37">
      <c r="A62" s="2">
        <v>61</v>
      </c>
      <c r="B62" s="2">
        <v>2032</v>
      </c>
      <c r="C62" s="2">
        <v>12</v>
      </c>
      <c r="D62" s="2">
        <v>405734.333264257</v>
      </c>
      <c r="E62" s="2">
        <v>4868811.999171085</v>
      </c>
      <c r="F62" s="2">
        <f>E62/1.19</f>
        <v>4091438.6547656176</v>
      </c>
      <c r="G62" s="2">
        <v>20</v>
      </c>
      <c r="H62" s="2">
        <v>1882287.011583762</v>
      </c>
      <c r="I62" s="2">
        <v>41</v>
      </c>
      <c r="J62" s="2">
        <v>3788177.226734841</v>
      </c>
      <c r="K62" s="2">
        <v>1108734.798068734</v>
      </c>
      <c r="L62" s="2">
        <v>415607.117153653</v>
      </c>
      <c r="M62" s="2">
        <v>5947076.001159</v>
      </c>
      <c r="N62" s="3">
        <v>1</v>
      </c>
      <c r="O62" s="3">
        <v>1</v>
      </c>
      <c r="P62" s="2">
        <v>185483.851888</v>
      </c>
      <c r="Q62" s="2">
        <v>384531.21044531</v>
      </c>
      <c r="R62" s="2">
        <v>289818.518575</v>
      </c>
      <c r="S62" s="2">
        <v>324596.740804</v>
      </c>
      <c r="T62" s="2">
        <v>2585181.185689</v>
      </c>
      <c r="U62" s="2">
        <f>M62+P62+Q62+R62+S62+T62</f>
        <v>9716687.50856031</v>
      </c>
      <c r="V62" s="2">
        <f>F62-K62-L62-U62</f>
        <v>-7149590.769017079</v>
      </c>
      <c r="W62" s="2">
        <v>187665.9060031342</v>
      </c>
      <c r="X62" s="2">
        <v>246170.3329868928</v>
      </c>
      <c r="Y62" s="2">
        <f>W62+X62</f>
        <v>433836.23899002705</v>
      </c>
      <c r="Z62" s="2">
        <v>19531467.0648283</v>
      </c>
      <c r="AA62" s="2">
        <v>0</v>
      </c>
      <c r="AB62" s="2">
        <v>0</v>
      </c>
      <c r="AC62" s="2">
        <v>0</v>
      </c>
      <c r="AD62" s="2">
        <v>10301.06256893615</v>
      </c>
      <c r="AE62" s="2">
        <v>353669.8148668088</v>
      </c>
      <c r="AF62" s="2">
        <f>F62-H62-L62-U62-AA62-AC62-AD62</f>
        <v>-7933444.045101043</v>
      </c>
      <c r="AG62" s="2">
        <f>F62-H62-L62-U62-AA62-AB62-AD62-Y62</f>
        <v>-8367280.28409107</v>
      </c>
      <c r="AH62" s="2">
        <f>AH61+AG62</f>
        <v>-18505301.618780583</v>
      </c>
      <c r="AI62" s="2">
        <v>31583309.04265101</v>
      </c>
      <c r="AJ62" s="2">
        <f>AH62-AI62</f>
        <v>-50088610.661431596</v>
      </c>
      <c r="AK62" s="3">
        <v>0.25</v>
      </c>
    </row>
    <row r="63" spans="1:37">
      <c r="A63" s="2">
        <v>62</v>
      </c>
      <c r="B63" s="2">
        <v>2032</v>
      </c>
      <c r="C63" s="2">
        <v>17</v>
      </c>
      <c r="D63" s="2">
        <v>405734.333264257</v>
      </c>
      <c r="E63" s="2">
        <v>6897483.66549237</v>
      </c>
      <c r="F63" s="2">
        <f>E63/1.19</f>
        <v>5796204.760917958</v>
      </c>
      <c r="G63" s="2">
        <v>30</v>
      </c>
      <c r="H63" s="2">
        <v>2823430.517375643</v>
      </c>
      <c r="I63" s="2">
        <v>54</v>
      </c>
      <c r="J63" s="2">
        <v>5028546.73495727</v>
      </c>
      <c r="K63" s="2">
        <v>1583061.009153215</v>
      </c>
      <c r="L63" s="2">
        <v>589765.0195854757</v>
      </c>
      <c r="M63" s="2">
        <v>5947076.001159</v>
      </c>
      <c r="N63" s="3">
        <v>1</v>
      </c>
      <c r="O63" s="3">
        <v>1</v>
      </c>
      <c r="P63" s="2">
        <v>185483.851888</v>
      </c>
      <c r="Q63" s="2">
        <v>384531.21044531</v>
      </c>
      <c r="R63" s="2">
        <v>289818.518575</v>
      </c>
      <c r="S63" s="2">
        <v>324596.740804</v>
      </c>
      <c r="T63" s="2">
        <v>2585181.185689</v>
      </c>
      <c r="U63" s="2">
        <f>M63+P63+Q63+R63+S63+T63</f>
        <v>9716687.50856031</v>
      </c>
      <c r="V63" s="2">
        <f>F63-K63-L63-U63</f>
        <v>-6093308.776381042</v>
      </c>
      <c r="W63" s="2">
        <v>185330.0466867842</v>
      </c>
      <c r="X63" s="2">
        <v>248506.1923032428</v>
      </c>
      <c r="Y63" s="2">
        <f>W63+X63</f>
        <v>433836.23899002705</v>
      </c>
      <c r="Z63" s="2">
        <v>19282960.87252506</v>
      </c>
      <c r="AA63" s="2">
        <v>0</v>
      </c>
      <c r="AB63" s="2">
        <v>0</v>
      </c>
      <c r="AC63" s="2">
        <v>0</v>
      </c>
      <c r="AD63" s="2">
        <v>176834.9074334044</v>
      </c>
      <c r="AE63" s="2">
        <v>530504.7223002132</v>
      </c>
      <c r="AF63" s="2">
        <f>F63-H63-L63-U63-AA63-AC63-AD63</f>
        <v>-7510513.1920368755</v>
      </c>
      <c r="AG63" s="2">
        <f>F63-H63-L63-U63-AA63-AB63-AD63-Y63</f>
        <v>-7944349.431026903</v>
      </c>
      <c r="AH63" s="2">
        <f>AH62+AG63</f>
        <v>-26449651.049807485</v>
      </c>
      <c r="AI63" s="2">
        <v>31583309.04265101</v>
      </c>
      <c r="AJ63" s="2">
        <f>AH63-AI63</f>
        <v>-58032960.092458494</v>
      </c>
      <c r="AK63" s="3">
        <v>0.25</v>
      </c>
    </row>
    <row r="64" spans="1:37">
      <c r="A64" s="2">
        <v>63</v>
      </c>
      <c r="B64" s="2">
        <v>2032</v>
      </c>
      <c r="C64" s="2">
        <v>23</v>
      </c>
      <c r="D64" s="2">
        <v>405734.333264257</v>
      </c>
      <c r="E64" s="2">
        <v>9331889.665077912</v>
      </c>
      <c r="F64" s="2">
        <f>E64/1.19</f>
        <v>7841924.088300766</v>
      </c>
      <c r="G64" s="2">
        <v>40</v>
      </c>
      <c r="H64" s="2">
        <v>3764574.023167524</v>
      </c>
      <c r="I64" s="2">
        <v>71</v>
      </c>
      <c r="J64" s="2">
        <v>6641612.487519791</v>
      </c>
      <c r="K64" s="2">
        <v>2151508.270605003</v>
      </c>
      <c r="L64" s="2">
        <v>798694.9671556959</v>
      </c>
      <c r="M64" s="2">
        <v>5947076.001159</v>
      </c>
      <c r="N64" s="3">
        <v>1</v>
      </c>
      <c r="O64" s="3">
        <v>1</v>
      </c>
      <c r="P64" s="2">
        <v>185483.851888</v>
      </c>
      <c r="Q64" s="2">
        <v>384531.21044531</v>
      </c>
      <c r="R64" s="2">
        <v>289818.518575</v>
      </c>
      <c r="S64" s="2">
        <v>324596.740804</v>
      </c>
      <c r="T64" s="2">
        <v>2585181.185689</v>
      </c>
      <c r="U64" s="2">
        <f>M64+P64+Q64+R64+S64+T64</f>
        <v>9716687.50856031</v>
      </c>
      <c r="V64" s="2">
        <f>F64-K64-L64-U64</f>
        <v>-4824966.658020242</v>
      </c>
      <c r="W64" s="2">
        <v>182972.0228850571</v>
      </c>
      <c r="X64" s="2">
        <v>250864.21610497</v>
      </c>
      <c r="Y64" s="2">
        <f>W64+X64</f>
        <v>433836.23899002705</v>
      </c>
      <c r="Z64" s="2">
        <v>19032096.65642009</v>
      </c>
      <c r="AA64" s="2">
        <v>0</v>
      </c>
      <c r="AB64" s="2">
        <v>0</v>
      </c>
      <c r="AC64" s="2">
        <v>0</v>
      </c>
      <c r="AD64" s="2">
        <v>176834.9074334045</v>
      </c>
      <c r="AE64" s="2">
        <v>707339.6297336177</v>
      </c>
      <c r="AF64" s="2">
        <f>F64-H64-L64-U64-AA64-AC64-AD64</f>
        <v>-6614867.318016168</v>
      </c>
      <c r="AG64" s="2">
        <f>F64-H64-L64-U64-AA64-AB64-AD64-Y64</f>
        <v>-7048703.557006195</v>
      </c>
      <c r="AH64" s="2">
        <f>AH63+AG64</f>
        <v>-33498354.60681368</v>
      </c>
      <c r="AI64" s="2">
        <v>31583309.04265101</v>
      </c>
      <c r="AJ64" s="2">
        <f>AH64-AI64</f>
        <v>-65081663.64946469</v>
      </c>
      <c r="AK64" s="3">
        <v>0.25</v>
      </c>
    </row>
    <row r="65" spans="1:37">
      <c r="A65" s="2">
        <v>64</v>
      </c>
      <c r="B65" s="2">
        <v>2032</v>
      </c>
      <c r="C65" s="2">
        <v>29</v>
      </c>
      <c r="D65" s="2">
        <v>405734.333264257</v>
      </c>
      <c r="E65" s="2">
        <v>11766295.66466345</v>
      </c>
      <c r="F65" s="2">
        <f>E65/1.19</f>
        <v>9887643.415683575</v>
      </c>
      <c r="G65" s="2">
        <v>40</v>
      </c>
      <c r="H65" s="2">
        <v>3764574.023167524</v>
      </c>
      <c r="I65" s="2">
        <v>82</v>
      </c>
      <c r="J65" s="2">
        <v>7687453.097985225</v>
      </c>
      <c r="K65" s="2">
        <v>2718733.412702092</v>
      </c>
      <c r="L65" s="2">
        <v>1007527.14517754</v>
      </c>
      <c r="M65" s="2">
        <v>5947076.001159</v>
      </c>
      <c r="N65" s="3">
        <v>1</v>
      </c>
      <c r="O65" s="3">
        <v>1</v>
      </c>
      <c r="P65" s="2">
        <v>185483.851888</v>
      </c>
      <c r="Q65" s="2">
        <v>384531.21044531</v>
      </c>
      <c r="R65" s="2">
        <v>289818.518575</v>
      </c>
      <c r="S65" s="2">
        <v>324596.740804</v>
      </c>
      <c r="T65" s="2">
        <v>2585181.185689</v>
      </c>
      <c r="U65" s="2">
        <f>M65+P65+Q65+R65+S65+T65</f>
        <v>9716687.50856031</v>
      </c>
      <c r="V65" s="2">
        <f>F65-K65-L65-U65</f>
        <v>-3555304.6507563656</v>
      </c>
      <c r="W65" s="2">
        <v>180591.6242837406</v>
      </c>
      <c r="X65" s="2">
        <v>253244.6147062865</v>
      </c>
      <c r="Y65" s="2">
        <f>W65+X65</f>
        <v>433836.23899002705</v>
      </c>
      <c r="Z65" s="2">
        <v>18778852.0417138</v>
      </c>
      <c r="AA65" s="2">
        <v>0</v>
      </c>
      <c r="AB65" s="2">
        <v>0</v>
      </c>
      <c r="AC65" s="2">
        <v>0</v>
      </c>
      <c r="AD65" s="2">
        <v>0</v>
      </c>
      <c r="AE65" s="2">
        <v>707339.6297336177</v>
      </c>
      <c r="AF65" s="2">
        <f>F65-H65-L65-U65-AA65-AC65-AD65</f>
        <v>-4601145.261221799</v>
      </c>
      <c r="AG65" s="2">
        <f>F65-H65-L65-U65-AA65-AB65-AD65-Y65</f>
        <v>-5034981.5002118265</v>
      </c>
      <c r="AH65" s="2">
        <f>AH64+AG65</f>
        <v>-38533336.107025504</v>
      </c>
      <c r="AI65" s="2">
        <v>31583309.04265101</v>
      </c>
      <c r="AJ65" s="2">
        <f>AH65-AI65</f>
        <v>-70116645.14967652</v>
      </c>
      <c r="AK65" s="3">
        <v>0.25</v>
      </c>
    </row>
    <row r="66" spans="1:37">
      <c r="A66" s="2">
        <v>65</v>
      </c>
      <c r="B66" s="2">
        <v>2032</v>
      </c>
      <c r="C66" s="2">
        <v>35</v>
      </c>
      <c r="D66" s="2">
        <v>405734.333264257</v>
      </c>
      <c r="E66" s="2">
        <v>14200701.664249</v>
      </c>
      <c r="F66" s="2">
        <f>E66/1.19</f>
        <v>11933362.743066384</v>
      </c>
      <c r="G66" s="2">
        <v>40</v>
      </c>
      <c r="H66" s="2">
        <v>3764574.023167524</v>
      </c>
      <c r="I66" s="2">
        <v>87</v>
      </c>
      <c r="J66" s="2">
        <v>8166609.5044286</v>
      </c>
      <c r="K66" s="2">
        <v>3285417.616724149</v>
      </c>
      <c r="L66" s="2">
        <v>1216316.048153382</v>
      </c>
      <c r="M66" s="2">
        <v>5947076.001159</v>
      </c>
      <c r="N66" s="3">
        <v>1</v>
      </c>
      <c r="O66" s="3">
        <v>1</v>
      </c>
      <c r="P66" s="2">
        <v>185483.851888</v>
      </c>
      <c r="Q66" s="2">
        <v>384531.21044531</v>
      </c>
      <c r="R66" s="2">
        <v>289818.518575</v>
      </c>
      <c r="S66" s="2">
        <v>324596.740804</v>
      </c>
      <c r="T66" s="2">
        <v>2585181.185689</v>
      </c>
      <c r="U66" s="2">
        <f>M66+P66+Q66+R66+S66+T66</f>
        <v>9716687.50856031</v>
      </c>
      <c r="V66" s="2">
        <f>F66-K66-L66-U66</f>
        <v>-2285058.4303714577</v>
      </c>
      <c r="W66" s="2">
        <v>178188.6385729944</v>
      </c>
      <c r="X66" s="2">
        <v>255647.6004170327</v>
      </c>
      <c r="Y66" s="2">
        <f>W66+X66</f>
        <v>433836.23899002705</v>
      </c>
      <c r="Z66" s="2">
        <v>18523204.44129677</v>
      </c>
      <c r="AA66" s="2">
        <v>0</v>
      </c>
      <c r="AB66" s="2">
        <v>0</v>
      </c>
      <c r="AC66" s="2">
        <v>0</v>
      </c>
      <c r="AD66" s="2">
        <v>0</v>
      </c>
      <c r="AE66" s="2">
        <v>707339.6297336177</v>
      </c>
      <c r="AF66" s="2">
        <f>F66-H66-L66-U66-AA66-AC66-AD66</f>
        <v>-2764214.836814832</v>
      </c>
      <c r="AG66" s="2">
        <f>F66-H66-L66-U66-AA66-AB66-AD66-Y66</f>
        <v>-3198051.075804859</v>
      </c>
      <c r="AH66" s="2">
        <f>AH65+AG66</f>
        <v>-41731387.18283036</v>
      </c>
      <c r="AI66" s="2">
        <v>31583309.04265101</v>
      </c>
      <c r="AJ66" s="2">
        <f>AH66-AI66</f>
        <v>-73314696.22548138</v>
      </c>
      <c r="AK66" s="3">
        <v>0.25</v>
      </c>
    </row>
    <row r="67" spans="1:37">
      <c r="A67" s="2">
        <v>66</v>
      </c>
      <c r="B67" s="2">
        <v>2032</v>
      </c>
      <c r="C67" s="2">
        <v>41</v>
      </c>
      <c r="D67" s="2">
        <v>405734.333264257</v>
      </c>
      <c r="E67" s="2">
        <v>16635107.66383454</v>
      </c>
      <c r="F67" s="2">
        <f>E67/1.19</f>
        <v>13979082.070449192</v>
      </c>
      <c r="G67" s="2">
        <v>60</v>
      </c>
      <c r="H67" s="2">
        <v>5646861.034751287</v>
      </c>
      <c r="I67" s="2">
        <v>106</v>
      </c>
      <c r="J67" s="2">
        <v>9960733.858184136</v>
      </c>
      <c r="K67" s="2">
        <v>3852736.680995751</v>
      </c>
      <c r="L67" s="2">
        <v>1425155.739949187</v>
      </c>
      <c r="M67" s="2">
        <v>5947076.001159</v>
      </c>
      <c r="N67" s="3">
        <v>1</v>
      </c>
      <c r="O67" s="3">
        <v>1</v>
      </c>
      <c r="P67" s="2">
        <v>185483.851888</v>
      </c>
      <c r="Q67" s="2">
        <v>384531.21044531</v>
      </c>
      <c r="R67" s="2">
        <v>289818.518575</v>
      </c>
      <c r="S67" s="2">
        <v>324596.740804</v>
      </c>
      <c r="T67" s="2">
        <v>2585181.185689</v>
      </c>
      <c r="U67" s="2">
        <f>M67+P67+Q67+R67+S67+T67</f>
        <v>9716687.50856031</v>
      </c>
      <c r="V67" s="2">
        <f>F67-K67-L67-U67</f>
        <v>-1015497.8590560555</v>
      </c>
      <c r="W67" s="2">
        <v>175762.8514284141</v>
      </c>
      <c r="X67" s="2">
        <v>258073.387561613</v>
      </c>
      <c r="Y67" s="2">
        <f>W67+X67</f>
        <v>433836.23899002705</v>
      </c>
      <c r="Z67" s="2">
        <v>18265131.05373516</v>
      </c>
      <c r="AA67" s="2">
        <v>0</v>
      </c>
      <c r="AB67" s="2">
        <v>0</v>
      </c>
      <c r="AC67" s="2">
        <v>0</v>
      </c>
      <c r="AD67" s="2">
        <v>353669.8148668087</v>
      </c>
      <c r="AE67" s="2">
        <v>1061009.444600426</v>
      </c>
      <c r="AF67" s="2">
        <f>F67-H67-L67-U67-AA67-AC67-AD67</f>
        <v>-3163292.0276784</v>
      </c>
      <c r="AG67" s="2">
        <f>F67-H67-L67-U67-AA67-AB67-AD67-Y67</f>
        <v>-3597128.266668427</v>
      </c>
      <c r="AH67" s="2">
        <f>AH66+AG67</f>
        <v>-45328515.44949879</v>
      </c>
      <c r="AI67" s="2">
        <v>31583309.04265101</v>
      </c>
      <c r="AJ67" s="2">
        <f>AH67-AI67</f>
        <v>-76911824.4921498</v>
      </c>
      <c r="AK67" s="3">
        <v>0.25</v>
      </c>
    </row>
    <row r="68" spans="1:37">
      <c r="A68" s="2">
        <v>67</v>
      </c>
      <c r="B68" s="2">
        <v>2032</v>
      </c>
      <c r="C68" s="2">
        <v>46</v>
      </c>
      <c r="D68" s="2">
        <v>405734.333264257</v>
      </c>
      <c r="E68" s="2">
        <v>18663779.33015582</v>
      </c>
      <c r="F68" s="2">
        <f>E68/1.19</f>
        <v>15683848.176601533</v>
      </c>
      <c r="G68" s="2">
        <v>70</v>
      </c>
      <c r="H68" s="2">
        <v>6588004.540543168</v>
      </c>
      <c r="I68" s="2">
        <v>130</v>
      </c>
      <c r="J68" s="2">
        <v>12223499.95360539</v>
      </c>
      <c r="K68" s="2">
        <v>4325238.445121909</v>
      </c>
      <c r="L68" s="2">
        <v>1599167.686624344</v>
      </c>
      <c r="M68" s="2">
        <v>5947076.001159</v>
      </c>
      <c r="N68" s="3">
        <v>1</v>
      </c>
      <c r="O68" s="3">
        <v>1</v>
      </c>
      <c r="P68" s="2">
        <v>185483.851888</v>
      </c>
      <c r="Q68" s="2">
        <v>384531.21044531</v>
      </c>
      <c r="R68" s="2">
        <v>289818.518575</v>
      </c>
      <c r="S68" s="2">
        <v>324596.740804</v>
      </c>
      <c r="T68" s="2">
        <v>2585181.185689</v>
      </c>
      <c r="U68" s="2">
        <f>M68+P68+Q68+R68+S68+T68</f>
        <v>9716687.50856031</v>
      </c>
      <c r="V68" s="2">
        <f>F68-K68-L68-U68</f>
        <v>42754.5362949688</v>
      </c>
      <c r="W68" s="2">
        <v>173314.0464919156</v>
      </c>
      <c r="X68" s="2">
        <v>260522.1924981115</v>
      </c>
      <c r="Y68" s="2">
        <f>W68+X68</f>
        <v>433836.23899002705</v>
      </c>
      <c r="Z68" s="2">
        <v>18004608.86123705</v>
      </c>
      <c r="AA68" s="2">
        <v>0</v>
      </c>
      <c r="AB68" s="2">
        <v>0</v>
      </c>
      <c r="AC68" s="2">
        <v>0</v>
      </c>
      <c r="AD68" s="2">
        <v>176834.9074334046</v>
      </c>
      <c r="AE68" s="2">
        <v>1237844.352033831</v>
      </c>
      <c r="AF68" s="2">
        <f>F68-H68-L68-U68-AA68-AC68-AD68</f>
        <v>-2396846.466559694</v>
      </c>
      <c r="AG68" s="2">
        <f>F68-H68-L68-U68-AA68-AB68-AD68-Y68</f>
        <v>-2830682.705549721</v>
      </c>
      <c r="AH68" s="2">
        <f>AH67+AG68</f>
        <v>-48159198.15504851</v>
      </c>
      <c r="AI68" s="2">
        <v>31583309.04265101</v>
      </c>
      <c r="AJ68" s="2">
        <f>AH68-AI68</f>
        <v>-79742507.19769952</v>
      </c>
      <c r="AK68" s="3">
        <v>0.25</v>
      </c>
    </row>
    <row r="69" spans="1:37">
      <c r="A69" s="2">
        <v>68</v>
      </c>
      <c r="B69" s="2">
        <v>2032</v>
      </c>
      <c r="C69" s="2">
        <v>58</v>
      </c>
      <c r="D69" s="2">
        <v>405734.333264257</v>
      </c>
      <c r="E69" s="2">
        <v>23532591.32932691</v>
      </c>
      <c r="F69" s="2">
        <f>E69/1.19</f>
        <v>19775286.83136715</v>
      </c>
      <c r="G69" s="2">
        <v>70</v>
      </c>
      <c r="H69" s="2">
        <v>6588004.540543168</v>
      </c>
      <c r="I69" s="2">
        <v>142</v>
      </c>
      <c r="J69" s="2">
        <v>13356168.19084548</v>
      </c>
      <c r="K69" s="2">
        <v>5455336.303303083</v>
      </c>
      <c r="L69" s="2">
        <v>2016483.848586992</v>
      </c>
      <c r="M69" s="2">
        <v>5947076.001159</v>
      </c>
      <c r="N69" s="3">
        <v>1</v>
      </c>
      <c r="O69" s="3">
        <v>1</v>
      </c>
      <c r="P69" s="2">
        <v>185483.851888</v>
      </c>
      <c r="Q69" s="2">
        <v>384531.21044531</v>
      </c>
      <c r="R69" s="2">
        <v>289818.518575</v>
      </c>
      <c r="S69" s="2">
        <v>324596.740804</v>
      </c>
      <c r="T69" s="2">
        <v>2585181.185689</v>
      </c>
      <c r="U69" s="2">
        <f>M69+P69+Q69+R69+S69+T69</f>
        <v>9716687.50856031</v>
      </c>
      <c r="V69" s="2">
        <f>F69-K69-L69-U69</f>
        <v>2586779.170916766</v>
      </c>
      <c r="W69" s="2">
        <v>170842.0053524374</v>
      </c>
      <c r="X69" s="2">
        <v>262994.2336375896</v>
      </c>
      <c r="Y69" s="2">
        <f>W69+X69</f>
        <v>433836.238990027</v>
      </c>
      <c r="Z69" s="2">
        <v>17741614.62759946</v>
      </c>
      <c r="AA69" s="2">
        <v>0</v>
      </c>
      <c r="AB69" s="2">
        <v>0</v>
      </c>
      <c r="AC69" s="2">
        <v>0</v>
      </c>
      <c r="AD69" s="2">
        <v>0</v>
      </c>
      <c r="AE69" s="2">
        <v>1237844.352033831</v>
      </c>
      <c r="AF69" s="2">
        <f>F69-H69-L69-U69-AA69-AC69-AD69</f>
        <v>1454110.9336766805</v>
      </c>
      <c r="AG69" s="2">
        <f>F69-H69-L69-U69-AA69-AB69-AD69-Y69</f>
        <v>1020274.6946866536</v>
      </c>
      <c r="AH69" s="2">
        <f>AH68+AG69</f>
        <v>-47138923.46036186</v>
      </c>
      <c r="AI69" s="2">
        <v>31583309.04265101</v>
      </c>
      <c r="AJ69" s="2">
        <f>AH69-AI69</f>
        <v>-78722232.50301287</v>
      </c>
      <c r="AK69" s="3">
        <v>0.25</v>
      </c>
    </row>
    <row r="70" spans="1:37">
      <c r="A70" s="2">
        <v>69</v>
      </c>
      <c r="B70" s="2">
        <v>2032</v>
      </c>
      <c r="C70" s="2">
        <v>64</v>
      </c>
      <c r="D70" s="2">
        <v>405734.333264257</v>
      </c>
      <c r="E70" s="2">
        <v>25966997.32891245</v>
      </c>
      <c r="F70" s="2">
        <f>E70/1.19</f>
        <v>21821006.158749957</v>
      </c>
      <c r="G70" s="2">
        <v>80</v>
      </c>
      <c r="H70" s="2">
        <v>7529148.046335049</v>
      </c>
      <c r="I70" s="2">
        <v>158</v>
      </c>
      <c r="J70" s="2">
        <v>14864324.16880416</v>
      </c>
      <c r="K70" s="2">
        <v>6020992.068376368</v>
      </c>
      <c r="L70" s="2">
        <v>2225190.476446932</v>
      </c>
      <c r="M70" s="2">
        <v>5947076.001159</v>
      </c>
      <c r="N70" s="3">
        <v>1</v>
      </c>
      <c r="O70" s="3">
        <v>1</v>
      </c>
      <c r="P70" s="2">
        <v>185483.851888</v>
      </c>
      <c r="Q70" s="2">
        <v>384531.21044531</v>
      </c>
      <c r="R70" s="2">
        <v>289818.518575</v>
      </c>
      <c r="S70" s="2">
        <v>324596.740804</v>
      </c>
      <c r="T70" s="2">
        <v>2585181.185689</v>
      </c>
      <c r="U70" s="2">
        <f>M70+P70+Q70+R70+S70+T70</f>
        <v>9716687.50856031</v>
      </c>
      <c r="V70" s="2">
        <f>F70-K70-L70-U70</f>
        <v>3858136.1053663474</v>
      </c>
      <c r="W70" s="2">
        <v>168346.5075264609</v>
      </c>
      <c r="X70" s="2">
        <v>265489.7314635661</v>
      </c>
      <c r="Y70" s="2">
        <f>W70+X70</f>
        <v>433836.238990027</v>
      </c>
      <c r="Z70" s="2">
        <v>17476124.89613589</v>
      </c>
      <c r="AA70" s="2">
        <v>0</v>
      </c>
      <c r="AB70" s="2">
        <v>0</v>
      </c>
      <c r="AC70" s="2">
        <v>0</v>
      </c>
      <c r="AD70" s="2">
        <v>176834.9074334044</v>
      </c>
      <c r="AE70" s="2">
        <v>1414679.259467235</v>
      </c>
      <c r="AF70" s="2">
        <f>F70-H70-L70-U70-AA70-AC70-AD70</f>
        <v>2173145.2199742617</v>
      </c>
      <c r="AG70" s="2">
        <f>F70-H70-L70-U70-AA70-AB70-AD70-Y70</f>
        <v>1739308.9809842347</v>
      </c>
      <c r="AH70" s="2">
        <f>AH69+AG70</f>
        <v>-45399614.47937763</v>
      </c>
      <c r="AI70" s="2">
        <v>31583309.04265101</v>
      </c>
      <c r="AJ70" s="2">
        <f>AH70-AI70</f>
        <v>-76982923.52202864</v>
      </c>
      <c r="AK70" s="3">
        <v>0.25</v>
      </c>
    </row>
    <row r="71" spans="1:37">
      <c r="A71" s="2">
        <v>70</v>
      </c>
      <c r="B71" s="2">
        <v>2032</v>
      </c>
      <c r="C71" s="2">
        <v>75</v>
      </c>
      <c r="D71" s="2">
        <v>405734.333264257</v>
      </c>
      <c r="E71" s="2">
        <v>30430074.99481928</v>
      </c>
      <c r="F71" s="2">
        <f>E71/1.19</f>
        <v>25571491.592285108</v>
      </c>
      <c r="G71" s="2">
        <v>100</v>
      </c>
      <c r="H71" s="2">
        <v>9411435.057918813</v>
      </c>
      <c r="I71" s="2">
        <v>183</v>
      </c>
      <c r="J71" s="2">
        <v>17218852.47476862</v>
      </c>
      <c r="K71" s="2">
        <v>7056906.751954352</v>
      </c>
      <c r="L71" s="2">
        <v>2607729.623332312</v>
      </c>
      <c r="M71" s="2">
        <v>5947076.001159</v>
      </c>
      <c r="N71" s="3">
        <v>1</v>
      </c>
      <c r="O71" s="3">
        <v>1</v>
      </c>
      <c r="P71" s="2">
        <v>185483.851888</v>
      </c>
      <c r="Q71" s="2">
        <v>384531.21044531</v>
      </c>
      <c r="R71" s="2">
        <v>289818.518575</v>
      </c>
      <c r="S71" s="2">
        <v>324596.740804</v>
      </c>
      <c r="T71" s="2">
        <v>2585181.185689</v>
      </c>
      <c r="U71" s="2">
        <f>M71+P71+Q71+R71+S71+T71</f>
        <v>9716687.50856031</v>
      </c>
      <c r="V71" s="2">
        <f>F71-K71-L71-U71</f>
        <v>6190167.708438136</v>
      </c>
      <c r="W71" s="2">
        <v>165827.3304383451</v>
      </c>
      <c r="X71" s="2">
        <v>268008.9085516819</v>
      </c>
      <c r="Y71" s="2">
        <f>W71+X71</f>
        <v>433836.238990027</v>
      </c>
      <c r="Z71" s="2">
        <v>17208115.98758421</v>
      </c>
      <c r="AA71" s="2">
        <v>0</v>
      </c>
      <c r="AB71" s="2">
        <v>0</v>
      </c>
      <c r="AC71" s="2">
        <v>0</v>
      </c>
      <c r="AD71" s="2">
        <v>353669.8148668092</v>
      </c>
      <c r="AE71" s="2">
        <v>1768349.074334044</v>
      </c>
      <c r="AF71" s="2">
        <f>F71-H71-L71-U71-AA71-AC71-AD71</f>
        <v>3481969.587606864</v>
      </c>
      <c r="AG71" s="2">
        <f>F71-H71-L71-U71-AA71-AB71-AD71-Y71</f>
        <v>3048133.348616837</v>
      </c>
      <c r="AH71" s="2">
        <f>AH70+AG71</f>
        <v>-42351481.13076079</v>
      </c>
      <c r="AI71" s="2">
        <v>31583309.04265101</v>
      </c>
      <c r="AJ71" s="2">
        <f>AH71-AI71</f>
        <v>-73934790.1734118</v>
      </c>
      <c r="AK71" s="3">
        <v>0.25</v>
      </c>
    </row>
    <row r="72" spans="1:37">
      <c r="A72" s="2">
        <v>71</v>
      </c>
      <c r="B72" s="2">
        <v>2032</v>
      </c>
      <c r="C72" s="2">
        <v>81</v>
      </c>
      <c r="D72" s="2">
        <v>405734.333264257</v>
      </c>
      <c r="E72" s="2">
        <v>32864480.99440482</v>
      </c>
      <c r="F72" s="2">
        <f>E72/1.19</f>
        <v>27617210.919667915</v>
      </c>
      <c r="G72" s="2">
        <v>10</v>
      </c>
      <c r="H72" s="2">
        <v>941143.5057918811</v>
      </c>
      <c r="I72" s="2">
        <v>112</v>
      </c>
      <c r="J72" s="2">
        <v>10538443.26333045</v>
      </c>
      <c r="K72" s="2">
        <v>7621552.717230055</v>
      </c>
      <c r="L72" s="2">
        <v>2816355.467208445</v>
      </c>
      <c r="M72" s="2">
        <v>5947076.001159</v>
      </c>
      <c r="N72" s="3">
        <v>1</v>
      </c>
      <c r="O72" s="3">
        <v>1</v>
      </c>
      <c r="P72" s="2">
        <v>185483.851888</v>
      </c>
      <c r="Q72" s="2">
        <v>384531.21044531</v>
      </c>
      <c r="R72" s="2">
        <v>289818.518575</v>
      </c>
      <c r="S72" s="2">
        <v>324596.740804</v>
      </c>
      <c r="T72" s="2">
        <v>2585181.185689</v>
      </c>
      <c r="U72" s="2">
        <f>M72+P72+Q72+R72+S72+T72</f>
        <v>9716687.50856031</v>
      </c>
      <c r="V72" s="2">
        <f>F72-K72-L72-U72</f>
        <v>7462615.226669105</v>
      </c>
      <c r="W72" s="2">
        <v>163284.2494004746</v>
      </c>
      <c r="X72" s="2">
        <v>270551.9895895525</v>
      </c>
      <c r="Y72" s="2">
        <f>W72+X72</f>
        <v>433836.23899002705</v>
      </c>
      <c r="Z72" s="2">
        <v>16937563.99799466</v>
      </c>
      <c r="AA72" s="2">
        <v>0</v>
      </c>
      <c r="AB72" s="2">
        <v>0</v>
      </c>
      <c r="AC72" s="2">
        <v>0</v>
      </c>
      <c r="AD72" s="2">
        <v>-1591514.16690064</v>
      </c>
      <c r="AE72" s="2">
        <v>176834.9074334044</v>
      </c>
      <c r="AF72" s="2">
        <f>F72-H72-L72-U72-AA72-AC72-AD72</f>
        <v>15734538.60500792</v>
      </c>
      <c r="AG72" s="2">
        <f>F72-H72-L72-U72-AA72-AB72-AD72-Y72</f>
        <v>15300702.366017893</v>
      </c>
      <c r="AH72" s="2">
        <f>AH71+AG72</f>
        <v>-27050778.764742896</v>
      </c>
      <c r="AI72" s="2">
        <v>31583309.04265101</v>
      </c>
      <c r="AJ72" s="2">
        <f>AH72-AI72</f>
        <v>-58634087.80739391</v>
      </c>
      <c r="AK72" s="3">
        <v>0.25</v>
      </c>
    </row>
    <row r="73" spans="1:37">
      <c r="A73" s="2">
        <v>72</v>
      </c>
      <c r="B73" s="2">
        <v>2032</v>
      </c>
      <c r="C73" s="2">
        <v>99</v>
      </c>
      <c r="D73" s="2">
        <v>405734.333264257</v>
      </c>
      <c r="E73" s="2">
        <v>40167698.99316145</v>
      </c>
      <c r="F73" s="2">
        <f>E73/1.19</f>
        <v>33754368.901816346</v>
      </c>
      <c r="G73" s="2">
        <v>20</v>
      </c>
      <c r="H73" s="2">
        <v>1882287.011583762</v>
      </c>
      <c r="I73" s="2">
        <v>33</v>
      </c>
      <c r="J73" s="2">
        <v>3105182.568728551</v>
      </c>
      <c r="K73" s="2">
        <v>9315547.706185658</v>
      </c>
      <c r="L73" s="2">
        <v>3442237.566287125</v>
      </c>
      <c r="M73" s="2">
        <v>5947076.001159</v>
      </c>
      <c r="N73" s="3">
        <v>1</v>
      </c>
      <c r="O73" s="3">
        <v>1</v>
      </c>
      <c r="P73" s="2">
        <v>185483.851888</v>
      </c>
      <c r="Q73" s="2">
        <v>384531.21044531</v>
      </c>
      <c r="R73" s="2">
        <v>289818.518575</v>
      </c>
      <c r="S73" s="2">
        <v>324596.740804</v>
      </c>
      <c r="T73" s="2">
        <v>2585181.185689</v>
      </c>
      <c r="U73" s="2">
        <f>M73+P73+Q73+R73+S73+T73</f>
        <v>9716687.50856031</v>
      </c>
      <c r="V73" s="2">
        <f>F73-K73-L73-U73</f>
        <v>11279896.120783253</v>
      </c>
      <c r="W73" s="2">
        <v>160717.0375932199</v>
      </c>
      <c r="X73" s="2">
        <v>273119.2013968072</v>
      </c>
      <c r="Y73" s="2">
        <f>W73+X73</f>
        <v>433836.2389900271</v>
      </c>
      <c r="Z73" s="2">
        <v>16664444.79659785</v>
      </c>
      <c r="AA73" s="2">
        <v>0</v>
      </c>
      <c r="AB73" s="2">
        <v>0</v>
      </c>
      <c r="AC73" s="2">
        <v>0</v>
      </c>
      <c r="AD73" s="2">
        <v>176834.9074334044</v>
      </c>
      <c r="AE73" s="2">
        <v>353669.8148668088</v>
      </c>
      <c r="AF73" s="2">
        <f>F73-H73-L73-U73-AA73-AC73-AD73</f>
        <v>18536321.907951742</v>
      </c>
      <c r="AG73" s="2">
        <f>F73-H73-L73-U73-AA73-AB73-AD73-Y73</f>
        <v>18102485.668961715</v>
      </c>
      <c r="AH73" s="2">
        <f>AH72+AG73</f>
        <v>-8948293.095781181</v>
      </c>
      <c r="AI73" s="2">
        <v>31583309.04265101</v>
      </c>
      <c r="AJ73" s="2">
        <f>AH73-AI73</f>
        <v>-40531602.13843219</v>
      </c>
      <c r="AK73" s="3">
        <v>0.25</v>
      </c>
    </row>
    <row r="74" spans="1:37">
      <c r="A74" s="2">
        <v>73</v>
      </c>
      <c r="B74" s="2">
        <v>2033</v>
      </c>
      <c r="C74" s="2">
        <v>12</v>
      </c>
      <c r="D74" s="2">
        <v>417906.3632621848</v>
      </c>
      <c r="E74" s="2">
        <v>5014876.359146217</v>
      </c>
      <c r="F74" s="2">
        <f>E74/1.19</f>
        <v>4214181.814408585</v>
      </c>
      <c r="G74" s="2">
        <v>30</v>
      </c>
      <c r="H74" s="2">
        <v>2908133.432896913</v>
      </c>
      <c r="I74" s="2">
        <v>51</v>
      </c>
      <c r="J74" s="2">
        <v>4867922.477506328</v>
      </c>
      <c r="K74" s="2">
        <v>1145393.524119136</v>
      </c>
      <c r="L74" s="2">
        <v>428347.0652369297</v>
      </c>
      <c r="M74" s="2">
        <v>6729977.256311577</v>
      </c>
      <c r="N74" s="3">
        <v>1</v>
      </c>
      <c r="O74" s="3">
        <v>1.5</v>
      </c>
      <c r="P74" s="2">
        <v>202988.89040993</v>
      </c>
      <c r="Q74" s="2">
        <v>439829.1634264572</v>
      </c>
      <c r="R74" s="2">
        <v>298513.07413225</v>
      </c>
      <c r="S74" s="2">
        <v>334334.64302812</v>
      </c>
      <c r="T74" s="2">
        <v>2797067.504619183</v>
      </c>
      <c r="U74" s="2">
        <f>M74+P74+Q74+R74+S74+T74</f>
        <v>10802710.531927517</v>
      </c>
      <c r="V74" s="2">
        <f>F74-K74-L74-U74</f>
        <v>-8162269.306874997</v>
      </c>
      <c r="W74" s="2">
        <v>158125.4660447069</v>
      </c>
      <c r="X74" s="2">
        <v>275710.7729453202</v>
      </c>
      <c r="Y74" s="2">
        <f>W74+X74</f>
        <v>433836.23899002705</v>
      </c>
      <c r="Z74" s="2">
        <v>16388734.02365253</v>
      </c>
      <c r="AA74" s="2">
        <v>1791078.4447935</v>
      </c>
      <c r="AB74" s="2">
        <v>0</v>
      </c>
      <c r="AC74" s="2">
        <v>0</v>
      </c>
      <c r="AD74" s="2">
        <v>192750.0491024109</v>
      </c>
      <c r="AE74" s="2">
        <v>546419.8639692197</v>
      </c>
      <c r="AF74" s="2">
        <f>F74-H74-L74-U74-AA74-AC74-AD74</f>
        <v>-11908837.709548684</v>
      </c>
      <c r="AG74" s="2">
        <f>F74-H74-L74-U74-AA74-AB74-AD74-Y74</f>
        <v>-12342673.948538711</v>
      </c>
      <c r="AH74" s="2">
        <f>AH73+AG74</f>
        <v>-21290967.04431989</v>
      </c>
      <c r="AI74" s="2">
        <v>34841378.11275263</v>
      </c>
      <c r="AJ74" s="2">
        <f>AH74-AI74</f>
        <v>-56132345.15707252</v>
      </c>
      <c r="AK74" s="3">
        <v>0.25</v>
      </c>
    </row>
    <row r="75" spans="1:37">
      <c r="A75" s="2">
        <v>74</v>
      </c>
      <c r="B75" s="2">
        <v>2033</v>
      </c>
      <c r="C75" s="2">
        <v>18</v>
      </c>
      <c r="D75" s="2">
        <v>417906.3632621848</v>
      </c>
      <c r="E75" s="2">
        <v>7522314.538719325</v>
      </c>
      <c r="F75" s="2">
        <f>E75/1.19</f>
        <v>6321272.721612879</v>
      </c>
      <c r="G75" s="2">
        <v>30</v>
      </c>
      <c r="H75" s="2">
        <v>2908133.432896913</v>
      </c>
      <c r="I75" s="2">
        <v>63</v>
      </c>
      <c r="J75" s="2">
        <v>6048043.485869188</v>
      </c>
      <c r="K75" s="2">
        <v>1728012.424534054</v>
      </c>
      <c r="L75" s="2">
        <v>643314.3689238227</v>
      </c>
      <c r="M75" s="2">
        <v>6729977.256311577</v>
      </c>
      <c r="N75" s="3">
        <v>1</v>
      </c>
      <c r="O75" s="3">
        <v>1.5</v>
      </c>
      <c r="P75" s="2">
        <v>202988.89040993</v>
      </c>
      <c r="Q75" s="2">
        <v>439829.1634264572</v>
      </c>
      <c r="R75" s="2">
        <v>298513.07413225</v>
      </c>
      <c r="S75" s="2">
        <v>334334.64302812</v>
      </c>
      <c r="T75" s="2">
        <v>2797067.504619183</v>
      </c>
      <c r="U75" s="2">
        <f>M75+P75+Q75+R75+S75+T75</f>
        <v>10802710.531927517</v>
      </c>
      <c r="V75" s="2">
        <f>F75-K75-L75-U75</f>
        <v>-6852764.603772514</v>
      </c>
      <c r="W75" s="2">
        <v>155509.3036103949</v>
      </c>
      <c r="X75" s="2">
        <v>278326.9353796322</v>
      </c>
      <c r="Y75" s="2">
        <f>W75+X75</f>
        <v>433836.23899002705</v>
      </c>
      <c r="Z75" s="2">
        <v>16110407.0882729</v>
      </c>
      <c r="AA75" s="2">
        <v>0</v>
      </c>
      <c r="AB75" s="2">
        <v>0</v>
      </c>
      <c r="AC75" s="2">
        <v>0</v>
      </c>
      <c r="AD75" s="2">
        <v>0</v>
      </c>
      <c r="AE75" s="2">
        <v>546419.8639692197</v>
      </c>
      <c r="AF75" s="2">
        <f>F75-H75-L75-U75-AA75-AC75-AD75</f>
        <v>-8032885.612135373</v>
      </c>
      <c r="AG75" s="2">
        <f>F75-H75-L75-U75-AA75-AB75-AD75-Y75</f>
        <v>-8466721.8511254</v>
      </c>
      <c r="AH75" s="2">
        <f>AH74+AG75</f>
        <v>-29757688.89544529</v>
      </c>
      <c r="AI75" s="2">
        <v>34841378.11275263</v>
      </c>
      <c r="AJ75" s="2">
        <f>AH75-AI75</f>
        <v>-64599067.00819792</v>
      </c>
      <c r="AK75" s="3">
        <v>0.25</v>
      </c>
    </row>
    <row r="76" spans="1:37">
      <c r="A76" s="2">
        <v>75</v>
      </c>
      <c r="B76" s="2">
        <v>2033</v>
      </c>
      <c r="C76" s="2">
        <v>24</v>
      </c>
      <c r="D76" s="2">
        <v>417906.3632621848</v>
      </c>
      <c r="E76" s="2">
        <v>10029752.71829243</v>
      </c>
      <c r="F76" s="2">
        <f>E76/1.19</f>
        <v>8428363.62881717</v>
      </c>
      <c r="G76" s="2">
        <v>30</v>
      </c>
      <c r="H76" s="2">
        <v>2908133.432896913</v>
      </c>
      <c r="I76" s="2">
        <v>69</v>
      </c>
      <c r="J76" s="2">
        <v>6644905.45585872</v>
      </c>
      <c r="K76" s="2">
        <v>2311271.46290738</v>
      </c>
      <c r="L76" s="2">
        <v>858332.8836473881</v>
      </c>
      <c r="M76" s="2">
        <v>6729977.256311577</v>
      </c>
      <c r="N76" s="3">
        <v>1</v>
      </c>
      <c r="O76" s="3">
        <v>1.5</v>
      </c>
      <c r="P76" s="2">
        <v>202988.89040993</v>
      </c>
      <c r="Q76" s="2">
        <v>439829.1634264572</v>
      </c>
      <c r="R76" s="2">
        <v>298513.07413225</v>
      </c>
      <c r="S76" s="2">
        <v>334334.64302812</v>
      </c>
      <c r="T76" s="2">
        <v>2797067.504619183</v>
      </c>
      <c r="U76" s="2">
        <f>M76+P76+Q76+R76+S76+T76</f>
        <v>10802710.531927517</v>
      </c>
      <c r="V76" s="2">
        <f>F76-K76-L76-U76</f>
        <v>-5543951.249665114</v>
      </c>
      <c r="W76" s="2">
        <v>152868.3169524605</v>
      </c>
      <c r="X76" s="2">
        <v>280967.9220375665</v>
      </c>
      <c r="Y76" s="2">
        <f>W76+X76</f>
        <v>433836.238990027</v>
      </c>
      <c r="Z76" s="2">
        <v>15829439.16623533</v>
      </c>
      <c r="AA76" s="2">
        <v>0</v>
      </c>
      <c r="AB76" s="2">
        <v>0</v>
      </c>
      <c r="AC76" s="2">
        <v>0</v>
      </c>
      <c r="AD76" s="2">
        <v>0</v>
      </c>
      <c r="AE76" s="2">
        <v>546419.8639692197</v>
      </c>
      <c r="AF76" s="2">
        <f>F76-H76-L76-U76-AA76-AC76-AD76</f>
        <v>-6140813.219654647</v>
      </c>
      <c r="AG76" s="2">
        <f>F76-H76-L76-U76-AA76-AB76-AD76-Y76</f>
        <v>-6574649.458644673</v>
      </c>
      <c r="AH76" s="2">
        <f>AH75+AG76</f>
        <v>-36332338.35408996</v>
      </c>
      <c r="AI76" s="2">
        <v>34841378.11275263</v>
      </c>
      <c r="AJ76" s="2">
        <f>AH76-AI76</f>
        <v>-71173716.46684259</v>
      </c>
      <c r="AK76" s="3">
        <v>0.25</v>
      </c>
    </row>
    <row r="77" spans="1:37">
      <c r="A77" s="2">
        <v>76</v>
      </c>
      <c r="B77" s="2">
        <v>2033</v>
      </c>
      <c r="C77" s="2">
        <v>30</v>
      </c>
      <c r="D77" s="2">
        <v>417906.3632621848</v>
      </c>
      <c r="E77" s="2">
        <v>12537190.89786554</v>
      </c>
      <c r="F77" s="2">
        <f>E77/1.19</f>
        <v>10535454.536021465</v>
      </c>
      <c r="G77" s="2">
        <v>50</v>
      </c>
      <c r="H77" s="2">
        <v>4846889.054828188</v>
      </c>
      <c r="I77" s="2">
        <v>89</v>
      </c>
      <c r="J77" s="2">
        <v>8594703.457572563</v>
      </c>
      <c r="K77" s="2">
        <v>2897091.053114347</v>
      </c>
      <c r="L77" s="2">
        <v>1073556.242517645</v>
      </c>
      <c r="M77" s="2">
        <v>6729977.256311577</v>
      </c>
      <c r="N77" s="3">
        <v>1</v>
      </c>
      <c r="O77" s="3">
        <v>1.5</v>
      </c>
      <c r="P77" s="2">
        <v>202988.89040993</v>
      </c>
      <c r="Q77" s="2">
        <v>439829.1634264572</v>
      </c>
      <c r="R77" s="2">
        <v>298513.07413225</v>
      </c>
      <c r="S77" s="2">
        <v>334334.64302812</v>
      </c>
      <c r="T77" s="2">
        <v>2797067.504619183</v>
      </c>
      <c r="U77" s="2">
        <f>M77+P77+Q77+R77+S77+T77</f>
        <v>10802710.531927517</v>
      </c>
      <c r="V77" s="2">
        <f>F77-K77-L77-U77</f>
        <v>-4237903.291538043</v>
      </c>
      <c r="W77" s="2">
        <v>150202.270518986</v>
      </c>
      <c r="X77" s="2">
        <v>283633.9684710411</v>
      </c>
      <c r="Y77" s="2">
        <f>W77+X77</f>
        <v>433836.238990027</v>
      </c>
      <c r="Z77" s="2">
        <v>15545805.19776429</v>
      </c>
      <c r="AA77" s="2">
        <v>0</v>
      </c>
      <c r="AB77" s="2">
        <v>0</v>
      </c>
      <c r="AC77" s="2">
        <v>0</v>
      </c>
      <c r="AD77" s="2">
        <v>364279.9093128132</v>
      </c>
      <c r="AE77" s="2">
        <v>910699.7732820329</v>
      </c>
      <c r="AF77" s="2">
        <f>F77-H77-L77-U77-AA77-AC77-AD77</f>
        <v>-6551981.202564699</v>
      </c>
      <c r="AG77" s="2">
        <f>F77-H77-L77-U77-AA77-AB77-AD77-Y77</f>
        <v>-6985817.441554725</v>
      </c>
      <c r="AH77" s="2">
        <f>AH76+AG77</f>
        <v>-43318155.795644686</v>
      </c>
      <c r="AI77" s="2">
        <v>34841378.11275263</v>
      </c>
      <c r="AJ77" s="2">
        <f>AH77-AI77</f>
        <v>-78159533.90839732</v>
      </c>
      <c r="AK77" s="3">
        <v>0.25</v>
      </c>
    </row>
    <row r="78" spans="1:37">
      <c r="A78" s="2">
        <v>77</v>
      </c>
      <c r="B78" s="2">
        <v>2033</v>
      </c>
      <c r="C78" s="2">
        <v>37</v>
      </c>
      <c r="D78" s="2">
        <v>417906.3632621848</v>
      </c>
      <c r="E78" s="2">
        <v>15462535.44070084</v>
      </c>
      <c r="F78" s="2">
        <f>E78/1.19</f>
        <v>12993727.26109314</v>
      </c>
      <c r="G78" s="2">
        <v>40</v>
      </c>
      <c r="H78" s="2">
        <v>3877511.24386255</v>
      </c>
      <c r="I78" s="2">
        <v>92</v>
      </c>
      <c r="J78" s="2">
        <v>8894912.810325816</v>
      </c>
      <c r="K78" s="2">
        <v>3577301.891109296</v>
      </c>
      <c r="L78" s="2">
        <v>1324390.533153224</v>
      </c>
      <c r="M78" s="2">
        <v>6729977.256311577</v>
      </c>
      <c r="N78" s="3">
        <v>1</v>
      </c>
      <c r="O78" s="3">
        <v>1.5</v>
      </c>
      <c r="P78" s="2">
        <v>202988.89040993</v>
      </c>
      <c r="Q78" s="2">
        <v>439829.1634264572</v>
      </c>
      <c r="R78" s="2">
        <v>298513.07413225</v>
      </c>
      <c r="S78" s="2">
        <v>334334.64302812</v>
      </c>
      <c r="T78" s="2">
        <v>2797067.504619183</v>
      </c>
      <c r="U78" s="2">
        <f>M78+P78+Q78+R78+S78+T78</f>
        <v>10802710.531927517</v>
      </c>
      <c r="V78" s="2">
        <f>F78-K78-L78-U78</f>
        <v>-2710675.695096896</v>
      </c>
      <c r="W78" s="2">
        <v>147510.9265229502</v>
      </c>
      <c r="X78" s="2">
        <v>286325.3124670769</v>
      </c>
      <c r="Y78" s="2">
        <f>W78+X78</f>
        <v>433836.23899002705</v>
      </c>
      <c r="Z78" s="2">
        <v>15259479.88529721</v>
      </c>
      <c r="AA78" s="2">
        <v>0</v>
      </c>
      <c r="AB78" s="2">
        <v>0</v>
      </c>
      <c r="AC78" s="2">
        <v>0</v>
      </c>
      <c r="AD78" s="2">
        <v>-182139.9546564067</v>
      </c>
      <c r="AE78" s="2">
        <v>728559.8186256263</v>
      </c>
      <c r="AF78" s="2">
        <f>F78-H78-L78-U78-AA78-AC78-AD78</f>
        <v>-2828745.093193745</v>
      </c>
      <c r="AG78" s="2">
        <f>F78-H78-L78-U78-AA78-AB78-AD78-Y78</f>
        <v>-3262581.3321837718</v>
      </c>
      <c r="AH78" s="2">
        <f>AH77+AG78</f>
        <v>-46580737.12782846</v>
      </c>
      <c r="AI78" s="2">
        <v>34841378.11275263</v>
      </c>
      <c r="AJ78" s="2">
        <f>AH78-AI78</f>
        <v>-81422115.2405811</v>
      </c>
      <c r="AK78" s="3">
        <v>0.25</v>
      </c>
    </row>
    <row r="79" spans="1:37">
      <c r="A79" s="2">
        <v>78</v>
      </c>
      <c r="B79" s="2">
        <v>2033</v>
      </c>
      <c r="C79" s="2">
        <v>43</v>
      </c>
      <c r="D79" s="2">
        <v>417906.3632621848</v>
      </c>
      <c r="E79" s="2">
        <v>17969973.62027394</v>
      </c>
      <c r="F79" s="2">
        <f>E79/1.19</f>
        <v>15100818.168297432</v>
      </c>
      <c r="G79" s="2">
        <v>70</v>
      </c>
      <c r="H79" s="2">
        <v>6785644.676759463</v>
      </c>
      <c r="I79" s="2">
        <v>119</v>
      </c>
      <c r="J79" s="2">
        <v>11518434.20347622</v>
      </c>
      <c r="K79" s="2">
        <v>4162123.283609056</v>
      </c>
      <c r="L79" s="2">
        <v>1539534.036206904</v>
      </c>
      <c r="M79" s="2">
        <v>6729977.256311577</v>
      </c>
      <c r="N79" s="3">
        <v>1</v>
      </c>
      <c r="O79" s="3">
        <v>1.5</v>
      </c>
      <c r="P79" s="2">
        <v>202988.89040993</v>
      </c>
      <c r="Q79" s="2">
        <v>439829.1634264572</v>
      </c>
      <c r="R79" s="2">
        <v>298513.07413225</v>
      </c>
      <c r="S79" s="2">
        <v>334334.64302812</v>
      </c>
      <c r="T79" s="2">
        <v>2797067.504619183</v>
      </c>
      <c r="U79" s="2">
        <f>M79+P79+Q79+R79+S79+T79</f>
        <v>10802710.531927517</v>
      </c>
      <c r="V79" s="2">
        <f>F79-K79-L79-U79</f>
        <v>-1403549.683446044</v>
      </c>
      <c r="W79" s="2">
        <v>144794.0449210203</v>
      </c>
      <c r="X79" s="2">
        <v>289042.1940690067</v>
      </c>
      <c r="Y79" s="2">
        <f>W79+X79</f>
        <v>433836.238990027</v>
      </c>
      <c r="Z79" s="2">
        <v>14970437.69122821</v>
      </c>
      <c r="AA79" s="2">
        <v>0</v>
      </c>
      <c r="AB79" s="2">
        <v>0</v>
      </c>
      <c r="AC79" s="2">
        <v>0</v>
      </c>
      <c r="AD79" s="2">
        <v>546419.8639692197</v>
      </c>
      <c r="AE79" s="2">
        <v>1274979.682594846</v>
      </c>
      <c r="AF79" s="2">
        <f>F79-H79-L79-U79-AA79-AC79-AD79</f>
        <v>-4573490.940565671</v>
      </c>
      <c r="AG79" s="2">
        <f>F79-H79-L79-U79-AA79-AB79-AD79-Y79</f>
        <v>-5007327.179555697</v>
      </c>
      <c r="AH79" s="2">
        <f>AH78+AG79</f>
        <v>-51588064.307384156</v>
      </c>
      <c r="AI79" s="2">
        <v>34841378.11275263</v>
      </c>
      <c r="AJ79" s="2">
        <f>AH79-AI79</f>
        <v>-86429442.42013678</v>
      </c>
      <c r="AK79" s="3">
        <v>0.25</v>
      </c>
    </row>
    <row r="80" spans="1:37">
      <c r="A80" s="2">
        <v>79</v>
      </c>
      <c r="B80" s="2">
        <v>2033</v>
      </c>
      <c r="C80" s="2">
        <v>49</v>
      </c>
      <c r="D80" s="2">
        <v>417906.3632621848</v>
      </c>
      <c r="E80" s="2">
        <v>20477411.79984705</v>
      </c>
      <c r="F80" s="2">
        <f>E80/1.19</f>
        <v>17207909.075501725</v>
      </c>
      <c r="G80" s="2">
        <v>60</v>
      </c>
      <c r="H80" s="2">
        <v>5816266.865793826</v>
      </c>
      <c r="I80" s="2">
        <v>130</v>
      </c>
      <c r="J80" s="2">
        <v>12589447.70393914</v>
      </c>
      <c r="K80" s="2">
        <v>4745253.365330908</v>
      </c>
      <c r="L80" s="2">
        <v>1754542.234398351</v>
      </c>
      <c r="M80" s="2">
        <v>6729977.256311577</v>
      </c>
      <c r="N80" s="3">
        <v>1</v>
      </c>
      <c r="O80" s="3">
        <v>1.5</v>
      </c>
      <c r="P80" s="2">
        <v>202988.89040993</v>
      </c>
      <c r="Q80" s="2">
        <v>439829.1634264572</v>
      </c>
      <c r="R80" s="2">
        <v>298513.07413225</v>
      </c>
      <c r="S80" s="2">
        <v>334334.64302812</v>
      </c>
      <c r="T80" s="2">
        <v>2797067.504619183</v>
      </c>
      <c r="U80" s="2">
        <f>M80+P80+Q80+R80+S80+T80</f>
        <v>10802710.531927517</v>
      </c>
      <c r="V80" s="2">
        <f>F80-K80-L80-U80</f>
        <v>-94597.05615505204</v>
      </c>
      <c r="W80" s="2">
        <v>142051.3833921419</v>
      </c>
      <c r="X80" s="2">
        <v>291784.8555978851</v>
      </c>
      <c r="Y80" s="2">
        <f>W80+X80</f>
        <v>433836.238990027</v>
      </c>
      <c r="Z80" s="2">
        <v>14678652.83563032</v>
      </c>
      <c r="AA80" s="2">
        <v>0</v>
      </c>
      <c r="AB80" s="2">
        <v>0</v>
      </c>
      <c r="AC80" s="2">
        <v>0</v>
      </c>
      <c r="AD80" s="2">
        <v>-182139.9546564065</v>
      </c>
      <c r="AE80" s="2">
        <v>1092839.727938439</v>
      </c>
      <c r="AF80" s="2">
        <f>F80-H80-L80-U80-AA80-AC80-AD80</f>
        <v>-983470.6019615631</v>
      </c>
      <c r="AG80" s="2">
        <f>F80-H80-L80-U80-AA80-AB80-AD80-Y80</f>
        <v>-1417306.84095159</v>
      </c>
      <c r="AH80" s="2">
        <f>AH79+AG80</f>
        <v>-53005371.14833575</v>
      </c>
      <c r="AI80" s="2">
        <v>34841378.11275263</v>
      </c>
      <c r="AJ80" s="2">
        <f>AH80-AI80</f>
        <v>-87846749.26108837</v>
      </c>
      <c r="AK80" s="3">
        <v>0.25</v>
      </c>
    </row>
    <row r="81" spans="1:37">
      <c r="A81" s="2">
        <v>80</v>
      </c>
      <c r="B81" s="2">
        <v>2033</v>
      </c>
      <c r="C81" s="2">
        <v>61</v>
      </c>
      <c r="D81" s="2">
        <v>417906.3632621848</v>
      </c>
      <c r="E81" s="2">
        <v>25492288.15899327</v>
      </c>
      <c r="F81" s="2">
        <f>E81/1.19</f>
        <v>21422090.88991031</v>
      </c>
      <c r="G81" s="2">
        <v>80</v>
      </c>
      <c r="H81" s="2">
        <v>7755022.4877251</v>
      </c>
      <c r="I81" s="2">
        <v>149</v>
      </c>
      <c r="J81" s="2">
        <v>14434885.9931332</v>
      </c>
      <c r="K81" s="2">
        <v>5909584.198531043</v>
      </c>
      <c r="L81" s="2">
        <v>2184404.284361761</v>
      </c>
      <c r="M81" s="2">
        <v>6729977.256311577</v>
      </c>
      <c r="N81" s="3">
        <v>1</v>
      </c>
      <c r="O81" s="3">
        <v>1.5</v>
      </c>
      <c r="P81" s="2">
        <v>202988.89040993</v>
      </c>
      <c r="Q81" s="2">
        <v>439829.1634264572</v>
      </c>
      <c r="R81" s="2">
        <v>298513.07413225</v>
      </c>
      <c r="S81" s="2">
        <v>334334.64302812</v>
      </c>
      <c r="T81" s="2">
        <v>2797067.504619183</v>
      </c>
      <c r="U81" s="2">
        <f>M81+P81+Q81+R81+S81+T81</f>
        <v>10802710.531927517</v>
      </c>
      <c r="V81" s="2">
        <f>F81-K81-L81-U81</f>
        <v>2525391.87508999</v>
      </c>
      <c r="W81" s="2">
        <v>139282.6973159264</v>
      </c>
      <c r="X81" s="2">
        <v>294553.5416741007</v>
      </c>
      <c r="Y81" s="2">
        <f>W81+X81</f>
        <v>433836.23899002705</v>
      </c>
      <c r="Z81" s="2">
        <v>14384099.29395622</v>
      </c>
      <c r="AA81" s="2">
        <v>0</v>
      </c>
      <c r="AB81" s="2">
        <v>0</v>
      </c>
      <c r="AC81" s="2">
        <v>0</v>
      </c>
      <c r="AD81" s="2">
        <v>364279.9093128131</v>
      </c>
      <c r="AE81" s="2">
        <v>1457119.637251253</v>
      </c>
      <c r="AF81" s="2">
        <f>F81-H81-L81-U81-AA81-AC81-AD81</f>
        <v>315673.6765831183</v>
      </c>
      <c r="AG81" s="2">
        <f>F81-H81-L81-U81-AA81-AB81-AD81-Y81</f>
        <v>-118162.56240690878</v>
      </c>
      <c r="AH81" s="2">
        <f>AH80+AG81</f>
        <v>-53123533.71074266</v>
      </c>
      <c r="AI81" s="2">
        <v>34841378.11275263</v>
      </c>
      <c r="AJ81" s="2">
        <f>AH81-AI81</f>
        <v>-87964911.8234953</v>
      </c>
      <c r="AK81" s="3">
        <v>0.25</v>
      </c>
    </row>
    <row r="82" spans="1:37">
      <c r="A82" s="2">
        <v>81</v>
      </c>
      <c r="B82" s="2">
        <v>2033</v>
      </c>
      <c r="C82" s="2">
        <v>67</v>
      </c>
      <c r="D82" s="2">
        <v>417906.3632621848</v>
      </c>
      <c r="E82" s="2">
        <v>27999726.33856638</v>
      </c>
      <c r="F82" s="2">
        <f>E82/1.19</f>
        <v>23529181.797114603</v>
      </c>
      <c r="G82" s="2">
        <v>90</v>
      </c>
      <c r="H82" s="2">
        <v>8724400.29869074</v>
      </c>
      <c r="I82" s="2">
        <v>172</v>
      </c>
      <c r="J82" s="2">
        <v>16666934.06775614</v>
      </c>
      <c r="K82" s="2">
        <v>6492352.2240678</v>
      </c>
      <c r="L82" s="2">
        <v>2399383.518058401</v>
      </c>
      <c r="M82" s="2">
        <v>6729977.256311577</v>
      </c>
      <c r="N82" s="3">
        <v>1</v>
      </c>
      <c r="O82" s="3">
        <v>1.5</v>
      </c>
      <c r="P82" s="2">
        <v>202988.89040993</v>
      </c>
      <c r="Q82" s="2">
        <v>439829.1634264572</v>
      </c>
      <c r="R82" s="2">
        <v>298513.07413225</v>
      </c>
      <c r="S82" s="2">
        <v>334334.64302812</v>
      </c>
      <c r="T82" s="2">
        <v>2797067.504619183</v>
      </c>
      <c r="U82" s="2">
        <f>M82+P82+Q82+R82+S82+T82</f>
        <v>10802710.531927517</v>
      </c>
      <c r="V82" s="2">
        <f>F82-K82-L82-U82</f>
        <v>3834735.523060886</v>
      </c>
      <c r="W82" s="2">
        <v>136487.7397508328</v>
      </c>
      <c r="X82" s="2">
        <v>297348.4992391943</v>
      </c>
      <c r="Y82" s="2">
        <f>W82+X82</f>
        <v>433836.2389900271</v>
      </c>
      <c r="Z82" s="2">
        <v>14086750.79471703</v>
      </c>
      <c r="AA82" s="2">
        <v>0</v>
      </c>
      <c r="AB82" s="2">
        <v>0</v>
      </c>
      <c r="AC82" s="2">
        <v>0</v>
      </c>
      <c r="AD82" s="2">
        <v>182139.9546564068</v>
      </c>
      <c r="AE82" s="2">
        <v>1639259.591907659</v>
      </c>
      <c r="AF82" s="2">
        <f>F82-H82-L82-U82-AA82-AC82-AD82</f>
        <v>1420547.4937815391</v>
      </c>
      <c r="AG82" s="2">
        <f>F82-H82-L82-U82-AA82-AB82-AD82-Y82</f>
        <v>986711.254791512</v>
      </c>
      <c r="AH82" s="2">
        <f>AH81+AG82</f>
        <v>-52136822.45595115</v>
      </c>
      <c r="AI82" s="2">
        <v>34841378.11275263</v>
      </c>
      <c r="AJ82" s="2">
        <f>AH82-AI82</f>
        <v>-86978200.56870377</v>
      </c>
      <c r="AK82" s="3">
        <v>0.25</v>
      </c>
    </row>
    <row r="83" spans="1:37">
      <c r="A83" s="2">
        <v>82</v>
      </c>
      <c r="B83" s="2">
        <v>2033</v>
      </c>
      <c r="C83" s="2">
        <v>79</v>
      </c>
      <c r="D83" s="2">
        <v>417906.3632621848</v>
      </c>
      <c r="E83" s="2">
        <v>33014602.6977126</v>
      </c>
      <c r="F83" s="2">
        <f>E83/1.19</f>
        <v>27743363.611523192</v>
      </c>
      <c r="G83" s="2">
        <v>100</v>
      </c>
      <c r="H83" s="2">
        <v>9693778.109656377</v>
      </c>
      <c r="I83" s="2">
        <v>193</v>
      </c>
      <c r="J83" s="2">
        <v>18704475.92000227</v>
      </c>
      <c r="K83" s="2">
        <v>7656236.257410253</v>
      </c>
      <c r="L83" s="2">
        <v>2829209.824033196</v>
      </c>
      <c r="M83" s="2">
        <v>6729977.256311577</v>
      </c>
      <c r="N83" s="3">
        <v>1</v>
      </c>
      <c r="O83" s="3">
        <v>1.5</v>
      </c>
      <c r="P83" s="2">
        <v>202988.89040993</v>
      </c>
      <c r="Q83" s="2">
        <v>439829.1634264572</v>
      </c>
      <c r="R83" s="2">
        <v>298513.07413225</v>
      </c>
      <c r="S83" s="2">
        <v>334334.64302812</v>
      </c>
      <c r="T83" s="2">
        <v>2797067.504619183</v>
      </c>
      <c r="U83" s="2">
        <f>M83+P83+Q83+R83+S83+T83</f>
        <v>10802710.531927517</v>
      </c>
      <c r="V83" s="2">
        <f>F83-K83-L83-U83</f>
        <v>6455206.998152224</v>
      </c>
      <c r="W83" s="2">
        <v>133666.261412143</v>
      </c>
      <c r="X83" s="2">
        <v>300169.977577884</v>
      </c>
      <c r="Y83" s="2">
        <f>W83+X83</f>
        <v>433836.23899002705</v>
      </c>
      <c r="Z83" s="2">
        <v>13786580.81713914</v>
      </c>
      <c r="AA83" s="2">
        <v>0</v>
      </c>
      <c r="AB83" s="2">
        <v>0</v>
      </c>
      <c r="AC83" s="2">
        <v>0</v>
      </c>
      <c r="AD83" s="2">
        <v>182139.9546564065</v>
      </c>
      <c r="AE83" s="2">
        <v>1821399.546564066</v>
      </c>
      <c r="AF83" s="2">
        <f>F83-H83-L83-U83-AA83-AC83-AD83</f>
        <v>4235525.1912496975</v>
      </c>
      <c r="AG83" s="2">
        <f>F83-H83-L83-U83-AA83-AB83-AD83-Y83</f>
        <v>3801688.9522596705</v>
      </c>
      <c r="AH83" s="2">
        <f>AH82+AG83</f>
        <v>-48335133.50369148</v>
      </c>
      <c r="AI83" s="2">
        <v>34841378.11275263</v>
      </c>
      <c r="AJ83" s="2">
        <f>AH83-AI83</f>
        <v>-83176511.61644411</v>
      </c>
      <c r="AK83" s="3">
        <v>0.25</v>
      </c>
    </row>
    <row r="84" spans="1:37">
      <c r="A84" s="2">
        <v>83</v>
      </c>
      <c r="B84" s="2">
        <v>2033</v>
      </c>
      <c r="C84" s="2">
        <v>85</v>
      </c>
      <c r="D84" s="2">
        <v>417906.3632621848</v>
      </c>
      <c r="E84" s="2">
        <v>35522040.8772857</v>
      </c>
      <c r="F84" s="2">
        <f>E84/1.19</f>
        <v>29850454.518727485</v>
      </c>
      <c r="G84" s="2">
        <v>10</v>
      </c>
      <c r="H84" s="2">
        <v>969377.8109656376</v>
      </c>
      <c r="I84" s="2">
        <v>118</v>
      </c>
      <c r="J84" s="2">
        <v>11436033.20322272</v>
      </c>
      <c r="K84" s="2">
        <v>8237820.527745182</v>
      </c>
      <c r="L84" s="2">
        <v>3044094.35731369</v>
      </c>
      <c r="M84" s="2">
        <v>6729977.256311577</v>
      </c>
      <c r="N84" s="3">
        <v>1</v>
      </c>
      <c r="O84" s="3">
        <v>1.5</v>
      </c>
      <c r="P84" s="2">
        <v>202988.89040993</v>
      </c>
      <c r="Q84" s="2">
        <v>439829.1634264572</v>
      </c>
      <c r="R84" s="2">
        <v>298513.07413225</v>
      </c>
      <c r="S84" s="2">
        <v>334334.64302812</v>
      </c>
      <c r="T84" s="2">
        <v>2797067.504619183</v>
      </c>
      <c r="U84" s="2">
        <f>M84+P84+Q84+R84+S84+T84</f>
        <v>10802710.531927517</v>
      </c>
      <c r="V84" s="2">
        <f>F84-K84-L84-U84</f>
        <v>7765829.101741096</v>
      </c>
      <c r="W84" s="2">
        <v>130818.010649728</v>
      </c>
      <c r="X84" s="2">
        <v>303018.228340299</v>
      </c>
      <c r="Y84" s="2">
        <f>W84+X84</f>
        <v>433836.238990027</v>
      </c>
      <c r="Z84" s="2">
        <v>13483562.58879884</v>
      </c>
      <c r="AA84" s="2">
        <v>0</v>
      </c>
      <c r="AB84" s="2">
        <v>0</v>
      </c>
      <c r="AC84" s="2">
        <v>0</v>
      </c>
      <c r="AD84" s="2">
        <v>-1639259.591907659</v>
      </c>
      <c r="AE84" s="2">
        <v>182139.9546564066</v>
      </c>
      <c r="AF84" s="2">
        <f>F84-H84-L84-U84-AA84-AC84-AD84</f>
        <v>16673531.4104283</v>
      </c>
      <c r="AG84" s="2">
        <f>F84-H84-L84-U84-AA84-AB84-AD84-Y84</f>
        <v>16239695.171438273</v>
      </c>
      <c r="AH84" s="2">
        <f>AH83+AG84</f>
        <v>-32095438.332253207</v>
      </c>
      <c r="AI84" s="2">
        <v>34841378.11275263</v>
      </c>
      <c r="AJ84" s="2">
        <f>AH84-AI84</f>
        <v>-66936816.445005834</v>
      </c>
      <c r="AK84" s="3">
        <v>0.25</v>
      </c>
    </row>
    <row r="85" spans="1:37">
      <c r="A85" s="2">
        <v>84</v>
      </c>
      <c r="B85" s="2">
        <v>2033</v>
      </c>
      <c r="C85" s="2">
        <v>104</v>
      </c>
      <c r="D85" s="2">
        <v>417906.3632621848</v>
      </c>
      <c r="E85" s="2">
        <v>43462261.77926721</v>
      </c>
      <c r="F85" s="2">
        <f>E85/1.19</f>
        <v>36522909.05820774</v>
      </c>
      <c r="G85" s="2">
        <v>20</v>
      </c>
      <c r="H85" s="2">
        <v>1938755.621931275</v>
      </c>
      <c r="I85" s="2">
        <v>34</v>
      </c>
      <c r="J85" s="2">
        <v>3295237.826487215</v>
      </c>
      <c r="K85" s="2">
        <v>10079550.99866678</v>
      </c>
      <c r="L85" s="2">
        <v>3724565.8018908</v>
      </c>
      <c r="M85" s="2">
        <v>6729977.256311577</v>
      </c>
      <c r="N85" s="3">
        <v>1</v>
      </c>
      <c r="O85" s="3">
        <v>1.5</v>
      </c>
      <c r="P85" s="2">
        <v>202988.89040993</v>
      </c>
      <c r="Q85" s="2">
        <v>439829.1634264572</v>
      </c>
      <c r="R85" s="2">
        <v>298513.07413225</v>
      </c>
      <c r="S85" s="2">
        <v>334334.64302812</v>
      </c>
      <c r="T85" s="2">
        <v>2797067.504619183</v>
      </c>
      <c r="U85" s="2">
        <f>M85+P85+Q85+R85+S85+T85</f>
        <v>10802710.531927517</v>
      </c>
      <c r="V85" s="2">
        <f>F85-K85-L85-U85</f>
        <v>11916081.725722643</v>
      </c>
      <c r="W85" s="2">
        <v>127942.7334256027</v>
      </c>
      <c r="X85" s="2">
        <v>305893.5055644243</v>
      </c>
      <c r="Y85" s="2">
        <f>W85+X85</f>
        <v>433836.23899002705</v>
      </c>
      <c r="Z85" s="2">
        <v>13177669.08323442</v>
      </c>
      <c r="AA85" s="2">
        <v>0</v>
      </c>
      <c r="AB85" s="2">
        <v>0</v>
      </c>
      <c r="AC85" s="2">
        <v>0</v>
      </c>
      <c r="AD85" s="2">
        <v>182139.9546564066</v>
      </c>
      <c r="AE85" s="2">
        <v>364279.9093128131</v>
      </c>
      <c r="AF85" s="2">
        <f>F85-H85-L85-U85-AA85-AC85-AD85</f>
        <v>19874737.147801742</v>
      </c>
      <c r="AG85" s="2">
        <f>F85-H85-L85-U85-AA85-AB85-AD85-Y85</f>
        <v>19440900.908811715</v>
      </c>
      <c r="AH85" s="2">
        <f>AH84+AG85</f>
        <v>-12654537.423441492</v>
      </c>
      <c r="AI85" s="2">
        <v>34841378.11275263</v>
      </c>
      <c r="AJ85" s="2">
        <f>AH85-AI85</f>
        <v>-47495915.53619412</v>
      </c>
      <c r="AK85" s="3">
        <v>0.25</v>
      </c>
    </row>
    <row r="86" spans="1:37">
      <c r="A86" s="2">
        <v>85</v>
      </c>
      <c r="B86" s="2">
        <v>2034</v>
      </c>
      <c r="C86" s="2">
        <v>13</v>
      </c>
      <c r="D86" s="2">
        <v>430443.5541600503</v>
      </c>
      <c r="E86" s="2">
        <v>5595766.204080654</v>
      </c>
      <c r="F86" s="2">
        <f>E86/1.19</f>
        <v>4702324.541244248</v>
      </c>
      <c r="G86" s="2">
        <v>30</v>
      </c>
      <c r="H86" s="2">
        <v>2995377.435883821</v>
      </c>
      <c r="I86" s="2">
        <v>51</v>
      </c>
      <c r="J86" s="2">
        <v>5012834.037201919</v>
      </c>
      <c r="K86" s="2">
        <v>1277781.225169117</v>
      </c>
      <c r="L86" s="2">
        <v>477940.9697207019</v>
      </c>
      <c r="M86" s="2">
        <v>6931876.574000925</v>
      </c>
      <c r="N86" s="3">
        <v>1</v>
      </c>
      <c r="O86" s="3">
        <v>1.5</v>
      </c>
      <c r="P86" s="2">
        <v>209078.5571222279</v>
      </c>
      <c r="Q86" s="2">
        <v>489797.2669054546</v>
      </c>
      <c r="R86" s="2">
        <v>307468.4663562176</v>
      </c>
      <c r="S86" s="2">
        <v>344364.6823189636</v>
      </c>
      <c r="T86" s="2">
        <v>3025489.708945181</v>
      </c>
      <c r="U86" s="2">
        <f>M86+P86+Q86+R86+S86+T86</f>
        <v>11308075.25564897</v>
      </c>
      <c r="V86" s="2">
        <f>F86-K86-L86-U86</f>
        <v>-8361472.909294541</v>
      </c>
      <c r="W86" s="2">
        <v>125040.1732912682</v>
      </c>
      <c r="X86" s="2">
        <v>308796.0656987589</v>
      </c>
      <c r="Y86" s="2">
        <f>W86+X86</f>
        <v>433836.23899002705</v>
      </c>
      <c r="Z86" s="2">
        <v>12868873.01753566</v>
      </c>
      <c r="AA86" s="2">
        <v>0</v>
      </c>
      <c r="AB86" s="2">
        <v>0</v>
      </c>
      <c r="AC86" s="2">
        <v>0</v>
      </c>
      <c r="AD86" s="2">
        <v>198532.5505754832</v>
      </c>
      <c r="AE86" s="2">
        <v>562812.4598882963</v>
      </c>
      <c r="AF86" s="2">
        <f>F86-H86-L86-U86-AA86-AC86-AD86</f>
        <v>-10277601.670584729</v>
      </c>
      <c r="AG86" s="2">
        <f>F86-H86-L86-U86-AA86-AB86-AD86-Y86</f>
        <v>-10711437.909574756</v>
      </c>
      <c r="AH86" s="2">
        <f>AH85+AG86</f>
        <v>-23365975.333016247</v>
      </c>
      <c r="AI86" s="2">
        <v>36357472.28391699</v>
      </c>
      <c r="AJ86" s="2">
        <f>AH86-AI86</f>
        <v>-59723447.61693324</v>
      </c>
      <c r="AK86" s="3">
        <v>0.25</v>
      </c>
    </row>
    <row r="87" spans="1:37">
      <c r="A87" s="2">
        <v>86</v>
      </c>
      <c r="B87" s="2">
        <v>2034</v>
      </c>
      <c r="C87" s="2">
        <v>19</v>
      </c>
      <c r="D87" s="2">
        <v>430443.5541600503</v>
      </c>
      <c r="E87" s="2">
        <v>8178427.529040956</v>
      </c>
      <c r="F87" s="2">
        <f>E87/1.19</f>
        <v>6872628.175664669</v>
      </c>
      <c r="G87" s="2">
        <v>30</v>
      </c>
      <c r="H87" s="2">
        <v>2995377.435883821</v>
      </c>
      <c r="I87" s="2">
        <v>62</v>
      </c>
      <c r="J87" s="2">
        <v>6129742.11520143</v>
      </c>
      <c r="K87" s="2">
        <v>1878469.357884309</v>
      </c>
      <c r="L87" s="2">
        <v>699404.5457412277</v>
      </c>
      <c r="M87" s="2">
        <v>6931876.574000925</v>
      </c>
      <c r="N87" s="3">
        <v>1</v>
      </c>
      <c r="O87" s="3">
        <v>1.5</v>
      </c>
      <c r="P87" s="2">
        <v>209078.5571222279</v>
      </c>
      <c r="Q87" s="2">
        <v>489797.2669054546</v>
      </c>
      <c r="R87" s="2">
        <v>307468.4663562176</v>
      </c>
      <c r="S87" s="2">
        <v>344364.6823189636</v>
      </c>
      <c r="T87" s="2">
        <v>3025489.708945181</v>
      </c>
      <c r="U87" s="2">
        <f>M87+P87+Q87+R87+S87+T87</f>
        <v>11308075.25564897</v>
      </c>
      <c r="V87" s="2">
        <f>F87-K87-L87-U87</f>
        <v>-7013320.983609838</v>
      </c>
      <c r="W87" s="2">
        <v>122110.0713648387</v>
      </c>
      <c r="X87" s="2">
        <v>311726.1676251883</v>
      </c>
      <c r="Y87" s="2">
        <f>W87+X87</f>
        <v>433836.23899002705</v>
      </c>
      <c r="Z87" s="2">
        <v>12557146.84991047</v>
      </c>
      <c r="AA87" s="2">
        <v>0</v>
      </c>
      <c r="AB87" s="2">
        <v>0</v>
      </c>
      <c r="AC87" s="2">
        <v>0</v>
      </c>
      <c r="AD87" s="2">
        <v>0</v>
      </c>
      <c r="AE87" s="2">
        <v>562812.4598882963</v>
      </c>
      <c r="AF87" s="2">
        <f>F87-H87-L87-U87-AA87-AC87-AD87</f>
        <v>-8130229.06160935</v>
      </c>
      <c r="AG87" s="2">
        <f>F87-H87-L87-U87-AA87-AB87-AD87-Y87</f>
        <v>-8564065.300599378</v>
      </c>
      <c r="AH87" s="2">
        <f>AH86+AG87</f>
        <v>-31930040.633615624</v>
      </c>
      <c r="AI87" s="2">
        <v>36357472.28391699</v>
      </c>
      <c r="AJ87" s="2">
        <f>AH87-AI87</f>
        <v>-68287512.91753262</v>
      </c>
      <c r="AK87" s="3">
        <v>0.25</v>
      </c>
    </row>
    <row r="88" spans="1:37">
      <c r="A88" s="2">
        <v>87</v>
      </c>
      <c r="B88" s="2">
        <v>2034</v>
      </c>
      <c r="C88" s="2">
        <v>26</v>
      </c>
      <c r="D88" s="2">
        <v>430443.5541600503</v>
      </c>
      <c r="E88" s="2">
        <v>11191532.40816131</v>
      </c>
      <c r="F88" s="2">
        <f>E88/1.19</f>
        <v>9404649.082488496</v>
      </c>
      <c r="G88" s="2">
        <v>40</v>
      </c>
      <c r="H88" s="2">
        <v>3993836.581178427</v>
      </c>
      <c r="I88" s="2">
        <v>76</v>
      </c>
      <c r="J88" s="2">
        <v>7543058.636518326</v>
      </c>
      <c r="K88" s="2">
        <v>2580520.059861532</v>
      </c>
      <c r="L88" s="2">
        <v>957878.5482032679</v>
      </c>
      <c r="M88" s="2">
        <v>6931876.574000925</v>
      </c>
      <c r="N88" s="3">
        <v>1</v>
      </c>
      <c r="O88" s="3">
        <v>1.5</v>
      </c>
      <c r="P88" s="2">
        <v>209078.5571222279</v>
      </c>
      <c r="Q88" s="2">
        <v>489797.2669054546</v>
      </c>
      <c r="R88" s="2">
        <v>307468.4663562176</v>
      </c>
      <c r="S88" s="2">
        <v>344364.6823189636</v>
      </c>
      <c r="T88" s="2">
        <v>3025489.708945181</v>
      </c>
      <c r="U88" s="2">
        <f>M88+P88+Q88+R88+S88+T88</f>
        <v>11308075.25564897</v>
      </c>
      <c r="V88" s="2">
        <f>F88-K88-L88-U88</f>
        <v>-5441824.781225274</v>
      </c>
      <c r="W88" s="2">
        <v>119152.1663079522</v>
      </c>
      <c r="X88" s="2">
        <v>314684.0726820749</v>
      </c>
      <c r="Y88" s="2">
        <f>W88+X88</f>
        <v>433836.23899002705</v>
      </c>
      <c r="Z88" s="2">
        <v>12242462.77722839</v>
      </c>
      <c r="AA88" s="2">
        <v>0</v>
      </c>
      <c r="AB88" s="2">
        <v>0</v>
      </c>
      <c r="AC88" s="2">
        <v>0</v>
      </c>
      <c r="AD88" s="2">
        <v>187604.1532960987</v>
      </c>
      <c r="AE88" s="2">
        <v>750416.613184395</v>
      </c>
      <c r="AF88" s="2">
        <f>F88-H88-L88-U88-AA88-AC88-AD88</f>
        <v>-7042745.455838269</v>
      </c>
      <c r="AG88" s="2">
        <f>F88-H88-L88-U88-AA88-AB88-AD88-Y88</f>
        <v>-7476581.694828296</v>
      </c>
      <c r="AH88" s="2">
        <f>AH87+AG88</f>
        <v>-39406622.32844392</v>
      </c>
      <c r="AI88" s="2">
        <v>36357472.28391699</v>
      </c>
      <c r="AJ88" s="2">
        <f>AH88-AI88</f>
        <v>-75764094.61236092</v>
      </c>
      <c r="AK88" s="3">
        <v>0.25</v>
      </c>
    </row>
    <row r="89" spans="1:37">
      <c r="A89" s="2">
        <v>88</v>
      </c>
      <c r="B89" s="2">
        <v>2034</v>
      </c>
      <c r="C89" s="2">
        <v>32</v>
      </c>
      <c r="D89" s="2">
        <v>430443.5541600503</v>
      </c>
      <c r="E89" s="2">
        <v>13774193.73312161</v>
      </c>
      <c r="F89" s="2">
        <f>E89/1.19</f>
        <v>11574952.716908917</v>
      </c>
      <c r="G89" s="2">
        <v>40</v>
      </c>
      <c r="H89" s="2">
        <v>3993836.581178427</v>
      </c>
      <c r="I89" s="2">
        <v>84</v>
      </c>
      <c r="J89" s="2">
        <v>8354303.433504545</v>
      </c>
      <c r="K89" s="2">
        <v>3182591.784192208</v>
      </c>
      <c r="L89" s="2">
        <v>1179452.811553032</v>
      </c>
      <c r="M89" s="2">
        <v>6931876.574000925</v>
      </c>
      <c r="N89" s="3">
        <v>1</v>
      </c>
      <c r="O89" s="3">
        <v>1.5</v>
      </c>
      <c r="P89" s="2">
        <v>209078.5571222279</v>
      </c>
      <c r="Q89" s="2">
        <v>489797.2669054546</v>
      </c>
      <c r="R89" s="2">
        <v>307468.4663562176</v>
      </c>
      <c r="S89" s="2">
        <v>344364.6823189636</v>
      </c>
      <c r="T89" s="2">
        <v>3025489.708945181</v>
      </c>
      <c r="U89" s="2">
        <f>M89+P89+Q89+R89+S89+T89</f>
        <v>11308075.25564897</v>
      </c>
      <c r="V89" s="2">
        <f>F89-K89-L89-U89</f>
        <v>-4095167.134485294</v>
      </c>
      <c r="W89" s="2">
        <v>116166.1943024607</v>
      </c>
      <c r="X89" s="2">
        <v>317670.0446875663</v>
      </c>
      <c r="Y89" s="2">
        <f>W89+X89</f>
        <v>433836.23899002705</v>
      </c>
      <c r="Z89" s="2">
        <v>11924792.73254083</v>
      </c>
      <c r="AA89" s="2">
        <v>0</v>
      </c>
      <c r="AB89" s="2">
        <v>0</v>
      </c>
      <c r="AC89" s="2">
        <v>0</v>
      </c>
      <c r="AD89" s="2">
        <v>0</v>
      </c>
      <c r="AE89" s="2">
        <v>750416.613184395</v>
      </c>
      <c r="AF89" s="2">
        <f>F89-H89-L89-U89-AA89-AC89-AD89</f>
        <v>-4906411.931471513</v>
      </c>
      <c r="AG89" s="2">
        <f>F89-H89-L89-U89-AA89-AB89-AD89-Y89</f>
        <v>-5340248.17046154</v>
      </c>
      <c r="AH89" s="2">
        <f>AH88+AG89</f>
        <v>-44746870.498905465</v>
      </c>
      <c r="AI89" s="2">
        <v>36357472.28391699</v>
      </c>
      <c r="AJ89" s="2">
        <f>AH89-AI89</f>
        <v>-81104342.78282246</v>
      </c>
      <c r="AK89" s="3">
        <v>0.25</v>
      </c>
    </row>
    <row r="90" spans="1:37">
      <c r="A90" s="2">
        <v>89</v>
      </c>
      <c r="B90" s="2">
        <v>2034</v>
      </c>
      <c r="C90" s="2">
        <v>38</v>
      </c>
      <c r="D90" s="2">
        <v>430443.5541600503</v>
      </c>
      <c r="E90" s="2">
        <v>16356855.05808191</v>
      </c>
      <c r="F90" s="2">
        <f>E90/1.19</f>
        <v>13745256.351329338</v>
      </c>
      <c r="G90" s="2">
        <v>50</v>
      </c>
      <c r="H90" s="2">
        <v>4992295.726473034</v>
      </c>
      <c r="I90" s="2">
        <v>96</v>
      </c>
      <c r="J90" s="2">
        <v>9561742.681774981</v>
      </c>
      <c r="K90" s="2">
        <v>3784856.478202597</v>
      </c>
      <c r="L90" s="2">
        <v>1401042.512477174</v>
      </c>
      <c r="M90" s="2">
        <v>6931876.574000925</v>
      </c>
      <c r="N90" s="3">
        <v>1</v>
      </c>
      <c r="O90" s="3">
        <v>1.5</v>
      </c>
      <c r="P90" s="2">
        <v>209078.5571222279</v>
      </c>
      <c r="Q90" s="2">
        <v>489797.2669054546</v>
      </c>
      <c r="R90" s="2">
        <v>307468.4663562176</v>
      </c>
      <c r="S90" s="2">
        <v>344364.6823189636</v>
      </c>
      <c r="T90" s="2">
        <v>3025489.708945181</v>
      </c>
      <c r="U90" s="2">
        <f>M90+P90+Q90+R90+S90+T90</f>
        <v>11308075.25564897</v>
      </c>
      <c r="V90" s="2">
        <f>F90-K90-L90-U90</f>
        <v>-2748717.8949994035</v>
      </c>
      <c r="W90" s="2">
        <v>113151.8890269007</v>
      </c>
      <c r="X90" s="2">
        <v>320684.3499631264</v>
      </c>
      <c r="Y90" s="2">
        <f>W90+X90</f>
        <v>433836.23899002705</v>
      </c>
      <c r="Z90" s="2">
        <v>11604108.3825777</v>
      </c>
      <c r="AA90" s="2">
        <v>0</v>
      </c>
      <c r="AB90" s="2">
        <v>0</v>
      </c>
      <c r="AC90" s="2">
        <v>0</v>
      </c>
      <c r="AD90" s="2">
        <v>187604.1532960989</v>
      </c>
      <c r="AE90" s="2">
        <v>938020.7664804939</v>
      </c>
      <c r="AF90" s="2">
        <f>F90-H90-L90-U90-AA90-AC90-AD90</f>
        <v>-4143761.2965659397</v>
      </c>
      <c r="AG90" s="2">
        <f>F90-H90-L90-U90-AA90-AB90-AD90-Y90</f>
        <v>-4577597.535555967</v>
      </c>
      <c r="AH90" s="2">
        <f>AH89+AG90</f>
        <v>-49324468.03446143</v>
      </c>
      <c r="AI90" s="2">
        <v>36357472.28391699</v>
      </c>
      <c r="AJ90" s="2">
        <f>AH90-AI90</f>
        <v>-85681940.31837842</v>
      </c>
      <c r="AK90" s="3">
        <v>0.25</v>
      </c>
    </row>
    <row r="91" spans="1:37">
      <c r="A91" s="2">
        <v>90</v>
      </c>
      <c r="B91" s="2">
        <v>2034</v>
      </c>
      <c r="C91" s="2">
        <v>45</v>
      </c>
      <c r="D91" s="2">
        <v>430443.5541600503</v>
      </c>
      <c r="E91" s="2">
        <v>19369959.93720226</v>
      </c>
      <c r="F91" s="2">
        <f>E91/1.19</f>
        <v>16277277.258153163</v>
      </c>
      <c r="G91" s="2">
        <v>70</v>
      </c>
      <c r="H91" s="2">
        <v>6989214.017062248</v>
      </c>
      <c r="I91" s="2">
        <v>121</v>
      </c>
      <c r="J91" s="2">
        <v>12064251.56963437</v>
      </c>
      <c r="K91" s="2">
        <v>4486705.129202863</v>
      </c>
      <c r="L91" s="2">
        <v>1659500.350861057</v>
      </c>
      <c r="M91" s="2">
        <v>6931876.574000925</v>
      </c>
      <c r="N91" s="3">
        <v>1</v>
      </c>
      <c r="O91" s="3">
        <v>1.5</v>
      </c>
      <c r="P91" s="2">
        <v>209078.5571222279</v>
      </c>
      <c r="Q91" s="2">
        <v>489797.2669054546</v>
      </c>
      <c r="R91" s="2">
        <v>307468.4663562176</v>
      </c>
      <c r="S91" s="2">
        <v>344364.6823189636</v>
      </c>
      <c r="T91" s="2">
        <v>3025489.708945181</v>
      </c>
      <c r="U91" s="2">
        <f>M91+P91+Q91+R91+S91+T91</f>
        <v>11308075.25564897</v>
      </c>
      <c r="V91" s="2">
        <f>F91-K91-L91-U91</f>
        <v>-1177003.4775597285</v>
      </c>
      <c r="W91" s="2">
        <v>110108.9816327392</v>
      </c>
      <c r="X91" s="2">
        <v>323727.2573572879</v>
      </c>
      <c r="Y91" s="2">
        <f>W91+X91</f>
        <v>433836.23899002705</v>
      </c>
      <c r="Z91" s="2">
        <v>11280381.12522041</v>
      </c>
      <c r="AA91" s="2">
        <v>0</v>
      </c>
      <c r="AB91" s="2">
        <v>0</v>
      </c>
      <c r="AC91" s="2">
        <v>0</v>
      </c>
      <c r="AD91" s="2">
        <v>375208.3065921973</v>
      </c>
      <c r="AE91" s="2">
        <v>1313229.073072691</v>
      </c>
      <c r="AF91" s="2">
        <f>F91-H91-L91-U91-AA91-AC91-AD91</f>
        <v>-4054720.6720113093</v>
      </c>
      <c r="AG91" s="2">
        <f>F91-H91-L91-U91-AA91-AB91-AD91-Y91</f>
        <v>-4488556.911001337</v>
      </c>
      <c r="AH91" s="2">
        <f>AH90+AG91</f>
        <v>-53813024.94546277</v>
      </c>
      <c r="AI91" s="2">
        <v>36357472.28391699</v>
      </c>
      <c r="AJ91" s="2">
        <f>AH91-AI91</f>
        <v>-90170497.22937977</v>
      </c>
      <c r="AK91" s="3">
        <v>0.25</v>
      </c>
    </row>
    <row r="92" spans="1:37">
      <c r="A92" s="2">
        <v>91</v>
      </c>
      <c r="B92" s="2">
        <v>2034</v>
      </c>
      <c r="C92" s="2">
        <v>51</v>
      </c>
      <c r="D92" s="2">
        <v>430443.5541600503</v>
      </c>
      <c r="E92" s="2">
        <v>21952621.26216257</v>
      </c>
      <c r="F92" s="2">
        <f>E92/1.19</f>
        <v>18447580.892573588</v>
      </c>
      <c r="G92" s="2">
        <v>70</v>
      </c>
      <c r="H92" s="2">
        <v>6989214.017062248</v>
      </c>
      <c r="I92" s="2">
        <v>140</v>
      </c>
      <c r="J92" s="2">
        <v>13965891.00595563</v>
      </c>
      <c r="K92" s="2">
        <v>5087574.580740981</v>
      </c>
      <c r="L92" s="2">
        <v>1880978.432387417</v>
      </c>
      <c r="M92" s="2">
        <v>6931876.574000925</v>
      </c>
      <c r="N92" s="3">
        <v>1</v>
      </c>
      <c r="O92" s="3">
        <v>1.5</v>
      </c>
      <c r="P92" s="2">
        <v>209078.5571222279</v>
      </c>
      <c r="Q92" s="2">
        <v>489797.2669054546</v>
      </c>
      <c r="R92" s="2">
        <v>307468.4663562176</v>
      </c>
      <c r="S92" s="2">
        <v>344364.6823189636</v>
      </c>
      <c r="T92" s="2">
        <v>3025489.708945181</v>
      </c>
      <c r="U92" s="2">
        <f>M92+P92+Q92+R92+S92+T92</f>
        <v>11308075.25564897</v>
      </c>
      <c r="V92" s="2">
        <f>F92-K92-L92-U92</f>
        <v>170952.623796219</v>
      </c>
      <c r="W92" s="2">
        <v>107037.2007203954</v>
      </c>
      <c r="X92" s="2">
        <v>326799.0382696317</v>
      </c>
      <c r="Y92" s="2">
        <f>W92+X92</f>
        <v>433836.2389900271</v>
      </c>
      <c r="Z92" s="2">
        <v>10953582.08695078</v>
      </c>
      <c r="AA92" s="2">
        <v>0</v>
      </c>
      <c r="AB92" s="2">
        <v>0</v>
      </c>
      <c r="AC92" s="2">
        <v>0</v>
      </c>
      <c r="AD92" s="2">
        <v>0</v>
      </c>
      <c r="AE92" s="2">
        <v>1313229.073072691</v>
      </c>
      <c r="AF92" s="2">
        <f>F92-H92-L92-U92-AA92-AC92-AD92</f>
        <v>-1730686.812525047</v>
      </c>
      <c r="AG92" s="2">
        <f>F92-H92-L92-U92-AA92-AB92-AD92-Y92</f>
        <v>-2164523.051515074</v>
      </c>
      <c r="AH92" s="2">
        <f>AH91+AG92</f>
        <v>-55977547.99697784</v>
      </c>
      <c r="AI92" s="2">
        <v>36357472.28391699</v>
      </c>
      <c r="AJ92" s="2">
        <f>AH92-AI92</f>
        <v>-92335020.28089485</v>
      </c>
      <c r="AK92" s="3">
        <v>0.25</v>
      </c>
    </row>
    <row r="93" spans="1:37">
      <c r="A93" s="2">
        <v>92</v>
      </c>
      <c r="B93" s="2">
        <v>2034</v>
      </c>
      <c r="C93" s="2">
        <v>64</v>
      </c>
      <c r="D93" s="2">
        <v>430443.5541600503</v>
      </c>
      <c r="E93" s="2">
        <v>27548387.46624322</v>
      </c>
      <c r="F93" s="2">
        <f>E93/1.19</f>
        <v>23149905.433817834</v>
      </c>
      <c r="G93" s="2">
        <v>80</v>
      </c>
      <c r="H93" s="2">
        <v>7987673.162356854</v>
      </c>
      <c r="I93" s="2">
        <v>156</v>
      </c>
      <c r="J93" s="2">
        <v>15567072.77389431</v>
      </c>
      <c r="K93" s="2">
        <v>6386491.394418178</v>
      </c>
      <c r="L93" s="2">
        <v>2360610.249188766</v>
      </c>
      <c r="M93" s="2">
        <v>6931876.574000925</v>
      </c>
      <c r="N93" s="3">
        <v>1</v>
      </c>
      <c r="O93" s="3">
        <v>1.5</v>
      </c>
      <c r="P93" s="2">
        <v>209078.5571222279</v>
      </c>
      <c r="Q93" s="2">
        <v>489797.2669054546</v>
      </c>
      <c r="R93" s="2">
        <v>307468.4663562176</v>
      </c>
      <c r="S93" s="2">
        <v>344364.6823189636</v>
      </c>
      <c r="T93" s="2">
        <v>3025489.708945181</v>
      </c>
      <c r="U93" s="2">
        <f>M93+P93+Q93+R93+S93+T93</f>
        <v>11308075.25564897</v>
      </c>
      <c r="V93" s="2">
        <f>F93-K93-L93-U93</f>
        <v>3094728.534561919</v>
      </c>
      <c r="W93" s="2">
        <v>103936.272315034</v>
      </c>
      <c r="X93" s="2">
        <v>329899.966674993</v>
      </c>
      <c r="Y93" s="2">
        <f>W93+X93</f>
        <v>433836.23899002705</v>
      </c>
      <c r="Z93" s="2">
        <v>10623682.12027579</v>
      </c>
      <c r="AA93" s="2">
        <v>0</v>
      </c>
      <c r="AB93" s="2">
        <v>0</v>
      </c>
      <c r="AC93" s="2">
        <v>0</v>
      </c>
      <c r="AD93" s="2">
        <v>187604.1532960988</v>
      </c>
      <c r="AE93" s="2">
        <v>1500833.22636879</v>
      </c>
      <c r="AF93" s="2">
        <f>F93-H93-L93-U93-AA93-AC93-AD93</f>
        <v>1305942.6133271449</v>
      </c>
      <c r="AG93" s="2">
        <f>F93-H93-L93-U93-AA93-AB93-AD93-Y93</f>
        <v>872106.3743371179</v>
      </c>
      <c r="AH93" s="2">
        <f>AH92+AG93</f>
        <v>-55105441.62264073</v>
      </c>
      <c r="AI93" s="2">
        <v>36357472.28391699</v>
      </c>
      <c r="AJ93" s="2">
        <f>AH93-AI93</f>
        <v>-91462913.90655772</v>
      </c>
      <c r="AK93" s="3">
        <v>0.25</v>
      </c>
    </row>
    <row r="94" spans="1:37">
      <c r="A94" s="2">
        <v>93</v>
      </c>
      <c r="B94" s="2">
        <v>2034</v>
      </c>
      <c r="C94" s="2">
        <v>70</v>
      </c>
      <c r="D94" s="2">
        <v>430443.5541600503</v>
      </c>
      <c r="E94" s="2">
        <v>30131048.79120352</v>
      </c>
      <c r="F94" s="2">
        <f>E94/1.19</f>
        <v>25320209.068238255</v>
      </c>
      <c r="G94" s="2">
        <v>90</v>
      </c>
      <c r="H94" s="2">
        <v>8986132.307651462</v>
      </c>
      <c r="I94" s="2">
        <v>176</v>
      </c>
      <c r="J94" s="2">
        <v>17566520.7087482</v>
      </c>
      <c r="K94" s="2">
        <v>6986684.372797577</v>
      </c>
      <c r="L94" s="2">
        <v>2582034.212862427</v>
      </c>
      <c r="M94" s="2">
        <v>6931876.574000925</v>
      </c>
      <c r="N94" s="3">
        <v>1</v>
      </c>
      <c r="O94" s="3">
        <v>1.5</v>
      </c>
      <c r="P94" s="2">
        <v>209078.5571222279</v>
      </c>
      <c r="Q94" s="2">
        <v>489797.2669054546</v>
      </c>
      <c r="R94" s="2">
        <v>307468.4663562176</v>
      </c>
      <c r="S94" s="2">
        <v>344364.6823189636</v>
      </c>
      <c r="T94" s="2">
        <v>3025489.708945181</v>
      </c>
      <c r="U94" s="2">
        <f>M94+P94+Q94+R94+S94+T94</f>
        <v>11308075.25564897</v>
      </c>
      <c r="V94" s="2">
        <f>F94-K94-L94-U94</f>
        <v>4443415.226929281</v>
      </c>
      <c r="W94" s="2">
        <v>100805.9198421291</v>
      </c>
      <c r="X94" s="2">
        <v>333030.3191478979</v>
      </c>
      <c r="Y94" s="2">
        <f>W94+X94</f>
        <v>433836.23899002705</v>
      </c>
      <c r="Z94" s="2">
        <v>10290651.80112789</v>
      </c>
      <c r="AA94" s="2">
        <v>0</v>
      </c>
      <c r="AB94" s="2">
        <v>0</v>
      </c>
      <c r="AC94" s="2">
        <v>0</v>
      </c>
      <c r="AD94" s="2">
        <v>187604.153296099</v>
      </c>
      <c r="AE94" s="2">
        <v>1688437.379664889</v>
      </c>
      <c r="AF94" s="2">
        <f>F94-H94-L94-U94-AA94-AC94-AD94</f>
        <v>2256363.1387792965</v>
      </c>
      <c r="AG94" s="2">
        <f>F94-H94-L94-U94-AA94-AB94-AD94-Y94</f>
        <v>1822526.8997892695</v>
      </c>
      <c r="AH94" s="2">
        <f>AH93+AG94</f>
        <v>-53282914.72285146</v>
      </c>
      <c r="AI94" s="2">
        <v>36357472.28391699</v>
      </c>
      <c r="AJ94" s="2">
        <f>AH94-AI94</f>
        <v>-89640387.00676847</v>
      </c>
      <c r="AK94" s="3">
        <v>0.25</v>
      </c>
    </row>
    <row r="95" spans="1:37">
      <c r="A95" s="2">
        <v>94</v>
      </c>
      <c r="B95" s="2">
        <v>2034</v>
      </c>
      <c r="C95" s="2">
        <v>83</v>
      </c>
      <c r="D95" s="2">
        <v>430443.5541600503</v>
      </c>
      <c r="E95" s="2">
        <v>35726814.99528418</v>
      </c>
      <c r="F95" s="2">
        <f>E95/1.19</f>
        <v>30022533.609482504</v>
      </c>
      <c r="G95" s="2">
        <v>110</v>
      </c>
      <c r="H95" s="2">
        <v>10983050.59824068</v>
      </c>
      <c r="I95" s="2">
        <v>203</v>
      </c>
      <c r="J95" s="2">
        <v>20264206.20740818</v>
      </c>
      <c r="K95" s="2">
        <v>8285365.099580687</v>
      </c>
      <c r="L95" s="2">
        <v>3061647.142712249</v>
      </c>
      <c r="M95" s="2">
        <v>6931876.574000925</v>
      </c>
      <c r="N95" s="3">
        <v>1</v>
      </c>
      <c r="O95" s="3">
        <v>1.5</v>
      </c>
      <c r="P95" s="2">
        <v>209078.5571222279</v>
      </c>
      <c r="Q95" s="2">
        <v>489797.2669054546</v>
      </c>
      <c r="R95" s="2">
        <v>307468.4663562176</v>
      </c>
      <c r="S95" s="2">
        <v>344364.6823189636</v>
      </c>
      <c r="T95" s="2">
        <v>3025489.708945181</v>
      </c>
      <c r="U95" s="2">
        <f>M95+P95+Q95+R95+S95+T95</f>
        <v>11308075.25564897</v>
      </c>
      <c r="V95" s="2">
        <f>F95-K95-L95-U95</f>
        <v>7367446.111540597</v>
      </c>
      <c r="W95" s="2">
        <v>97645.86410279662</v>
      </c>
      <c r="X95" s="2">
        <v>336190.3748872305</v>
      </c>
      <c r="Y95" s="2">
        <f>W95+X95</f>
        <v>433836.2389900271</v>
      </c>
      <c r="Z95" s="2">
        <v>9954461.42624066</v>
      </c>
      <c r="AA95" s="2">
        <v>0</v>
      </c>
      <c r="AB95" s="2">
        <v>0</v>
      </c>
      <c r="AC95" s="2">
        <v>0</v>
      </c>
      <c r="AD95" s="2">
        <v>375208.3065921974</v>
      </c>
      <c r="AE95" s="2">
        <v>2063645.686257086</v>
      </c>
      <c r="AF95" s="2">
        <f>F95-H95-L95-U95-AA95-AC95-AD95</f>
        <v>4294552.306288413</v>
      </c>
      <c r="AG95" s="2">
        <f>F95-H95-L95-U95-AA95-AB95-AD95-Y95</f>
        <v>3860716.067298386</v>
      </c>
      <c r="AH95" s="2">
        <f>AH94+AG95</f>
        <v>-49422198.65555308</v>
      </c>
      <c r="AI95" s="2">
        <v>36357472.28391699</v>
      </c>
      <c r="AJ95" s="2">
        <f>AH95-AI95</f>
        <v>-85779670.93947008</v>
      </c>
      <c r="AK95" s="3">
        <v>0.25</v>
      </c>
    </row>
    <row r="96" spans="1:37">
      <c r="A96" s="2">
        <v>95</v>
      </c>
      <c r="B96" s="2">
        <v>2034</v>
      </c>
      <c r="C96" s="2">
        <v>89</v>
      </c>
      <c r="D96" s="2">
        <v>430443.5541600503</v>
      </c>
      <c r="E96" s="2">
        <v>38309476.32024448</v>
      </c>
      <c r="F96" s="2">
        <f>E96/1.19</f>
        <v>32192837.24390292</v>
      </c>
      <c r="G96" s="2">
        <v>10</v>
      </c>
      <c r="H96" s="2">
        <v>998459.1452946068</v>
      </c>
      <c r="I96" s="2">
        <v>124</v>
      </c>
      <c r="J96" s="2">
        <v>12378265.27575186</v>
      </c>
      <c r="K96" s="2">
        <v>8884400.07695093</v>
      </c>
      <c r="L96" s="2">
        <v>3282978.466305179</v>
      </c>
      <c r="M96" s="2">
        <v>6931876.574000925</v>
      </c>
      <c r="N96" s="3">
        <v>1</v>
      </c>
      <c r="O96" s="3">
        <v>1.5</v>
      </c>
      <c r="P96" s="2">
        <v>209078.5571222279</v>
      </c>
      <c r="Q96" s="2">
        <v>489797.2669054546</v>
      </c>
      <c r="R96" s="2">
        <v>307468.4663562176</v>
      </c>
      <c r="S96" s="2">
        <v>344364.6823189636</v>
      </c>
      <c r="T96" s="2">
        <v>3025489.708945181</v>
      </c>
      <c r="U96" s="2">
        <f>M96+P96+Q96+R96+S96+T96</f>
        <v>11308075.25564897</v>
      </c>
      <c r="V96" s="2">
        <f>F96-K96-L96-U96</f>
        <v>8717383.444997843</v>
      </c>
      <c r="W96" s="2">
        <v>94455.82324889184</v>
      </c>
      <c r="X96" s="2">
        <v>339380.4157411352</v>
      </c>
      <c r="Y96" s="2">
        <f>W96+X96</f>
        <v>433836.23899002705</v>
      </c>
      <c r="Z96" s="2">
        <v>9615081.010499526</v>
      </c>
      <c r="AA96" s="2">
        <v>0</v>
      </c>
      <c r="AB96" s="2">
        <v>0</v>
      </c>
      <c r="AC96" s="2">
        <v>0</v>
      </c>
      <c r="AD96" s="2">
        <v>-1876041.532960988</v>
      </c>
      <c r="AE96" s="2">
        <v>187604.1532960988</v>
      </c>
      <c r="AF96" s="2">
        <f>F96-H96-L96-U96-AA96-AC96-AD96</f>
        <v>18479365.909615155</v>
      </c>
      <c r="AG96" s="2">
        <f>F96-H96-L96-U96-AA96-AB96-AD96-Y96</f>
        <v>18045529.670625128</v>
      </c>
      <c r="AH96" s="2">
        <f>AH95+AG96</f>
        <v>-31376668.984927952</v>
      </c>
      <c r="AI96" s="2">
        <v>36357472.28391699</v>
      </c>
      <c r="AJ96" s="2">
        <f>AH96-AI96</f>
        <v>-67734141.26884495</v>
      </c>
      <c r="AK96" s="3">
        <v>0.25</v>
      </c>
    </row>
    <row r="97" spans="1:37">
      <c r="A97" s="2">
        <v>96</v>
      </c>
      <c r="B97" s="2">
        <v>2034</v>
      </c>
      <c r="C97" s="2">
        <v>109</v>
      </c>
      <c r="D97" s="2">
        <v>430443.5541600503</v>
      </c>
      <c r="E97" s="2">
        <v>46918347.40344548</v>
      </c>
      <c r="F97" s="2">
        <f>E97/1.19</f>
        <v>39427182.691971</v>
      </c>
      <c r="G97" s="2">
        <v>20</v>
      </c>
      <c r="H97" s="2">
        <v>1996918.290589214</v>
      </c>
      <c r="I97" s="2">
        <v>35</v>
      </c>
      <c r="J97" s="2">
        <v>3493968.227930123</v>
      </c>
      <c r="K97" s="2">
        <v>10881215.33841095</v>
      </c>
      <c r="L97" s="2">
        <v>4020752.105233015</v>
      </c>
      <c r="M97" s="2">
        <v>6931876.574000925</v>
      </c>
      <c r="N97" s="3">
        <v>1</v>
      </c>
      <c r="O97" s="3">
        <v>1.5</v>
      </c>
      <c r="P97" s="2">
        <v>209078.5571222279</v>
      </c>
      <c r="Q97" s="2">
        <v>489797.2669054546</v>
      </c>
      <c r="R97" s="2">
        <v>307468.4663562176</v>
      </c>
      <c r="S97" s="2">
        <v>344364.6823189636</v>
      </c>
      <c r="T97" s="2">
        <v>3025489.708945181</v>
      </c>
      <c r="U97" s="2">
        <f>M97+P97+Q97+R97+S97+T97</f>
        <v>11308075.25564897</v>
      </c>
      <c r="V97" s="2">
        <f>F97-K97-L97-U97</f>
        <v>13217139.992678061</v>
      </c>
      <c r="W97" s="2">
        <v>91235.51275787152</v>
      </c>
      <c r="X97" s="2">
        <v>342600.7262321555</v>
      </c>
      <c r="Y97" s="2">
        <f>W97+X97</f>
        <v>433836.23899002705</v>
      </c>
      <c r="Z97" s="2">
        <v>9272480.28426737</v>
      </c>
      <c r="AA97" s="2">
        <v>0</v>
      </c>
      <c r="AB97" s="2">
        <v>0</v>
      </c>
      <c r="AC97" s="2">
        <v>0</v>
      </c>
      <c r="AD97" s="2">
        <v>187604.1532960988</v>
      </c>
      <c r="AE97" s="2">
        <v>375208.3065921975</v>
      </c>
      <c r="AF97" s="2">
        <f>F97-H97-L97-U97-AA97-AC97-AD97</f>
        <v>21913832.8872037</v>
      </c>
      <c r="AG97" s="2">
        <f>F97-H97-L97-U97-AA97-AB97-AD97-Y97</f>
        <v>21479996.648213673</v>
      </c>
      <c r="AH97" s="2">
        <f>AH96+AG97</f>
        <v>-9896672.336714279</v>
      </c>
      <c r="AI97" s="2">
        <v>36357472.28391699</v>
      </c>
      <c r="AJ97" s="2">
        <f>AH97-AI97</f>
        <v>-46254144.62063128</v>
      </c>
      <c r="AK97" s="3">
        <v>0.25</v>
      </c>
    </row>
    <row r="98" spans="1:37">
      <c r="A98" s="2">
        <v>97</v>
      </c>
      <c r="B98" s="2">
        <v>2035</v>
      </c>
      <c r="C98" s="2">
        <v>13</v>
      </c>
      <c r="D98" s="2">
        <v>443356.8607848518</v>
      </c>
      <c r="E98" s="2">
        <v>5763639.190203074</v>
      </c>
      <c r="F98" s="2">
        <f>E98/1.19</f>
        <v>4843394.2774815755</v>
      </c>
      <c r="G98" s="2">
        <v>30</v>
      </c>
      <c r="H98" s="2">
        <v>3085238.758960335</v>
      </c>
      <c r="I98" s="2">
        <v>52</v>
      </c>
      <c r="J98" s="2">
        <v>5263365.589512367</v>
      </c>
      <c r="K98" s="2">
        <v>1315841.397378091</v>
      </c>
      <c r="L98" s="2">
        <v>492257.3376486351</v>
      </c>
      <c r="M98" s="2">
        <v>7139832.871220953</v>
      </c>
      <c r="N98" s="3">
        <v>1</v>
      </c>
      <c r="O98" s="3">
        <v>1.5</v>
      </c>
      <c r="P98" s="2">
        <v>215350.9138358948</v>
      </c>
      <c r="Q98" s="2">
        <v>534006.9278089497</v>
      </c>
      <c r="R98" s="2">
        <v>316692.5203469041</v>
      </c>
      <c r="S98" s="2">
        <v>354695.6227885326</v>
      </c>
      <c r="T98" s="2">
        <v>3271433.735183519</v>
      </c>
      <c r="U98" s="2">
        <f>M98+P98+Q98+R98+S98+T98</f>
        <v>11832012.591184752</v>
      </c>
      <c r="V98" s="2">
        <f>F98-K98-L98-U98</f>
        <v>-8796717.048729904</v>
      </c>
      <c r="W98" s="2">
        <v>87984.64540741681</v>
      </c>
      <c r="X98" s="2">
        <v>345851.5935826103</v>
      </c>
      <c r="Y98" s="2">
        <f>W98+X98</f>
        <v>433836.23899002705</v>
      </c>
      <c r="Z98" s="2">
        <v>8926628.69068476</v>
      </c>
      <c r="AA98" s="2">
        <v>0</v>
      </c>
      <c r="AB98" s="2">
        <v>0</v>
      </c>
      <c r="AC98" s="2">
        <v>0</v>
      </c>
      <c r="AD98" s="2">
        <v>204488.5270927477</v>
      </c>
      <c r="AE98" s="2">
        <v>579696.8336849452</v>
      </c>
      <c r="AF98" s="2">
        <f>F98-H98-L98-U98-AA98-AC98-AD98</f>
        <v>-10770602.937404893</v>
      </c>
      <c r="AG98" s="2">
        <f>F98-H98-L98-U98-AA98-AB98-AD98-Y98</f>
        <v>-11204439.17639492</v>
      </c>
      <c r="AH98" s="2">
        <f>AH97+AG98</f>
        <v>-21101111.5131092</v>
      </c>
      <c r="AI98" s="2">
        <v>37929284.29052433</v>
      </c>
      <c r="AJ98" s="2">
        <f>AH98-AI98</f>
        <v>-59030395.80363353</v>
      </c>
      <c r="AK98" s="3">
        <v>0.25</v>
      </c>
    </row>
    <row r="99" spans="1:37">
      <c r="A99" s="2">
        <v>98</v>
      </c>
      <c r="B99" s="2">
        <v>2035</v>
      </c>
      <c r="C99" s="2">
        <v>20</v>
      </c>
      <c r="D99" s="2">
        <v>443356.8607848518</v>
      </c>
      <c r="E99" s="2">
        <v>8867137.215697037</v>
      </c>
      <c r="F99" s="2">
        <f>E99/1.19</f>
        <v>7451375.811510116</v>
      </c>
      <c r="G99" s="2">
        <v>30</v>
      </c>
      <c r="H99" s="2">
        <v>3085238.758960335</v>
      </c>
      <c r="I99" s="2">
        <v>62</v>
      </c>
      <c r="J99" s="2">
        <v>6312359.38543058</v>
      </c>
      <c r="K99" s="2">
        <v>2036244.963042122</v>
      </c>
      <c r="L99" s="2">
        <v>758268.8675947357</v>
      </c>
      <c r="M99" s="2">
        <v>7139832.871220953</v>
      </c>
      <c r="N99" s="3">
        <v>1</v>
      </c>
      <c r="O99" s="3">
        <v>1.5</v>
      </c>
      <c r="P99" s="2">
        <v>215350.9138358948</v>
      </c>
      <c r="Q99" s="2">
        <v>534006.9278089497</v>
      </c>
      <c r="R99" s="2">
        <v>316692.5203469041</v>
      </c>
      <c r="S99" s="2">
        <v>354695.6227885326</v>
      </c>
      <c r="T99" s="2">
        <v>3271433.735183519</v>
      </c>
      <c r="U99" s="2">
        <f>M99+P99+Q99+R99+S99+T99</f>
        <v>11832012.591184752</v>
      </c>
      <c r="V99" s="2">
        <f>F99-K99-L99-U99</f>
        <v>-7175150.610311494</v>
      </c>
      <c r="W99" s="2">
        <v>84702.93124981585</v>
      </c>
      <c r="X99" s="2">
        <v>349133.3077402112</v>
      </c>
      <c r="Y99" s="2">
        <f>W99+X99</f>
        <v>433836.23899002705</v>
      </c>
      <c r="Z99" s="2">
        <v>8577495.382944549</v>
      </c>
      <c r="AA99" s="2">
        <v>0</v>
      </c>
      <c r="AB99" s="2">
        <v>0</v>
      </c>
      <c r="AC99" s="2">
        <v>0</v>
      </c>
      <c r="AD99" s="2">
        <v>0</v>
      </c>
      <c r="AE99" s="2">
        <v>579696.8336849452</v>
      </c>
      <c r="AF99" s="2">
        <f>F99-H99-L99-U99-AA99-AC99-AD99</f>
        <v>-8224144.4062297065</v>
      </c>
      <c r="AG99" s="2">
        <f>F99-H99-L99-U99-AA99-AB99-AD99-Y99</f>
        <v>-8657980.645219734</v>
      </c>
      <c r="AH99" s="2">
        <f>AH98+AG99</f>
        <v>-29759092.158328936</v>
      </c>
      <c r="AI99" s="2">
        <v>37929284.29052433</v>
      </c>
      <c r="AJ99" s="2">
        <f>AH99-AI99</f>
        <v>-67688376.44885327</v>
      </c>
      <c r="AK99" s="3">
        <v>0.25</v>
      </c>
    </row>
    <row r="100" spans="1:37">
      <c r="A100" s="2">
        <v>99</v>
      </c>
      <c r="B100" s="2">
        <v>2035</v>
      </c>
      <c r="C100" s="2">
        <v>27</v>
      </c>
      <c r="D100" s="2">
        <v>443356.8607848518</v>
      </c>
      <c r="E100" s="2">
        <v>11970635.241191</v>
      </c>
      <c r="F100" s="2">
        <f>E100/1.19</f>
        <v>10059357.345538655</v>
      </c>
      <c r="G100" s="2">
        <v>40</v>
      </c>
      <c r="H100" s="2">
        <v>4113651.67861378</v>
      </c>
      <c r="I100" s="2">
        <v>75</v>
      </c>
      <c r="J100" s="2">
        <v>7666184.605914971</v>
      </c>
      <c r="K100" s="2">
        <v>2759826.458129389</v>
      </c>
      <c r="L100" s="2">
        <v>1024534.631894695</v>
      </c>
      <c r="M100" s="2">
        <v>7139832.871220953</v>
      </c>
      <c r="N100" s="3">
        <v>1</v>
      </c>
      <c r="O100" s="3">
        <v>1.5</v>
      </c>
      <c r="P100" s="2">
        <v>215350.9138358948</v>
      </c>
      <c r="Q100" s="2">
        <v>534006.9278089497</v>
      </c>
      <c r="R100" s="2">
        <v>316692.5203469041</v>
      </c>
      <c r="S100" s="2">
        <v>354695.6227885326</v>
      </c>
      <c r="T100" s="2">
        <v>3271433.735183519</v>
      </c>
      <c r="U100" s="2">
        <f>M100+P100+Q100+R100+S100+T100</f>
        <v>11832012.591184752</v>
      </c>
      <c r="V100" s="2">
        <f>F100-K100-L100-U100</f>
        <v>-5557016.335670181</v>
      </c>
      <c r="W100" s="2">
        <v>81390.07758610293</v>
      </c>
      <c r="X100" s="2">
        <v>352446.1614039241</v>
      </c>
      <c r="Y100" s="2">
        <f>W100+X100</f>
        <v>433836.23899002705</v>
      </c>
      <c r="Z100" s="2">
        <v>8225049.221540624</v>
      </c>
      <c r="AA100" s="2">
        <v>0</v>
      </c>
      <c r="AB100" s="2">
        <v>0</v>
      </c>
      <c r="AC100" s="2">
        <v>0</v>
      </c>
      <c r="AD100" s="2">
        <v>193232.2778949817</v>
      </c>
      <c r="AE100" s="2">
        <v>772929.1115799269</v>
      </c>
      <c r="AF100" s="2">
        <f>F100-H100-L100-U100-AA100-AC100-AD100</f>
        <v>-7104073.834049553</v>
      </c>
      <c r="AG100" s="2">
        <f>F100-H100-L100-U100-AA100-AB100-AD100-Y100</f>
        <v>-7537910.07303958</v>
      </c>
      <c r="AH100" s="2">
        <f>AH99+AG100</f>
        <v>-37297002.23136851</v>
      </c>
      <c r="AI100" s="2">
        <v>37929284.29052433</v>
      </c>
      <c r="AJ100" s="2">
        <f>AH100-AI100</f>
        <v>-75226286.52189285</v>
      </c>
      <c r="AK100" s="3">
        <v>0.25</v>
      </c>
    </row>
    <row r="101" spans="1:37">
      <c r="A101" s="2">
        <v>100</v>
      </c>
      <c r="B101" s="2">
        <v>2035</v>
      </c>
      <c r="C101" s="2">
        <v>34</v>
      </c>
      <c r="D101" s="2">
        <v>443356.8607848518</v>
      </c>
      <c r="E101" s="2">
        <v>15074133.26668496</v>
      </c>
      <c r="F101" s="2">
        <f>E101/1.19</f>
        <v>12667338.879567197</v>
      </c>
      <c r="G101" s="2">
        <v>50</v>
      </c>
      <c r="H101" s="2">
        <v>5142064.598267226</v>
      </c>
      <c r="I101" s="2">
        <v>91</v>
      </c>
      <c r="J101" s="2">
        <v>9324405.420644639</v>
      </c>
      <c r="K101" s="2">
        <v>3483843.783537557</v>
      </c>
      <c r="L101" s="2">
        <v>1290835.262620327</v>
      </c>
      <c r="M101" s="2">
        <v>7139832.871220953</v>
      </c>
      <c r="N101" s="3">
        <v>1</v>
      </c>
      <c r="O101" s="3">
        <v>1.5</v>
      </c>
      <c r="P101" s="2">
        <v>215350.9138358948</v>
      </c>
      <c r="Q101" s="2">
        <v>534006.9278089497</v>
      </c>
      <c r="R101" s="2">
        <v>316692.5203469041</v>
      </c>
      <c r="S101" s="2">
        <v>354695.6227885326</v>
      </c>
      <c r="T101" s="2">
        <v>3271433.735183519</v>
      </c>
      <c r="U101" s="2">
        <f>M101+P101+Q101+R101+S101+T101</f>
        <v>11832012.591184752</v>
      </c>
      <c r="V101" s="2">
        <f>F101-K101-L101-U101</f>
        <v>-3939352.757775439</v>
      </c>
      <c r="W101" s="2">
        <v>78045.78893995246</v>
      </c>
      <c r="X101" s="2">
        <v>355790.4500500746</v>
      </c>
      <c r="Y101" s="2">
        <f>W101+X101</f>
        <v>433836.23899002705</v>
      </c>
      <c r="Z101" s="2">
        <v>7869258.77149055</v>
      </c>
      <c r="AA101" s="2">
        <v>0</v>
      </c>
      <c r="AB101" s="2">
        <v>0</v>
      </c>
      <c r="AC101" s="2">
        <v>0</v>
      </c>
      <c r="AD101" s="2">
        <v>193232.2778949819</v>
      </c>
      <c r="AE101" s="2">
        <v>966161.3894749088</v>
      </c>
      <c r="AF101" s="2">
        <f>F101-H101-L101-U101-AA101-AC101-AD101</f>
        <v>-5790805.850400089</v>
      </c>
      <c r="AG101" s="2">
        <f>F101-H101-L101-U101-AA101-AB101-AD101-Y101</f>
        <v>-6224642.089390117</v>
      </c>
      <c r="AH101" s="2">
        <f>AH100+AG101</f>
        <v>-43521644.320758626</v>
      </c>
      <c r="AI101" s="2">
        <v>37929284.29052433</v>
      </c>
      <c r="AJ101" s="2">
        <f>AH101-AI101</f>
        <v>-81450928.61128296</v>
      </c>
      <c r="AK101" s="3">
        <v>0.25</v>
      </c>
    </row>
    <row r="102" spans="1:37">
      <c r="A102" s="2">
        <v>101</v>
      </c>
      <c r="B102" s="2">
        <v>2035</v>
      </c>
      <c r="C102" s="2">
        <v>40</v>
      </c>
      <c r="D102" s="2">
        <v>443356.8607848518</v>
      </c>
      <c r="E102" s="2">
        <v>17734274.43139407</v>
      </c>
      <c r="F102" s="2">
        <f>E102/1.19</f>
        <v>14902751.623020232</v>
      </c>
      <c r="G102" s="2">
        <v>50</v>
      </c>
      <c r="H102" s="2">
        <v>5142064.598267226</v>
      </c>
      <c r="I102" s="2">
        <v>101</v>
      </c>
      <c r="J102" s="2">
        <v>10362506.89297942</v>
      </c>
      <c r="K102" s="2">
        <v>4103963.125932444</v>
      </c>
      <c r="L102" s="2">
        <v>1519055.591177327</v>
      </c>
      <c r="M102" s="2">
        <v>7139832.871220953</v>
      </c>
      <c r="N102" s="3">
        <v>1</v>
      </c>
      <c r="O102" s="3">
        <v>1.5</v>
      </c>
      <c r="P102" s="2">
        <v>215350.9138358948</v>
      </c>
      <c r="Q102" s="2">
        <v>534006.9278089497</v>
      </c>
      <c r="R102" s="2">
        <v>316692.5203469041</v>
      </c>
      <c r="S102" s="2">
        <v>354695.6227885326</v>
      </c>
      <c r="T102" s="2">
        <v>3271433.735183519</v>
      </c>
      <c r="U102" s="2">
        <f>M102+P102+Q102+R102+S102+T102</f>
        <v>11832012.591184752</v>
      </c>
      <c r="V102" s="2">
        <f>F102-K102-L102-U102</f>
        <v>-2552279.685274292</v>
      </c>
      <c r="W102" s="2">
        <v>74669.76703132519</v>
      </c>
      <c r="X102" s="2">
        <v>359166.4719587018</v>
      </c>
      <c r="Y102" s="2">
        <f>W102+X102</f>
        <v>433836.23899002705</v>
      </c>
      <c r="Z102" s="2">
        <v>7510092.299531848</v>
      </c>
      <c r="AA102" s="2">
        <v>0</v>
      </c>
      <c r="AB102" s="2">
        <v>0</v>
      </c>
      <c r="AC102" s="2">
        <v>0</v>
      </c>
      <c r="AD102" s="2">
        <v>0</v>
      </c>
      <c r="AE102" s="2">
        <v>966161.3894749088</v>
      </c>
      <c r="AF102" s="2">
        <f>F102-H102-L102-U102-AA102-AC102-AD102</f>
        <v>-3590381.1576090734</v>
      </c>
      <c r="AG102" s="2">
        <f>F102-H102-L102-U102-AA102-AB102-AD102-Y102</f>
        <v>-4024217.3965991004</v>
      </c>
      <c r="AH102" s="2">
        <f>AH101+AG102</f>
        <v>-47545861.717357725</v>
      </c>
      <c r="AI102" s="2">
        <v>37929284.29052433</v>
      </c>
      <c r="AJ102" s="2">
        <f>AH102-AI102</f>
        <v>-85475146.00788206</v>
      </c>
      <c r="AK102" s="3">
        <v>0.25</v>
      </c>
    </row>
    <row r="103" spans="1:37">
      <c r="A103" s="2">
        <v>102</v>
      </c>
      <c r="B103" s="2">
        <v>2035</v>
      </c>
      <c r="C103" s="2">
        <v>47</v>
      </c>
      <c r="D103" s="2">
        <v>443356.8607848518</v>
      </c>
      <c r="E103" s="2">
        <v>20837772.45688804</v>
      </c>
      <c r="F103" s="2">
        <f>E103/1.19</f>
        <v>17510733.157048773</v>
      </c>
      <c r="G103" s="2">
        <v>70</v>
      </c>
      <c r="H103" s="2">
        <v>7198890.437574116</v>
      </c>
      <c r="I103" s="2">
        <v>124</v>
      </c>
      <c r="J103" s="2">
        <v>12734580.5204014</v>
      </c>
      <c r="K103" s="2">
        <v>4826816.810152141</v>
      </c>
      <c r="L103" s="2">
        <v>1785263.130607881</v>
      </c>
      <c r="M103" s="2">
        <v>7139832.871220953</v>
      </c>
      <c r="N103" s="3">
        <v>1</v>
      </c>
      <c r="O103" s="3">
        <v>1.5</v>
      </c>
      <c r="P103" s="2">
        <v>215350.9138358948</v>
      </c>
      <c r="Q103" s="2">
        <v>534006.9278089497</v>
      </c>
      <c r="R103" s="2">
        <v>316692.5203469041</v>
      </c>
      <c r="S103" s="2">
        <v>354695.6227885326</v>
      </c>
      <c r="T103" s="2">
        <v>3271433.735183519</v>
      </c>
      <c r="U103" s="2">
        <f>M103+P103+Q103+R103+S103+T103</f>
        <v>11832012.591184752</v>
      </c>
      <c r="V103" s="2">
        <f>F103-K103-L103-U103</f>
        <v>-933359.3748960011</v>
      </c>
      <c r="W103" s="2">
        <v>71261.71074986435</v>
      </c>
      <c r="X103" s="2">
        <v>362574.5282401627</v>
      </c>
      <c r="Y103" s="2">
        <f>W103+X103</f>
        <v>433836.23899002705</v>
      </c>
      <c r="Z103" s="2">
        <v>7147517.771291685</v>
      </c>
      <c r="AA103" s="2">
        <v>0</v>
      </c>
      <c r="AB103" s="2">
        <v>0</v>
      </c>
      <c r="AC103" s="2">
        <v>0</v>
      </c>
      <c r="AD103" s="2">
        <v>386464.5557899633</v>
      </c>
      <c r="AE103" s="2">
        <v>1352625.945264872</v>
      </c>
      <c r="AF103" s="2">
        <f>F103-H103-L103-U103-AA103-AC103-AD103</f>
        <v>-3691897.5581079377</v>
      </c>
      <c r="AG103" s="2">
        <f>F103-H103-L103-U103-AA103-AB103-AD103-Y103</f>
        <v>-4125733.7970979647</v>
      </c>
      <c r="AH103" s="2">
        <f>AH102+AG103</f>
        <v>-51671595.51445569</v>
      </c>
      <c r="AI103" s="2">
        <v>37929284.29052433</v>
      </c>
      <c r="AJ103" s="2">
        <f>AH103-AI103</f>
        <v>-89600879.80498002</v>
      </c>
      <c r="AK103" s="3">
        <v>0.25</v>
      </c>
    </row>
    <row r="104" spans="1:37">
      <c r="A104" s="2">
        <v>103</v>
      </c>
      <c r="B104" s="2">
        <v>2035</v>
      </c>
      <c r="C104" s="2">
        <v>54</v>
      </c>
      <c r="D104" s="2">
        <v>443356.8607848518</v>
      </c>
      <c r="E104" s="2">
        <v>23941270.482382</v>
      </c>
      <c r="F104" s="2">
        <f>E104/1.19</f>
        <v>20118714.69107731</v>
      </c>
      <c r="G104" s="2">
        <v>80</v>
      </c>
      <c r="H104" s="2">
        <v>8227303.35722756</v>
      </c>
      <c r="I104" s="2">
        <v>150</v>
      </c>
      <c r="J104" s="2">
        <v>15413149.91002129</v>
      </c>
      <c r="K104" s="2">
        <v>5548733.967607665</v>
      </c>
      <c r="L104" s="2">
        <v>2051395.747897301</v>
      </c>
      <c r="M104" s="2">
        <v>7139832.871220953</v>
      </c>
      <c r="N104" s="3">
        <v>1</v>
      </c>
      <c r="O104" s="3">
        <v>1.5</v>
      </c>
      <c r="P104" s="2">
        <v>215350.9138358948</v>
      </c>
      <c r="Q104" s="2">
        <v>534006.9278089497</v>
      </c>
      <c r="R104" s="2">
        <v>316692.5203469041</v>
      </c>
      <c r="S104" s="2">
        <v>354695.6227885326</v>
      </c>
      <c r="T104" s="2">
        <v>3271433.735183519</v>
      </c>
      <c r="U104" s="2">
        <f>M104+P104+Q104+R104+S104+T104</f>
        <v>11832012.591184752</v>
      </c>
      <c r="V104" s="2">
        <f>F104-K104-L104-U104</f>
        <v>686572.3843875919</v>
      </c>
      <c r="W104" s="2">
        <v>67821.3161280393</v>
      </c>
      <c r="X104" s="2">
        <v>366014.9228619877</v>
      </c>
      <c r="Y104" s="2">
        <f>W104+X104</f>
        <v>433836.238990027</v>
      </c>
      <c r="Z104" s="2">
        <v>6781502.848429698</v>
      </c>
      <c r="AA104" s="2">
        <v>0</v>
      </c>
      <c r="AB104" s="2">
        <v>0</v>
      </c>
      <c r="AC104" s="2">
        <v>0</v>
      </c>
      <c r="AD104" s="2">
        <v>193232.2778949817</v>
      </c>
      <c r="AE104" s="2">
        <v>1545858.223159854</v>
      </c>
      <c r="AF104" s="2">
        <f>F104-H104-L104-U104-AA104-AC104-AD104</f>
        <v>-2185229.283127284</v>
      </c>
      <c r="AG104" s="2">
        <f>F104-H104-L104-U104-AA104-AB104-AD104-Y104</f>
        <v>-2619065.522117311</v>
      </c>
      <c r="AH104" s="2">
        <f>AH103+AG104</f>
        <v>-54290661.036573</v>
      </c>
      <c r="AI104" s="2">
        <v>37929284.29052433</v>
      </c>
      <c r="AJ104" s="2">
        <f>AH104-AI104</f>
        <v>-92219945.32709733</v>
      </c>
      <c r="AK104" s="3">
        <v>0.25</v>
      </c>
    </row>
    <row r="105" spans="1:37">
      <c r="A105" s="2">
        <v>104</v>
      </c>
      <c r="B105" s="2">
        <v>2035</v>
      </c>
      <c r="C105" s="2">
        <v>67</v>
      </c>
      <c r="D105" s="2">
        <v>443356.8607848518</v>
      </c>
      <c r="E105" s="2">
        <v>29704909.67258507</v>
      </c>
      <c r="F105" s="2">
        <f>E105/1.19</f>
        <v>24962108.968558885</v>
      </c>
      <c r="G105" s="2">
        <v>80</v>
      </c>
      <c r="H105" s="2">
        <v>8227303.35722756</v>
      </c>
      <c r="I105" s="2">
        <v>163</v>
      </c>
      <c r="J105" s="2">
        <v>16753886.44591984</v>
      </c>
      <c r="K105" s="2">
        <v>6886566.821329013</v>
      </c>
      <c r="L105" s="2">
        <v>2545412.402053397</v>
      </c>
      <c r="M105" s="2">
        <v>7139832.871220953</v>
      </c>
      <c r="N105" s="3">
        <v>1</v>
      </c>
      <c r="O105" s="3">
        <v>1.5</v>
      </c>
      <c r="P105" s="2">
        <v>215350.9138358948</v>
      </c>
      <c r="Q105" s="2">
        <v>534006.9278089497</v>
      </c>
      <c r="R105" s="2">
        <v>316692.5203469041</v>
      </c>
      <c r="S105" s="2">
        <v>354695.6227885326</v>
      </c>
      <c r="T105" s="2">
        <v>3271433.735183519</v>
      </c>
      <c r="U105" s="2">
        <f>M105+P105+Q105+R105+S105+T105</f>
        <v>11832012.591184752</v>
      </c>
      <c r="V105" s="2">
        <f>F105-K105-L105-U105</f>
        <v>3698117.1539917234</v>
      </c>
      <c r="W105" s="2">
        <v>64348.27631403451</v>
      </c>
      <c r="X105" s="2">
        <v>369487.9626759925</v>
      </c>
      <c r="Y105" s="2">
        <f>W105+X105</f>
        <v>433836.23899002705</v>
      </c>
      <c r="Z105" s="2">
        <v>6412014.885753705</v>
      </c>
      <c r="AA105" s="2">
        <v>0</v>
      </c>
      <c r="AB105" s="2">
        <v>0</v>
      </c>
      <c r="AC105" s="2">
        <v>0</v>
      </c>
      <c r="AD105" s="2">
        <v>0</v>
      </c>
      <c r="AE105" s="2">
        <v>1545858.223159854</v>
      </c>
      <c r="AF105" s="2">
        <f>F105-H105-L105-U105-AA105-AC105-AD105</f>
        <v>2357380.618093176</v>
      </c>
      <c r="AG105" s="2">
        <f>F105-H105-L105-U105-AA105-AB105-AD105-Y105</f>
        <v>1923544.3791031488</v>
      </c>
      <c r="AH105" s="2">
        <f>AH104+AG105</f>
        <v>-52367116.657469854</v>
      </c>
      <c r="AI105" s="2">
        <v>37929284.29052433</v>
      </c>
      <c r="AJ105" s="2">
        <f>AH105-AI105</f>
        <v>-90296400.94799419</v>
      </c>
      <c r="AK105" s="3">
        <v>0.25</v>
      </c>
    </row>
    <row r="106" spans="1:37">
      <c r="A106" s="2">
        <v>105</v>
      </c>
      <c r="B106" s="2">
        <v>2035</v>
      </c>
      <c r="C106" s="2">
        <v>74</v>
      </c>
      <c r="D106" s="2">
        <v>443356.8607848518</v>
      </c>
      <c r="E106" s="2">
        <v>32808407.69807904</v>
      </c>
      <c r="F106" s="2">
        <f>E106/1.19</f>
        <v>27570090.50258743</v>
      </c>
      <c r="G106" s="2">
        <v>100</v>
      </c>
      <c r="H106" s="2">
        <v>10284129.19653445</v>
      </c>
      <c r="I106" s="2">
        <v>189</v>
      </c>
      <c r="J106" s="2">
        <v>19430361.05104129</v>
      </c>
      <c r="K106" s="2">
        <v>7607654.591412994</v>
      </c>
      <c r="L106" s="2">
        <v>2811478.668353093</v>
      </c>
      <c r="M106" s="2">
        <v>7139832.871220953</v>
      </c>
      <c r="N106" s="3">
        <v>1</v>
      </c>
      <c r="O106" s="3">
        <v>1.5</v>
      </c>
      <c r="P106" s="2">
        <v>215350.9138358948</v>
      </c>
      <c r="Q106" s="2">
        <v>534006.9278089497</v>
      </c>
      <c r="R106" s="2">
        <v>316692.5203469041</v>
      </c>
      <c r="S106" s="2">
        <v>354695.6227885326</v>
      </c>
      <c r="T106" s="2">
        <v>3271433.735183519</v>
      </c>
      <c r="U106" s="2">
        <f>M106+P106+Q106+R106+S106+T106</f>
        <v>11832012.591184752</v>
      </c>
      <c r="V106" s="2">
        <f>F106-K106-L106-U106</f>
        <v>5318944.651636591</v>
      </c>
      <c r="W106" s="2">
        <v>60842.28154438108</v>
      </c>
      <c r="X106" s="2">
        <v>372993.957445646</v>
      </c>
      <c r="Y106" s="2">
        <f>W106+X106</f>
        <v>433836.23899002705</v>
      </c>
      <c r="Z106" s="2">
        <v>6039020.928308059</v>
      </c>
      <c r="AA106" s="2">
        <v>0</v>
      </c>
      <c r="AB106" s="2">
        <v>0</v>
      </c>
      <c r="AC106" s="2">
        <v>0</v>
      </c>
      <c r="AD106" s="2">
        <v>386464.5557899638</v>
      </c>
      <c r="AE106" s="2">
        <v>1932322.778949818</v>
      </c>
      <c r="AF106" s="2">
        <f>F106-H106-L106-U106-AA106-AC106-AD106</f>
        <v>2256005.4907251694</v>
      </c>
      <c r="AG106" s="2">
        <f>F106-H106-L106-U106-AA106-AB106-AD106-Y106</f>
        <v>1822169.2517351424</v>
      </c>
      <c r="AH106" s="2">
        <f>AH105+AG106</f>
        <v>-50544947.40573471</v>
      </c>
      <c r="AI106" s="2">
        <v>37929284.29052433</v>
      </c>
      <c r="AJ106" s="2">
        <f>AH106-AI106</f>
        <v>-88474231.69625905</v>
      </c>
      <c r="AK106" s="3">
        <v>0.25</v>
      </c>
    </row>
    <row r="107" spans="1:37">
      <c r="A107" s="2">
        <v>106</v>
      </c>
      <c r="B107" s="2">
        <v>2035</v>
      </c>
      <c r="C107" s="2">
        <v>87</v>
      </c>
      <c r="D107" s="2">
        <v>443356.8607848518</v>
      </c>
      <c r="E107" s="2">
        <v>38572046.88828211</v>
      </c>
      <c r="F107" s="2">
        <f>E107/1.19</f>
        <v>32413484.780069005</v>
      </c>
      <c r="G107" s="2">
        <v>110</v>
      </c>
      <c r="H107" s="2">
        <v>11312542.11618789</v>
      </c>
      <c r="I107" s="2">
        <v>212</v>
      </c>
      <c r="J107" s="2">
        <v>21797643.71723273</v>
      </c>
      <c r="K107" s="2">
        <v>8945259.449996455</v>
      </c>
      <c r="L107" s="2">
        <v>3305477.082898158</v>
      </c>
      <c r="M107" s="2">
        <v>7139832.871220953</v>
      </c>
      <c r="N107" s="3">
        <v>1</v>
      </c>
      <c r="O107" s="3">
        <v>1.5</v>
      </c>
      <c r="P107" s="2">
        <v>215350.9138358948</v>
      </c>
      <c r="Q107" s="2">
        <v>534006.9278089497</v>
      </c>
      <c r="R107" s="2">
        <v>316692.5203469041</v>
      </c>
      <c r="S107" s="2">
        <v>354695.6227885326</v>
      </c>
      <c r="T107" s="2">
        <v>3271433.735183519</v>
      </c>
      <c r="U107" s="2">
        <f>M107+P107+Q107+R107+S107+T107</f>
        <v>11832012.591184752</v>
      </c>
      <c r="V107" s="2">
        <f>F107-K107-L107-U107</f>
        <v>8330735.655989641</v>
      </c>
      <c r="W107" s="2">
        <v>57303.01911632866</v>
      </c>
      <c r="X107" s="2">
        <v>376533.2198736984</v>
      </c>
      <c r="Y107" s="2">
        <f>W107+X107</f>
        <v>433836.23899002705</v>
      </c>
      <c r="Z107" s="2">
        <v>5662487.708434361</v>
      </c>
      <c r="AA107" s="2">
        <v>0</v>
      </c>
      <c r="AB107" s="2">
        <v>0</v>
      </c>
      <c r="AC107" s="2">
        <v>0</v>
      </c>
      <c r="AD107" s="2">
        <v>193232.2778949817</v>
      </c>
      <c r="AE107" s="2">
        <v>2125555.056844799</v>
      </c>
      <c r="AF107" s="2">
        <f>F107-H107-L107-U107-AA107-AC107-AD107</f>
        <v>5770220.711903216</v>
      </c>
      <c r="AG107" s="2">
        <f>F107-H107-L107-U107-AA107-AB107-AD107-Y107</f>
        <v>5336384.472913189</v>
      </c>
      <c r="AH107" s="2">
        <f>AH106+AG107</f>
        <v>-45208562.93282152</v>
      </c>
      <c r="AI107" s="2">
        <v>37929284.29052433</v>
      </c>
      <c r="AJ107" s="2">
        <f>AH107-AI107</f>
        <v>-83137847.22334585</v>
      </c>
      <c r="AK107" s="3">
        <v>0.25</v>
      </c>
    </row>
    <row r="108" spans="1:37">
      <c r="A108" s="2">
        <v>107</v>
      </c>
      <c r="B108" s="2">
        <v>2035</v>
      </c>
      <c r="C108" s="2">
        <v>94</v>
      </c>
      <c r="D108" s="2">
        <v>443356.8607848518</v>
      </c>
      <c r="E108" s="2">
        <v>41675544.91377608</v>
      </c>
      <c r="F108" s="2">
        <f>E108/1.19</f>
        <v>35021466.314097546</v>
      </c>
      <c r="G108" s="2">
        <v>10</v>
      </c>
      <c r="H108" s="2">
        <v>1028412.919653445</v>
      </c>
      <c r="I108" s="2">
        <v>128</v>
      </c>
      <c r="J108" s="2">
        <v>13160969.59243888</v>
      </c>
      <c r="K108" s="2">
        <v>9665087.044447301</v>
      </c>
      <c r="L108" s="2">
        <v>3571442.535147204</v>
      </c>
      <c r="M108" s="2">
        <v>7139832.871220953</v>
      </c>
      <c r="N108" s="3">
        <v>1</v>
      </c>
      <c r="O108" s="3">
        <v>1.5</v>
      </c>
      <c r="P108" s="2">
        <v>215350.9138358948</v>
      </c>
      <c r="Q108" s="2">
        <v>534006.9278089497</v>
      </c>
      <c r="R108" s="2">
        <v>316692.5203469041</v>
      </c>
      <c r="S108" s="2">
        <v>354695.6227885326</v>
      </c>
      <c r="T108" s="2">
        <v>3271433.735183519</v>
      </c>
      <c r="U108" s="2">
        <f>M108+P108+Q108+R108+S108+T108</f>
        <v>11832012.591184752</v>
      </c>
      <c r="V108" s="2">
        <f>F108-K108-L108-U108</f>
        <v>9952924.143318286</v>
      </c>
      <c r="W108" s="2">
        <v>53730.1733599553</v>
      </c>
      <c r="X108" s="2">
        <v>380106.0656300717</v>
      </c>
      <c r="Y108" s="2">
        <f>W108+X108</f>
        <v>433836.23899002705</v>
      </c>
      <c r="Z108" s="2">
        <v>5282381.642804289</v>
      </c>
      <c r="AA108" s="2">
        <v>0</v>
      </c>
      <c r="AB108" s="2">
        <v>0</v>
      </c>
      <c r="AC108" s="2">
        <v>0</v>
      </c>
      <c r="AD108" s="2">
        <v>-1932322.778949818</v>
      </c>
      <c r="AE108" s="2">
        <v>193232.2778949817</v>
      </c>
      <c r="AF108" s="2">
        <f>F108-H108-L108-U108-AA108-AC108-AD108</f>
        <v>20521921.047061965</v>
      </c>
      <c r="AG108" s="2">
        <f>F108-H108-L108-U108-AA108-AB108-AD108-Y108</f>
        <v>20088084.808071937</v>
      </c>
      <c r="AH108" s="2">
        <f>AH107+AG108</f>
        <v>-25120478.124749582</v>
      </c>
      <c r="AI108" s="2">
        <v>37929284.29052433</v>
      </c>
      <c r="AJ108" s="2">
        <f>AH108-AI108</f>
        <v>-63049762.41527392</v>
      </c>
      <c r="AK108" s="3">
        <v>0.25</v>
      </c>
    </row>
    <row r="109" spans="1:37">
      <c r="A109" s="2">
        <v>108</v>
      </c>
      <c r="B109" s="2">
        <v>2035</v>
      </c>
      <c r="C109" s="2">
        <v>114</v>
      </c>
      <c r="D109" s="2">
        <v>443356.8607848518</v>
      </c>
      <c r="E109" s="2">
        <v>50542682.12947311</v>
      </c>
      <c r="F109" s="2">
        <f>E109/1.19</f>
        <v>42472842.12560766</v>
      </c>
      <c r="G109" s="2">
        <v>30</v>
      </c>
      <c r="H109" s="2">
        <v>3085238.758960335</v>
      </c>
      <c r="I109" s="2">
        <v>44</v>
      </c>
      <c r="J109" s="2">
        <v>4524260.553554213</v>
      </c>
      <c r="K109" s="2">
        <v>11721947.797845</v>
      </c>
      <c r="L109" s="2">
        <v>4331360.665970385</v>
      </c>
      <c r="M109" s="2">
        <v>7139832.871220953</v>
      </c>
      <c r="N109" s="3">
        <v>1</v>
      </c>
      <c r="O109" s="3">
        <v>1.5</v>
      </c>
      <c r="P109" s="2">
        <v>215350.9138358948</v>
      </c>
      <c r="Q109" s="2">
        <v>534006.9278089497</v>
      </c>
      <c r="R109" s="2">
        <v>316692.5203469041</v>
      </c>
      <c r="S109" s="2">
        <v>354695.6227885326</v>
      </c>
      <c r="T109" s="2">
        <v>3271433.735183519</v>
      </c>
      <c r="U109" s="2">
        <f>M109+P109+Q109+R109+S109+T109</f>
        <v>11832012.591184752</v>
      </c>
      <c r="V109" s="2">
        <f>F109-K109-L109-U109</f>
        <v>14587521.070607526</v>
      </c>
      <c r="W109" s="2">
        <v>50123.42561001252</v>
      </c>
      <c r="X109" s="2">
        <v>383712.8133800145</v>
      </c>
      <c r="Y109" s="2">
        <f>W109+X109</f>
        <v>433836.238990027</v>
      </c>
      <c r="Z109" s="2">
        <v>4898668.829424275</v>
      </c>
      <c r="AA109" s="2">
        <v>0</v>
      </c>
      <c r="AB109" s="2">
        <v>0</v>
      </c>
      <c r="AC109" s="2">
        <v>1334365.458642625</v>
      </c>
      <c r="AD109" s="2">
        <v>386464.5557899635</v>
      </c>
      <c r="AE109" s="2">
        <v>579696.8336849452</v>
      </c>
      <c r="AF109" s="2">
        <f>F109-H109-L109-U109-AA109-AC109-AD109</f>
        <v>21503400.095059603</v>
      </c>
      <c r="AG109" s="2">
        <f>F109-H109-L109-U109-AA109-AB109-AD109-Y109</f>
        <v>22403929.3147122</v>
      </c>
      <c r="AH109" s="2">
        <f>AH108+AG109</f>
        <v>-2716548.810037382</v>
      </c>
      <c r="AI109" s="2">
        <v>37929284.29052433</v>
      </c>
      <c r="AJ109" s="2">
        <f>AH109-AI109</f>
        <v>-40645833.100561716</v>
      </c>
      <c r="AK109" s="3">
        <v>0.25</v>
      </c>
    </row>
    <row r="110" spans="1:37">
      <c r="A110" s="2">
        <v>109</v>
      </c>
      <c r="B110" s="2">
        <v>2036</v>
      </c>
      <c r="C110" s="2">
        <v>14</v>
      </c>
      <c r="D110" s="2">
        <v>456657.5666083974</v>
      </c>
      <c r="E110" s="2">
        <v>6393205.932517564</v>
      </c>
      <c r="F110" s="2">
        <f>E110/1.19</f>
        <v>5372441.960098794</v>
      </c>
      <c r="G110" s="2">
        <v>20</v>
      </c>
      <c r="H110" s="2">
        <v>2118530.614486097</v>
      </c>
      <c r="I110" s="2">
        <v>50</v>
      </c>
      <c r="J110" s="2">
        <v>5189680.600031491</v>
      </c>
      <c r="K110" s="2">
        <v>1453110.568008818</v>
      </c>
      <c r="L110" s="2">
        <v>545510.0895082401</v>
      </c>
      <c r="M110" s="2">
        <v>7354027.857357581</v>
      </c>
      <c r="N110" s="3">
        <v>1</v>
      </c>
      <c r="O110" s="3">
        <v>1.5</v>
      </c>
      <c r="P110" s="2">
        <v>221811.4412509716</v>
      </c>
      <c r="Q110" s="2">
        <v>567772.0509432959</v>
      </c>
      <c r="R110" s="2">
        <v>326193.2959573112</v>
      </c>
      <c r="S110" s="2">
        <v>365336.4914721886</v>
      </c>
      <c r="T110" s="2">
        <v>3539197.261136827</v>
      </c>
      <c r="U110" s="2">
        <f>M110+P110+Q110+R110+S110+T110</f>
        <v>12374338.398118176</v>
      </c>
      <c r="V110" s="2">
        <f>F110-K110-L110-U110</f>
        <v>-9000517.09553644</v>
      </c>
      <c r="W110" s="2">
        <v>46482.45417750326</v>
      </c>
      <c r="X110" s="2">
        <v>387353.7848125238</v>
      </c>
      <c r="Y110" s="2">
        <f>W110+X110</f>
        <v>433836.23899002705</v>
      </c>
      <c r="Z110" s="2">
        <v>4511315.044611751</v>
      </c>
      <c r="AA110" s="2">
        <v>1957159.775743867</v>
      </c>
      <c r="AB110" s="2">
        <v>0</v>
      </c>
      <c r="AC110" s="2">
        <v>0</v>
      </c>
      <c r="AD110" s="2">
        <v>-181638.3412212828</v>
      </c>
      <c r="AE110" s="2">
        <v>398058.4924636624</v>
      </c>
      <c r="AF110" s="2">
        <f>F110-H110-L110-U110-AA110-AC110-AD110</f>
        <v>-11441458.576536303</v>
      </c>
      <c r="AG110" s="2">
        <f>F110-H110-L110-U110-AA110-AB110-AD110-Y110</f>
        <v>-11875294.81552633</v>
      </c>
      <c r="AH110" s="2">
        <f>AH109+AG110</f>
        <v>-14591843.625563713</v>
      </c>
      <c r="AI110" s="2">
        <v>39556261.7113246</v>
      </c>
      <c r="AJ110" s="2">
        <f>AH110-AI110</f>
        <v>-54148105.33688831</v>
      </c>
      <c r="AK110" s="3">
        <v>0.25</v>
      </c>
    </row>
    <row r="111" spans="1:37">
      <c r="A111" s="2">
        <v>110</v>
      </c>
      <c r="B111" s="2">
        <v>2036</v>
      </c>
      <c r="C111" s="2">
        <v>21</v>
      </c>
      <c r="D111" s="2">
        <v>456657.5666083974</v>
      </c>
      <c r="E111" s="2">
        <v>9589808.898776345</v>
      </c>
      <c r="F111" s="2">
        <f>E111/1.19</f>
        <v>8058662.94014819</v>
      </c>
      <c r="G111" s="2">
        <v>40</v>
      </c>
      <c r="H111" s="2">
        <v>4237061.228972194</v>
      </c>
      <c r="I111" s="2">
        <v>69</v>
      </c>
      <c r="J111" s="2">
        <v>7227168.735569492</v>
      </c>
      <c r="K111" s="2">
        <v>2199573.093434193</v>
      </c>
      <c r="L111" s="2">
        <v>819857.7135760377</v>
      </c>
      <c r="M111" s="2">
        <v>7354027.857357581</v>
      </c>
      <c r="N111" s="3">
        <v>1</v>
      </c>
      <c r="O111" s="3">
        <v>1.5</v>
      </c>
      <c r="P111" s="2">
        <v>221811.4412509716</v>
      </c>
      <c r="Q111" s="2">
        <v>567772.0509432959</v>
      </c>
      <c r="R111" s="2">
        <v>326193.2959573112</v>
      </c>
      <c r="S111" s="2">
        <v>365336.4914721886</v>
      </c>
      <c r="T111" s="2">
        <v>3539197.261136827</v>
      </c>
      <c r="U111" s="2">
        <f>M111+P111+Q111+R111+S111+T111</f>
        <v>12374338.398118176</v>
      </c>
      <c r="V111" s="2">
        <f>F111-K111-L111-U111</f>
        <v>-7335106.2649802165</v>
      </c>
      <c r="W111" s="2">
        <v>42806.93432099018</v>
      </c>
      <c r="X111" s="2">
        <v>391029.3046690369</v>
      </c>
      <c r="Y111" s="2">
        <f>W111+X111</f>
        <v>433836.23899002705</v>
      </c>
      <c r="Z111" s="2">
        <v>4120285.739942714</v>
      </c>
      <c r="AA111" s="2">
        <v>0</v>
      </c>
      <c r="AB111" s="2">
        <v>0</v>
      </c>
      <c r="AC111" s="2">
        <v>0</v>
      </c>
      <c r="AD111" s="2">
        <v>398058.4924636624</v>
      </c>
      <c r="AE111" s="2">
        <v>796116.9849273248</v>
      </c>
      <c r="AF111" s="2">
        <f>F111-H111-L111-U111-AA111-AC111-AD111</f>
        <v>-9770652.89298188</v>
      </c>
      <c r="AG111" s="2">
        <f>F111-H111-L111-U111-AA111-AB111-AD111-Y111</f>
        <v>-10204489.131971907</v>
      </c>
      <c r="AH111" s="2">
        <f>AH110+AG111</f>
        <v>-24796332.75753562</v>
      </c>
      <c r="AI111" s="2">
        <v>39556261.7113246</v>
      </c>
      <c r="AJ111" s="2">
        <f>AH111-AI111</f>
        <v>-64352594.468860224</v>
      </c>
      <c r="AK111" s="3">
        <v>0.25</v>
      </c>
    </row>
    <row r="112" spans="1:37">
      <c r="A112" s="2">
        <v>111</v>
      </c>
      <c r="B112" s="2">
        <v>2036</v>
      </c>
      <c r="C112" s="2">
        <v>28</v>
      </c>
      <c r="D112" s="2">
        <v>456657.5666083974</v>
      </c>
      <c r="E112" s="2">
        <v>12786411.86503513</v>
      </c>
      <c r="F112" s="2">
        <f>E112/1.19</f>
        <v>10744883.920197587</v>
      </c>
      <c r="G112" s="2">
        <v>40</v>
      </c>
      <c r="H112" s="2">
        <v>4237061.228972194</v>
      </c>
      <c r="I112" s="2">
        <v>81</v>
      </c>
      <c r="J112" s="2">
        <v>8519290.157136481</v>
      </c>
      <c r="K112" s="2">
        <v>2944939.807405204</v>
      </c>
      <c r="L112" s="2">
        <v>1094117.672727486</v>
      </c>
      <c r="M112" s="2">
        <v>7354027.857357581</v>
      </c>
      <c r="N112" s="3">
        <v>1</v>
      </c>
      <c r="O112" s="3">
        <v>1.5</v>
      </c>
      <c r="P112" s="2">
        <v>221811.4412509716</v>
      </c>
      <c r="Q112" s="2">
        <v>567772.0509432959</v>
      </c>
      <c r="R112" s="2">
        <v>326193.2959573112</v>
      </c>
      <c r="S112" s="2">
        <v>365336.4914721886</v>
      </c>
      <c r="T112" s="2">
        <v>3539197.261136827</v>
      </c>
      <c r="U112" s="2">
        <f>M112+P112+Q112+R112+S112+T112</f>
        <v>12374338.398118176</v>
      </c>
      <c r="V112" s="2">
        <f>F112-K112-L112-U112</f>
        <v>-5668511.958053278</v>
      </c>
      <c r="W112" s="2">
        <v>39096.5382176317</v>
      </c>
      <c r="X112" s="2">
        <v>394739.7007723954</v>
      </c>
      <c r="Y112" s="2">
        <f>W112+X112</f>
        <v>433836.23899002705</v>
      </c>
      <c r="Z112" s="2">
        <v>3725546.039170319</v>
      </c>
      <c r="AA112" s="2">
        <v>0</v>
      </c>
      <c r="AB112" s="2">
        <v>0</v>
      </c>
      <c r="AC112" s="2">
        <v>0</v>
      </c>
      <c r="AD112" s="2">
        <v>0</v>
      </c>
      <c r="AE112" s="2">
        <v>796116.9849273248</v>
      </c>
      <c r="AF112" s="2">
        <f>F112-H112-L112-U112-AA112-AC112-AD112</f>
        <v>-6960633.379620267</v>
      </c>
      <c r="AG112" s="2">
        <f>F112-H112-L112-U112-AA112-AB112-AD112-Y112</f>
        <v>-7394469.618610295</v>
      </c>
      <c r="AH112" s="2">
        <f>AH111+AG112</f>
        <v>-32190802.376145914</v>
      </c>
      <c r="AI112" s="2">
        <v>39556261.7113246</v>
      </c>
      <c r="AJ112" s="2">
        <f>AH112-AI112</f>
        <v>-71747064.08747052</v>
      </c>
      <c r="AK112" s="3">
        <v>0.25</v>
      </c>
    </row>
    <row r="113" spans="1:37">
      <c r="A113" s="2">
        <v>112</v>
      </c>
      <c r="B113" s="2">
        <v>2036</v>
      </c>
      <c r="C113" s="2">
        <v>35</v>
      </c>
      <c r="D113" s="2">
        <v>456657.5666083974</v>
      </c>
      <c r="E113" s="2">
        <v>15983014.83129391</v>
      </c>
      <c r="F113" s="2">
        <f>E113/1.19</f>
        <v>13431104.900246983</v>
      </c>
      <c r="G113" s="2">
        <v>50</v>
      </c>
      <c r="H113" s="2">
        <v>5296326.536215243</v>
      </c>
      <c r="I113" s="2">
        <v>96</v>
      </c>
      <c r="J113" s="2">
        <v>10124421.39360126</v>
      </c>
      <c r="K113" s="2">
        <v>3691195.299750461</v>
      </c>
      <c r="L113" s="2">
        <v>1368448.734148874</v>
      </c>
      <c r="M113" s="2">
        <v>7354027.857357581</v>
      </c>
      <c r="N113" s="3">
        <v>1</v>
      </c>
      <c r="O113" s="3">
        <v>1.5</v>
      </c>
      <c r="P113" s="2">
        <v>221811.4412509716</v>
      </c>
      <c r="Q113" s="2">
        <v>567772.0509432959</v>
      </c>
      <c r="R113" s="2">
        <v>326193.2959573112</v>
      </c>
      <c r="S113" s="2">
        <v>365336.4914721886</v>
      </c>
      <c r="T113" s="2">
        <v>3539197.261136827</v>
      </c>
      <c r="U113" s="2">
        <f>M113+P113+Q113+R113+S113+T113</f>
        <v>12374338.398118176</v>
      </c>
      <c r="V113" s="2">
        <f>F113-K113-L113-U113</f>
        <v>-4002877.5317705264</v>
      </c>
      <c r="W113" s="2">
        <v>35350.93493394317</v>
      </c>
      <c r="X113" s="2">
        <v>398485.3040560839</v>
      </c>
      <c r="Y113" s="2">
        <f>W113+X113</f>
        <v>433836.23899002705</v>
      </c>
      <c r="Z113" s="2">
        <v>3327060.735114235</v>
      </c>
      <c r="AA113" s="2">
        <v>0</v>
      </c>
      <c r="AB113" s="2">
        <v>0</v>
      </c>
      <c r="AC113" s="2">
        <v>0</v>
      </c>
      <c r="AD113" s="2">
        <v>199029.2462318313</v>
      </c>
      <c r="AE113" s="2">
        <v>995146.2311591561</v>
      </c>
      <c r="AF113" s="2">
        <f>F113-H113-L113-U113-AA113-AC113-AD113</f>
        <v>-5807038.014467141</v>
      </c>
      <c r="AG113" s="2">
        <f>F113-H113-L113-U113-AA113-AB113-AD113-Y113</f>
        <v>-6240874.253457168</v>
      </c>
      <c r="AH113" s="2">
        <f>AH112+AG113</f>
        <v>-38431676.62960308</v>
      </c>
      <c r="AI113" s="2">
        <v>39556261.7113246</v>
      </c>
      <c r="AJ113" s="2">
        <f>AH113-AI113</f>
        <v>-77987938.34092769</v>
      </c>
      <c r="AK113" s="3">
        <v>0.25</v>
      </c>
    </row>
    <row r="114" spans="1:37">
      <c r="A114" s="2">
        <v>113</v>
      </c>
      <c r="B114" s="2">
        <v>2036</v>
      </c>
      <c r="C114" s="2">
        <v>42</v>
      </c>
      <c r="D114" s="2">
        <v>456657.5666083974</v>
      </c>
      <c r="E114" s="2">
        <v>19179617.79755269</v>
      </c>
      <c r="F114" s="2">
        <f>E114/1.19</f>
        <v>16117325.88029638</v>
      </c>
      <c r="G114" s="2">
        <v>60</v>
      </c>
      <c r="H114" s="2">
        <v>6355591.84345829</v>
      </c>
      <c r="I114" s="2">
        <v>114</v>
      </c>
      <c r="J114" s="2">
        <v>12043086.59631275</v>
      </c>
      <c r="K114" s="2">
        <v>4436926.640746802</v>
      </c>
      <c r="L114" s="2">
        <v>1642737.863462348</v>
      </c>
      <c r="M114" s="2">
        <v>7354027.857357581</v>
      </c>
      <c r="N114" s="3">
        <v>1</v>
      </c>
      <c r="O114" s="3">
        <v>1.5</v>
      </c>
      <c r="P114" s="2">
        <v>221811.4412509716</v>
      </c>
      <c r="Q114" s="2">
        <v>567772.0509432959</v>
      </c>
      <c r="R114" s="2">
        <v>326193.2959573112</v>
      </c>
      <c r="S114" s="2">
        <v>365336.4914721886</v>
      </c>
      <c r="T114" s="2">
        <v>3539197.261136827</v>
      </c>
      <c r="U114" s="2">
        <f>M114+P114+Q114+R114+S114+T114</f>
        <v>12374338.398118176</v>
      </c>
      <c r="V114" s="2">
        <f>F114-K114-L114-U114</f>
        <v>-2336677.022030946</v>
      </c>
      <c r="W114" s="2">
        <v>31569.79039628063</v>
      </c>
      <c r="X114" s="2">
        <v>402266.4485937464</v>
      </c>
      <c r="Y114" s="2">
        <f>W114+X114</f>
        <v>433836.23899002705</v>
      </c>
      <c r="Z114" s="2">
        <v>2924794.286520489</v>
      </c>
      <c r="AA114" s="2">
        <v>0</v>
      </c>
      <c r="AB114" s="2">
        <v>0</v>
      </c>
      <c r="AC114" s="2">
        <v>0</v>
      </c>
      <c r="AD114" s="2">
        <v>199029.246231831</v>
      </c>
      <c r="AE114" s="2">
        <v>1194175.477390987</v>
      </c>
      <c r="AF114" s="2">
        <f>F114-H114-L114-U114-AA114-AC114-AD114</f>
        <v>-4454371.4709742665</v>
      </c>
      <c r="AG114" s="2">
        <f>F114-H114-L114-U114-AA114-AB114-AD114-Y114</f>
        <v>-4888207.709964294</v>
      </c>
      <c r="AH114" s="2">
        <f>AH113+AG114</f>
        <v>-43319884.33956738</v>
      </c>
      <c r="AI114" s="2">
        <v>39556261.7113246</v>
      </c>
      <c r="AJ114" s="2">
        <f>AH114-AI114</f>
        <v>-82876146.05089198</v>
      </c>
      <c r="AK114" s="3">
        <v>0.25</v>
      </c>
    </row>
    <row r="115" spans="1:37">
      <c r="A115" s="2">
        <v>114</v>
      </c>
      <c r="B115" s="2">
        <v>2036</v>
      </c>
      <c r="C115" s="2">
        <v>49</v>
      </c>
      <c r="D115" s="2">
        <v>456657.5666083974</v>
      </c>
      <c r="E115" s="2">
        <v>22376220.76381147</v>
      </c>
      <c r="F115" s="2">
        <f>E115/1.19</f>
        <v>18803546.860345777</v>
      </c>
      <c r="G115" s="2">
        <v>70</v>
      </c>
      <c r="H115" s="2">
        <v>7414857.150701339</v>
      </c>
      <c r="I115" s="2">
        <v>135</v>
      </c>
      <c r="J115" s="2">
        <v>14276208.72742882</v>
      </c>
      <c r="K115" s="2">
        <v>5181735.019585274</v>
      </c>
      <c r="L115" s="2">
        <v>1916953.155803194</v>
      </c>
      <c r="M115" s="2">
        <v>7354027.857357581</v>
      </c>
      <c r="N115" s="3">
        <v>1</v>
      </c>
      <c r="O115" s="3">
        <v>1.5</v>
      </c>
      <c r="P115" s="2">
        <v>221811.4412509716</v>
      </c>
      <c r="Q115" s="2">
        <v>567772.0509432959</v>
      </c>
      <c r="R115" s="2">
        <v>326193.2959573112</v>
      </c>
      <c r="S115" s="2">
        <v>365336.4914721886</v>
      </c>
      <c r="T115" s="2">
        <v>3539197.261136827</v>
      </c>
      <c r="U115" s="2">
        <f>M115+P115+Q115+R115+S115+T115</f>
        <v>12374338.398118176</v>
      </c>
      <c r="V115" s="2">
        <f>F115-K115-L115-U115</f>
        <v>-669479.7131608669</v>
      </c>
      <c r="W115" s="2">
        <v>27752.76736104447</v>
      </c>
      <c r="X115" s="2">
        <v>406083.4716289826</v>
      </c>
      <c r="Y115" s="2">
        <f>W115+X115</f>
        <v>433836.23899002705</v>
      </c>
      <c r="Z115" s="2">
        <v>2518710.814891506</v>
      </c>
      <c r="AA115" s="2">
        <v>0</v>
      </c>
      <c r="AB115" s="2">
        <v>0</v>
      </c>
      <c r="AC115" s="2">
        <v>0</v>
      </c>
      <c r="AD115" s="2">
        <v>199029.2462318311</v>
      </c>
      <c r="AE115" s="2">
        <v>1393204.723622818</v>
      </c>
      <c r="AF115" s="2">
        <f>F115-H115-L115-U115-AA115-AC115-AD115</f>
        <v>-3101631.090508764</v>
      </c>
      <c r="AG115" s="2">
        <f>F115-H115-L115-U115-AA115-AB115-AD115-Y115</f>
        <v>-3535467.329498791</v>
      </c>
      <c r="AH115" s="2">
        <f>AH114+AG115</f>
        <v>-46855351.66906617</v>
      </c>
      <c r="AI115" s="2">
        <v>39556261.7113246</v>
      </c>
      <c r="AJ115" s="2">
        <f>AH115-AI115</f>
        <v>-86411613.38039076</v>
      </c>
      <c r="AK115" s="3">
        <v>0.25</v>
      </c>
    </row>
    <row r="116" spans="1:37">
      <c r="A116" s="2">
        <v>115</v>
      </c>
      <c r="B116" s="2">
        <v>2036</v>
      </c>
      <c r="C116" s="2">
        <v>56</v>
      </c>
      <c r="D116" s="2">
        <v>456657.5666083974</v>
      </c>
      <c r="E116" s="2">
        <v>25572823.73007026</v>
      </c>
      <c r="F116" s="2">
        <f>E116/1.19</f>
        <v>21489767.840395175</v>
      </c>
      <c r="G116" s="2">
        <v>70</v>
      </c>
      <c r="H116" s="2">
        <v>7414857.150701339</v>
      </c>
      <c r="I116" s="2">
        <v>149</v>
      </c>
      <c r="J116" s="2">
        <v>15765701.54068972</v>
      </c>
      <c r="K116" s="2">
        <v>5925364.337440433</v>
      </c>
      <c r="L116" s="2">
        <v>2191074.123265374</v>
      </c>
      <c r="M116" s="2">
        <v>7354027.857357581</v>
      </c>
      <c r="N116" s="3">
        <v>1</v>
      </c>
      <c r="O116" s="3">
        <v>1.5</v>
      </c>
      <c r="P116" s="2">
        <v>221811.4412509716</v>
      </c>
      <c r="Q116" s="2">
        <v>567772.0509432959</v>
      </c>
      <c r="R116" s="2">
        <v>326193.2959573112</v>
      </c>
      <c r="S116" s="2">
        <v>365336.4914721886</v>
      </c>
      <c r="T116" s="2">
        <v>3539197.261136827</v>
      </c>
      <c r="U116" s="2">
        <f>M116+P116+Q116+R116+S116+T116</f>
        <v>12374338.398118176</v>
      </c>
      <c r="V116" s="2">
        <f>F116-K116-L116-U116</f>
        <v>998990.9815711938</v>
      </c>
      <c r="W116" s="2">
        <v>23899.52538460043</v>
      </c>
      <c r="X116" s="2">
        <v>409936.7136054266</v>
      </c>
      <c r="Y116" s="2">
        <f>W116+X116</f>
        <v>433836.23899002705</v>
      </c>
      <c r="Z116" s="2">
        <v>2108774.101286079</v>
      </c>
      <c r="AA116" s="2">
        <v>0</v>
      </c>
      <c r="AB116" s="2">
        <v>0</v>
      </c>
      <c r="AC116" s="2">
        <v>0</v>
      </c>
      <c r="AD116" s="2">
        <v>0</v>
      </c>
      <c r="AE116" s="2">
        <v>1393204.723622818</v>
      </c>
      <c r="AF116" s="2">
        <f>F116-H116-L116-U116-AA116-AC116-AD116</f>
        <v>-490501.8316897154</v>
      </c>
      <c r="AG116" s="2">
        <f>F116-H116-L116-U116-AA116-AB116-AD116-Y116</f>
        <v>-924338.0706797424</v>
      </c>
      <c r="AH116" s="2">
        <f>AH115+AG116</f>
        <v>-47779689.73974591</v>
      </c>
      <c r="AI116" s="2">
        <v>39556261.7113246</v>
      </c>
      <c r="AJ116" s="2">
        <f>AH116-AI116</f>
        <v>-87335951.45107052</v>
      </c>
      <c r="AK116" s="3">
        <v>0.25</v>
      </c>
    </row>
    <row r="117" spans="1:37">
      <c r="A117" s="2">
        <v>116</v>
      </c>
      <c r="B117" s="2">
        <v>2036</v>
      </c>
      <c r="C117" s="2">
        <v>71</v>
      </c>
      <c r="D117" s="2">
        <v>456657.5666083974</v>
      </c>
      <c r="E117" s="2">
        <v>32422687.22919622</v>
      </c>
      <c r="F117" s="2">
        <f>E117/1.19</f>
        <v>27245955.65478674</v>
      </c>
      <c r="G117" s="2">
        <v>100</v>
      </c>
      <c r="H117" s="2">
        <v>10592653.07243049</v>
      </c>
      <c r="I117" s="2">
        <v>178</v>
      </c>
      <c r="J117" s="2">
        <v>18842518.5587767</v>
      </c>
      <c r="K117" s="2">
        <v>7515836.054343512</v>
      </c>
      <c r="L117" s="2">
        <v>2778234.62211855</v>
      </c>
      <c r="M117" s="2">
        <v>7354027.857357581</v>
      </c>
      <c r="N117" s="3">
        <v>1</v>
      </c>
      <c r="O117" s="3">
        <v>1.5</v>
      </c>
      <c r="P117" s="2">
        <v>221811.4412509716</v>
      </c>
      <c r="Q117" s="2">
        <v>567772.0509432959</v>
      </c>
      <c r="R117" s="2">
        <v>326193.2959573112</v>
      </c>
      <c r="S117" s="2">
        <v>365336.4914721886</v>
      </c>
      <c r="T117" s="2">
        <v>3539197.261136827</v>
      </c>
      <c r="U117" s="2">
        <f>M117+P117+Q117+R117+S117+T117</f>
        <v>12374338.398118176</v>
      </c>
      <c r="V117" s="2">
        <f>F117-K117-L117-U117</f>
        <v>4577546.580206502</v>
      </c>
      <c r="W117" s="2">
        <v>20009.72079291506</v>
      </c>
      <c r="X117" s="2">
        <v>413826.518197112</v>
      </c>
      <c r="Y117" s="2">
        <f>W117+X117</f>
        <v>433836.2389900271</v>
      </c>
      <c r="Z117" s="2">
        <v>1694947.583088967</v>
      </c>
      <c r="AA117" s="2">
        <v>0</v>
      </c>
      <c r="AB117" s="2">
        <v>0</v>
      </c>
      <c r="AC117" s="2">
        <v>0</v>
      </c>
      <c r="AD117" s="2">
        <v>597087.7386954939</v>
      </c>
      <c r="AE117" s="2">
        <v>1990292.462318312</v>
      </c>
      <c r="AF117" s="2">
        <f>F117-H117-L117-U117-AA117-AC117-AD117</f>
        <v>903641.8234240348</v>
      </c>
      <c r="AG117" s="2">
        <f>F117-H117-L117-U117-AA117-AB117-AD117-Y117</f>
        <v>469805.58443400764</v>
      </c>
      <c r="AH117" s="2">
        <f>AH116+AG117</f>
        <v>-47309884.1553119</v>
      </c>
      <c r="AI117" s="2">
        <v>39556261.7113246</v>
      </c>
      <c r="AJ117" s="2">
        <f>AH117-AI117</f>
        <v>-86866145.8666365</v>
      </c>
      <c r="AK117" s="3">
        <v>0.25</v>
      </c>
    </row>
    <row r="118" spans="1:37">
      <c r="A118" s="2">
        <v>117</v>
      </c>
      <c r="B118" s="2">
        <v>2036</v>
      </c>
      <c r="C118" s="2">
        <v>78</v>
      </c>
      <c r="D118" s="2">
        <v>456657.5666083974</v>
      </c>
      <c r="E118" s="2">
        <v>35619290.195455</v>
      </c>
      <c r="F118" s="2">
        <f>E118/1.19</f>
        <v>29932176.634836137</v>
      </c>
      <c r="G118" s="2">
        <v>100</v>
      </c>
      <c r="H118" s="2">
        <v>10592653.07243049</v>
      </c>
      <c r="I118" s="2">
        <v>200</v>
      </c>
      <c r="J118" s="2">
        <v>21176382.46849437</v>
      </c>
      <c r="K118" s="2">
        <v>8258789.162712807</v>
      </c>
      <c r="L118" s="2">
        <v>3052301.492821861</v>
      </c>
      <c r="M118" s="2">
        <v>7354027.857357581</v>
      </c>
      <c r="N118" s="3">
        <v>1</v>
      </c>
      <c r="O118" s="3">
        <v>1.5</v>
      </c>
      <c r="P118" s="2">
        <v>221811.4412509716</v>
      </c>
      <c r="Q118" s="2">
        <v>567772.0509432959</v>
      </c>
      <c r="R118" s="2">
        <v>326193.2959573112</v>
      </c>
      <c r="S118" s="2">
        <v>365336.4914721886</v>
      </c>
      <c r="T118" s="2">
        <v>3539197.261136827</v>
      </c>
      <c r="U118" s="2">
        <f>M118+P118+Q118+R118+S118+T118</f>
        <v>12374338.398118176</v>
      </c>
      <c r="V118" s="2">
        <f>F118-K118-L118-U118</f>
        <v>6246747.581183296</v>
      </c>
      <c r="W118" s="2">
        <v>16083.0066509032</v>
      </c>
      <c r="X118" s="2">
        <v>417753.2323391238</v>
      </c>
      <c r="Y118" s="2">
        <f>W118+X118</f>
        <v>433836.23899002705</v>
      </c>
      <c r="Z118" s="2">
        <v>1277194.350749843</v>
      </c>
      <c r="AA118" s="2">
        <v>0</v>
      </c>
      <c r="AB118" s="2">
        <v>0</v>
      </c>
      <c r="AC118" s="2">
        <v>0</v>
      </c>
      <c r="AD118" s="2">
        <v>0</v>
      </c>
      <c r="AE118" s="2">
        <v>1990292.462318312</v>
      </c>
      <c r="AF118" s="2">
        <f>F118-H118-L118-U118-AA118-AC118-AD118</f>
        <v>3912883.6714656167</v>
      </c>
      <c r="AG118" s="2">
        <f>F118-H118-L118-U118-AA118-AB118-AD118-Y118</f>
        <v>3479047.4324755897</v>
      </c>
      <c r="AH118" s="2">
        <f>AH117+AG118</f>
        <v>-43830836.72283631</v>
      </c>
      <c r="AI118" s="2">
        <v>39556261.7113246</v>
      </c>
      <c r="AJ118" s="2">
        <f>AH118-AI118</f>
        <v>-83387098.43416092</v>
      </c>
      <c r="AK118" s="3">
        <v>0.25</v>
      </c>
    </row>
    <row r="119" spans="1:37">
      <c r="A119" s="2">
        <v>118</v>
      </c>
      <c r="B119" s="2">
        <v>2036</v>
      </c>
      <c r="C119" s="2">
        <v>92</v>
      </c>
      <c r="D119" s="2">
        <v>456657.5666083974</v>
      </c>
      <c r="E119" s="2">
        <v>42012496.12797257</v>
      </c>
      <c r="F119" s="2">
        <f>E119/1.19</f>
        <v>35304618.59493493</v>
      </c>
      <c r="G119" s="2">
        <v>120</v>
      </c>
      <c r="H119" s="2">
        <v>12711183.68691658</v>
      </c>
      <c r="I119" s="2">
        <v>228</v>
      </c>
      <c r="J119" s="2">
        <v>24144890.8857303</v>
      </c>
      <c r="K119" s="2">
        <v>9742675.269680649</v>
      </c>
      <c r="L119" s="2">
        <v>3600273.625446823</v>
      </c>
      <c r="M119" s="2">
        <v>7354027.857357581</v>
      </c>
      <c r="N119" s="3">
        <v>1</v>
      </c>
      <c r="O119" s="3">
        <v>1.5</v>
      </c>
      <c r="P119" s="2">
        <v>221811.4412509716</v>
      </c>
      <c r="Q119" s="2">
        <v>567772.0509432959</v>
      </c>
      <c r="R119" s="2">
        <v>326193.2959573112</v>
      </c>
      <c r="S119" s="2">
        <v>365336.4914721886</v>
      </c>
      <c r="T119" s="2">
        <v>3539197.261136827</v>
      </c>
      <c r="U119" s="2">
        <f>M119+P119+Q119+R119+S119+T119</f>
        <v>12374338.398118176</v>
      </c>
      <c r="V119" s="2">
        <f>F119-K119-L119-U119</f>
        <v>9587331.301689286</v>
      </c>
      <c r="W119" s="2">
        <v>12119.03273148449</v>
      </c>
      <c r="X119" s="2">
        <v>421717.2062585425</v>
      </c>
      <c r="Y119" s="2">
        <f>W119+X119</f>
        <v>433836.23899002705</v>
      </c>
      <c r="Z119" s="2">
        <v>855477.1444913007</v>
      </c>
      <c r="AA119" s="2">
        <v>0</v>
      </c>
      <c r="AB119" s="2">
        <v>0</v>
      </c>
      <c r="AC119" s="2">
        <v>0</v>
      </c>
      <c r="AD119" s="2">
        <v>398058.4924636621</v>
      </c>
      <c r="AE119" s="2">
        <v>2388350.954781974</v>
      </c>
      <c r="AF119" s="2">
        <f>F119-H119-L119-U119-AA119-AC119-AD119</f>
        <v>6220764.39198969</v>
      </c>
      <c r="AG119" s="2">
        <f>F119-H119-L119-U119-AA119-AB119-AD119-Y119</f>
        <v>5786928.152999663</v>
      </c>
      <c r="AH119" s="2">
        <f>AH118+AG119</f>
        <v>-38043908.56983665</v>
      </c>
      <c r="AI119" s="2">
        <v>39556261.7113246</v>
      </c>
      <c r="AJ119" s="2">
        <f>AH119-AI119</f>
        <v>-77600170.28116125</v>
      </c>
      <c r="AK119" s="3">
        <v>0.25</v>
      </c>
    </row>
    <row r="120" spans="1:37">
      <c r="A120" s="2">
        <v>119</v>
      </c>
      <c r="B120" s="2">
        <v>2036</v>
      </c>
      <c r="C120" s="2">
        <v>99</v>
      </c>
      <c r="D120" s="2">
        <v>456657.5666083974</v>
      </c>
      <c r="E120" s="2">
        <v>45209099.09423134</v>
      </c>
      <c r="F120" s="2">
        <f>E120/1.19</f>
        <v>37990839.57498433</v>
      </c>
      <c r="G120" s="2">
        <v>10</v>
      </c>
      <c r="H120" s="2">
        <v>1059265.307243048</v>
      </c>
      <c r="I120" s="2">
        <v>139</v>
      </c>
      <c r="J120" s="2">
        <v>14720074.41522393</v>
      </c>
      <c r="K120" s="2">
        <v>10484081.77774942</v>
      </c>
      <c r="L120" s="2">
        <v>3874216.768126092</v>
      </c>
      <c r="M120" s="2">
        <v>7354027.857357581</v>
      </c>
      <c r="N120" s="3">
        <v>1</v>
      </c>
      <c r="O120" s="3">
        <v>1.5</v>
      </c>
      <c r="P120" s="2">
        <v>221811.4412509716</v>
      </c>
      <c r="Q120" s="2">
        <v>567772.0509432959</v>
      </c>
      <c r="R120" s="2">
        <v>326193.2959573112</v>
      </c>
      <c r="S120" s="2">
        <v>365336.4914721886</v>
      </c>
      <c r="T120" s="2">
        <v>3539197.261136827</v>
      </c>
      <c r="U120" s="2">
        <f>M120+P120+Q120+R120+S120+T120</f>
        <v>12374338.398118176</v>
      </c>
      <c r="V120" s="2">
        <f>F120-K120-L120-U120</f>
        <v>11258202.63099064</v>
      </c>
      <c r="W120" s="2">
        <v>8117.445484346334</v>
      </c>
      <c r="X120" s="2">
        <v>425718.7935056807</v>
      </c>
      <c r="Y120" s="2">
        <f>W120+X120</f>
        <v>433836.23899002705</v>
      </c>
      <c r="Z120" s="2">
        <v>429758.35098562</v>
      </c>
      <c r="AA120" s="2">
        <v>0</v>
      </c>
      <c r="AB120" s="2">
        <v>0</v>
      </c>
      <c r="AC120" s="2">
        <v>0</v>
      </c>
      <c r="AD120" s="2">
        <v>-2189321.708550143</v>
      </c>
      <c r="AE120" s="2">
        <v>199029.2462318312</v>
      </c>
      <c r="AF120" s="2">
        <f>F120-H120-L120-U120-AA120-AC120-AD120</f>
        <v>22872340.810047153</v>
      </c>
      <c r="AG120" s="2">
        <f>F120-H120-L120-U120-AA120-AB120-AD120-Y120</f>
        <v>22438504.571057126</v>
      </c>
      <c r="AH120" s="2">
        <f>AH119+AG120</f>
        <v>-15605403.99877952</v>
      </c>
      <c r="AI120" s="2">
        <v>39556261.7113246</v>
      </c>
      <c r="AJ120" s="2">
        <f>AH120-AI120</f>
        <v>-55161665.71010412</v>
      </c>
      <c r="AK120" s="3">
        <v>0.25</v>
      </c>
    </row>
    <row r="121" spans="1:37">
      <c r="A121" s="2">
        <v>120</v>
      </c>
      <c r="B121" s="2">
        <v>2036</v>
      </c>
      <c r="C121" s="2">
        <v>120</v>
      </c>
      <c r="D121" s="2">
        <v>456657.5666083974</v>
      </c>
      <c r="E121" s="2">
        <v>54798907.99300769</v>
      </c>
      <c r="F121" s="2">
        <f>E121/1.19</f>
        <v>46049502.51513252</v>
      </c>
      <c r="G121" s="2">
        <v>20</v>
      </c>
      <c r="H121" s="2">
        <v>2118530.614486097</v>
      </c>
      <c r="I121" s="2">
        <v>39</v>
      </c>
      <c r="J121" s="2">
        <v>4130223.875211893</v>
      </c>
      <c r="K121" s="2">
        <v>12708381.15449814</v>
      </c>
      <c r="L121" s="2">
        <v>4696052.584367292</v>
      </c>
      <c r="M121" s="2">
        <v>7354027.857357581</v>
      </c>
      <c r="N121" s="3">
        <v>1</v>
      </c>
      <c r="O121" s="3">
        <v>1.5</v>
      </c>
      <c r="P121" s="2">
        <v>221811.4412509716</v>
      </c>
      <c r="Q121" s="2">
        <v>567772.0509432959</v>
      </c>
      <c r="R121" s="2">
        <v>326193.2959573112</v>
      </c>
      <c r="S121" s="2">
        <v>365336.4914721886</v>
      </c>
      <c r="T121" s="2">
        <v>3539197.261136827</v>
      </c>
      <c r="U121" s="2">
        <f>M121+P121+Q121+R121+S121+T121</f>
        <v>12374338.398118176</v>
      </c>
      <c r="V121" s="2">
        <f>F121-K121-L121-U121</f>
        <v>16270730.378148913</v>
      </c>
      <c r="W121" s="2">
        <v>4077.888004410412</v>
      </c>
      <c r="X121" s="2">
        <v>429758.3509856166</v>
      </c>
      <c r="Y121" s="2">
        <f>W121+X121</f>
        <v>433836.23899002705</v>
      </c>
      <c r="Z121" s="2">
        <v>3.37604433298111E-09</v>
      </c>
      <c r="AA121" s="2">
        <v>0</v>
      </c>
      <c r="AB121" s="2">
        <v>660092.4816558082</v>
      </c>
      <c r="AC121" s="2">
        <v>4590814.192713999</v>
      </c>
      <c r="AD121" s="2">
        <v>199029.2462318312</v>
      </c>
      <c r="AE121" s="2">
        <v>398058.4924636624</v>
      </c>
      <c r="AF121" s="2">
        <f>F121-H121-L121-U121-AA121-AC121-AD121</f>
        <v>22070737.479215123</v>
      </c>
      <c r="AG121" s="2">
        <f>F121-H121-L121-U121-AA121-AB121-AD121-Y121</f>
        <v>25567622.951283287</v>
      </c>
      <c r="AH121" s="2">
        <f>AH120+AG121</f>
        <v>9962218.952503767</v>
      </c>
      <c r="AI121" s="2">
        <v>39556261.7113246</v>
      </c>
      <c r="AJ121" s="2">
        <f>AH121-AI121</f>
        <v>-29594042.758820836</v>
      </c>
      <c r="AK121" s="3">
        <v>0.25</v>
      </c>
    </row>
    <row r="122" spans="1:37">
      <c r="A122" s="2">
        <v>121</v>
      </c>
      <c r="B122" s="2">
        <v>2037</v>
      </c>
      <c r="C122" s="2">
        <v>15</v>
      </c>
      <c r="D122" s="2">
        <v>470357.2936066493</v>
      </c>
      <c r="E122" s="2">
        <v>7055359.40409974</v>
      </c>
      <c r="F122" s="2">
        <f>E122/1.19</f>
        <v>5928873.448823311</v>
      </c>
      <c r="G122" s="2">
        <v>30</v>
      </c>
      <c r="H122" s="2">
        <v>3273129.79938102</v>
      </c>
      <c r="I122" s="2">
        <v>54</v>
      </c>
      <c r="J122" s="2">
        <v>5793928.962724888</v>
      </c>
      <c r="K122" s="2">
        <v>1609424.711868024</v>
      </c>
      <c r="L122" s="2">
        <v>602474.4212954</v>
      </c>
      <c r="M122" s="2">
        <v>7574648.693078309</v>
      </c>
      <c r="N122" s="3">
        <v>1</v>
      </c>
      <c r="O122" s="3">
        <v>1.5</v>
      </c>
      <c r="P122" s="2">
        <v>228465.7844885008</v>
      </c>
      <c r="Q122" s="2">
        <v>603956.0208772485</v>
      </c>
      <c r="R122" s="2">
        <v>335979.0948360306</v>
      </c>
      <c r="S122" s="2">
        <v>376296.5862163542</v>
      </c>
      <c r="T122" s="2">
        <v>3826801.890182388</v>
      </c>
      <c r="U122" s="2">
        <f>M122+P122+Q122+R122+S122+T122</f>
        <v>12946148.069678832</v>
      </c>
      <c r="V122" s="2">
        <f>F122-K122-L122-U122</f>
        <v>-9229173.754018944</v>
      </c>
      <c r="W122" s="2">
        <v>0</v>
      </c>
      <c r="X122" s="2">
        <v>0</v>
      </c>
      <c r="Y122" s="2">
        <f>W122+X122</f>
        <v>0</v>
      </c>
      <c r="Z122" s="2">
        <v>3.37604433298111E-09</v>
      </c>
      <c r="AA122" s="2">
        <v>0</v>
      </c>
      <c r="AB122" s="2">
        <v>0</v>
      </c>
      <c r="AC122" s="2">
        <v>0</v>
      </c>
      <c r="AD122" s="2">
        <v>216941.878392696</v>
      </c>
      <c r="AE122" s="2">
        <v>615000.3708563584</v>
      </c>
      <c r="AF122" s="2">
        <f>F122-H122-L122-U122-AA122-AC122-AD122</f>
        <v>-11109820.719924636</v>
      </c>
      <c r="AG122" s="2">
        <f>F122-H122-L122-U122-AA122-AB122-AD122-Y122</f>
        <v>-11109820.719924636</v>
      </c>
      <c r="AH122" s="2">
        <f>AH121+AG122</f>
        <v>-1147601.7674208693</v>
      </c>
      <c r="AI122" s="2">
        <v>39970182.0090365</v>
      </c>
      <c r="AJ122" s="2">
        <f>AH122-AI122</f>
        <v>-41117783.77645737</v>
      </c>
      <c r="AK122" s="3">
        <v>0.25</v>
      </c>
    </row>
    <row r="123" spans="1:37">
      <c r="A123" s="2">
        <v>122</v>
      </c>
      <c r="B123" s="2">
        <v>2037</v>
      </c>
      <c r="C123" s="2">
        <v>22</v>
      </c>
      <c r="D123" s="2">
        <v>470357.2936066493</v>
      </c>
      <c r="E123" s="2">
        <v>10347860.45934629</v>
      </c>
      <c r="F123" s="2">
        <f>E123/1.19</f>
        <v>8695681.058274189</v>
      </c>
      <c r="G123" s="2">
        <v>40</v>
      </c>
      <c r="H123" s="2">
        <v>4364173.065841359</v>
      </c>
      <c r="I123" s="2">
        <v>72</v>
      </c>
      <c r="J123" s="2">
        <v>7780673.894220955</v>
      </c>
      <c r="K123" s="2">
        <v>2377428.134345292</v>
      </c>
      <c r="L123" s="2">
        <v>884984.2357883619</v>
      </c>
      <c r="M123" s="2">
        <v>7574648.693078309</v>
      </c>
      <c r="N123" s="3">
        <v>1</v>
      </c>
      <c r="O123" s="3">
        <v>1.5</v>
      </c>
      <c r="P123" s="2">
        <v>228465.7844885008</v>
      </c>
      <c r="Q123" s="2">
        <v>603956.0208772485</v>
      </c>
      <c r="R123" s="2">
        <v>335979.0948360306</v>
      </c>
      <c r="S123" s="2">
        <v>376296.5862163542</v>
      </c>
      <c r="T123" s="2">
        <v>3826801.890182388</v>
      </c>
      <c r="U123" s="2">
        <f>M123+P123+Q123+R123+S123+T123</f>
        <v>12946148.069678832</v>
      </c>
      <c r="V123" s="2">
        <f>F123-K123-L123-U123</f>
        <v>-7512879.381538297</v>
      </c>
      <c r="W123" s="2">
        <v>0</v>
      </c>
      <c r="X123" s="2">
        <v>0</v>
      </c>
      <c r="Y123" s="2">
        <f>W123+X123</f>
        <v>0</v>
      </c>
      <c r="Z123" s="2">
        <v>3.37604433298111E-09</v>
      </c>
      <c r="AA123" s="2">
        <v>0</v>
      </c>
      <c r="AB123" s="2">
        <v>0</v>
      </c>
      <c r="AC123" s="2">
        <v>0</v>
      </c>
      <c r="AD123" s="2">
        <v>205000.1236187861</v>
      </c>
      <c r="AE123" s="2">
        <v>820000.4944751445</v>
      </c>
      <c r="AF123" s="2">
        <f>F123-H123-L123-U123-AA123-AC123-AD123</f>
        <v>-9704624.436653148</v>
      </c>
      <c r="AG123" s="2">
        <f>F123-H123-L123-U123-AA123-AB123-AD123-Y123</f>
        <v>-9704624.436653148</v>
      </c>
      <c r="AH123" s="2">
        <f>AH122+AG123</f>
        <v>-10852226.204074018</v>
      </c>
      <c r="AI123" s="2">
        <v>39970182.0090365</v>
      </c>
      <c r="AJ123" s="2">
        <f>AH123-AI123</f>
        <v>-50822408.213110514</v>
      </c>
      <c r="AK123" s="3">
        <v>0.25</v>
      </c>
    </row>
    <row r="124" spans="1:37">
      <c r="A124" s="2">
        <v>123</v>
      </c>
      <c r="B124" s="2">
        <v>2037</v>
      </c>
      <c r="C124" s="2">
        <v>30</v>
      </c>
      <c r="D124" s="2">
        <v>470357.2936066493</v>
      </c>
      <c r="E124" s="2">
        <v>14110718.80819948</v>
      </c>
      <c r="F124" s="2">
        <f>E124/1.19</f>
        <v>11857746.897646623</v>
      </c>
      <c r="G124" s="2">
        <v>40</v>
      </c>
      <c r="H124" s="2">
        <v>4364173.065841359</v>
      </c>
      <c r="I124" s="2">
        <v>82</v>
      </c>
      <c r="J124" s="2">
        <v>8891762.952902766</v>
      </c>
      <c r="K124" s="2">
        <v>3253084.007159548</v>
      </c>
      <c r="L124" s="2">
        <v>1207687.60926468</v>
      </c>
      <c r="M124" s="2">
        <v>7574648.693078309</v>
      </c>
      <c r="N124" s="3">
        <v>1</v>
      </c>
      <c r="O124" s="3">
        <v>1.5</v>
      </c>
      <c r="P124" s="2">
        <v>228465.7844885008</v>
      </c>
      <c r="Q124" s="2">
        <v>603956.0208772485</v>
      </c>
      <c r="R124" s="2">
        <v>335979.0948360306</v>
      </c>
      <c r="S124" s="2">
        <v>376296.5862163542</v>
      </c>
      <c r="T124" s="2">
        <v>3826801.890182388</v>
      </c>
      <c r="U124" s="2">
        <f>M124+P124+Q124+R124+S124+T124</f>
        <v>12946148.069678832</v>
      </c>
      <c r="V124" s="2">
        <f>F124-K124-L124-U124</f>
        <v>-5549172.788456437</v>
      </c>
      <c r="W124" s="2">
        <v>0</v>
      </c>
      <c r="X124" s="2">
        <v>0</v>
      </c>
      <c r="Y124" s="2">
        <f>W124+X124</f>
        <v>0</v>
      </c>
      <c r="Z124" s="2">
        <v>3.37604433298111E-09</v>
      </c>
      <c r="AA124" s="2">
        <v>0</v>
      </c>
      <c r="AB124" s="2">
        <v>0</v>
      </c>
      <c r="AC124" s="2">
        <v>0</v>
      </c>
      <c r="AD124" s="2">
        <v>0</v>
      </c>
      <c r="AE124" s="2">
        <v>820000.4944751445</v>
      </c>
      <c r="AF124" s="2">
        <f>F124-H124-L124-U124-AA124-AC124-AD124</f>
        <v>-6660261.847138248</v>
      </c>
      <c r="AG124" s="2">
        <f>F124-H124-L124-U124-AA124-AB124-AD124-Y124</f>
        <v>-6660261.847138248</v>
      </c>
      <c r="AH124" s="2">
        <f>AH123+AG124</f>
        <v>-17512488.051212266</v>
      </c>
      <c r="AI124" s="2">
        <v>39970182.0090365</v>
      </c>
      <c r="AJ124" s="2">
        <f>AH124-AI124</f>
        <v>-57482670.06024876</v>
      </c>
      <c r="AK124" s="3">
        <v>0.25</v>
      </c>
    </row>
    <row r="125" spans="1:37">
      <c r="A125" s="2">
        <v>124</v>
      </c>
      <c r="B125" s="2">
        <v>2037</v>
      </c>
      <c r="C125" s="2">
        <v>37</v>
      </c>
      <c r="D125" s="2">
        <v>470357.2936066493</v>
      </c>
      <c r="E125" s="2">
        <v>17403219.86344603</v>
      </c>
      <c r="F125" s="2">
        <f>E125/1.19</f>
        <v>14624554.507097503</v>
      </c>
      <c r="G125" s="2">
        <v>60</v>
      </c>
      <c r="H125" s="2">
        <v>6546259.598762039</v>
      </c>
      <c r="I125" s="2">
        <v>105</v>
      </c>
      <c r="J125" s="2">
        <v>11415439.21073806</v>
      </c>
      <c r="K125" s="2">
        <v>4022583.340926745</v>
      </c>
      <c r="L125" s="2">
        <v>1490317.096660836</v>
      </c>
      <c r="M125" s="2">
        <v>7574648.693078309</v>
      </c>
      <c r="N125" s="3">
        <v>1</v>
      </c>
      <c r="O125" s="3">
        <v>1.5</v>
      </c>
      <c r="P125" s="2">
        <v>228465.7844885008</v>
      </c>
      <c r="Q125" s="2">
        <v>603956.0208772485</v>
      </c>
      <c r="R125" s="2">
        <v>335979.0948360306</v>
      </c>
      <c r="S125" s="2">
        <v>376296.5862163542</v>
      </c>
      <c r="T125" s="2">
        <v>3826801.890182388</v>
      </c>
      <c r="U125" s="2">
        <f>M125+P125+Q125+R125+S125+T125</f>
        <v>12946148.069678832</v>
      </c>
      <c r="V125" s="2">
        <f>F125-K125-L125-U125</f>
        <v>-3834494.0001689103</v>
      </c>
      <c r="W125" s="2">
        <v>0</v>
      </c>
      <c r="X125" s="2">
        <v>0</v>
      </c>
      <c r="Y125" s="2">
        <f>W125+X125</f>
        <v>0</v>
      </c>
      <c r="Z125" s="2">
        <v>3.37604433298111E-09</v>
      </c>
      <c r="AA125" s="2">
        <v>0</v>
      </c>
      <c r="AB125" s="2">
        <v>0</v>
      </c>
      <c r="AC125" s="2">
        <v>0</v>
      </c>
      <c r="AD125" s="2">
        <v>410000.2472375723</v>
      </c>
      <c r="AE125" s="2">
        <v>1230000.741712717</v>
      </c>
      <c r="AF125" s="2">
        <f>F125-H125-L125-U125-AA125-AC125-AD125</f>
        <v>-6768170.505241776</v>
      </c>
      <c r="AG125" s="2">
        <f>F125-H125-L125-U125-AA125-AB125-AD125-Y125</f>
        <v>-6768170.505241776</v>
      </c>
      <c r="AH125" s="2">
        <f>AH124+AG125</f>
        <v>-24280658.55645404</v>
      </c>
      <c r="AI125" s="2">
        <v>39970182.0090365</v>
      </c>
      <c r="AJ125" s="2">
        <f>AH125-AI125</f>
        <v>-64250840.56549054</v>
      </c>
      <c r="AK125" s="3">
        <v>0.25</v>
      </c>
    </row>
    <row r="126" spans="1:37">
      <c r="A126" s="2">
        <v>125</v>
      </c>
      <c r="B126" s="2">
        <v>2037</v>
      </c>
      <c r="C126" s="2">
        <v>44</v>
      </c>
      <c r="D126" s="2">
        <v>470357.2936066493</v>
      </c>
      <c r="E126" s="2">
        <v>20695720.91869257</v>
      </c>
      <c r="F126" s="2">
        <f>E126/1.19</f>
        <v>17391362.116548378</v>
      </c>
      <c r="G126" s="2">
        <v>50</v>
      </c>
      <c r="H126" s="2">
        <v>5455216.3323017</v>
      </c>
      <c r="I126" s="2">
        <v>111</v>
      </c>
      <c r="J126" s="2">
        <v>12081566.22759621</v>
      </c>
      <c r="K126" s="2">
        <v>4789089.315443545</v>
      </c>
      <c r="L126" s="2">
        <v>1772707.11531696</v>
      </c>
      <c r="M126" s="2">
        <v>7574648.693078309</v>
      </c>
      <c r="N126" s="3">
        <v>1</v>
      </c>
      <c r="O126" s="3">
        <v>1.5</v>
      </c>
      <c r="P126" s="2">
        <v>228465.7844885008</v>
      </c>
      <c r="Q126" s="2">
        <v>603956.0208772485</v>
      </c>
      <c r="R126" s="2">
        <v>335979.0948360306</v>
      </c>
      <c r="S126" s="2">
        <v>376296.5862163542</v>
      </c>
      <c r="T126" s="2">
        <v>3826801.890182388</v>
      </c>
      <c r="U126" s="2">
        <f>M126+P126+Q126+R126+S126+T126</f>
        <v>12946148.069678832</v>
      </c>
      <c r="V126" s="2">
        <f>F126-K126-L126-U126</f>
        <v>-2116582.3838909604</v>
      </c>
      <c r="W126" s="2">
        <v>0</v>
      </c>
      <c r="X126" s="2">
        <v>0</v>
      </c>
      <c r="Y126" s="2">
        <f>W126+X126</f>
        <v>0</v>
      </c>
      <c r="Z126" s="2">
        <v>3.37604433298111E-09</v>
      </c>
      <c r="AA126" s="2">
        <v>0</v>
      </c>
      <c r="AB126" s="2">
        <v>0</v>
      </c>
      <c r="AC126" s="2">
        <v>0</v>
      </c>
      <c r="AD126" s="2">
        <v>-205000.1236187861</v>
      </c>
      <c r="AE126" s="2">
        <v>1025000.618093931</v>
      </c>
      <c r="AF126" s="2">
        <f>F126-H126-L126-U126-AA126-AC126-AD126</f>
        <v>-2577709.277130327</v>
      </c>
      <c r="AG126" s="2">
        <f>F126-H126-L126-U126-AA126-AB126-AD126-Y126</f>
        <v>-2577709.277130327</v>
      </c>
      <c r="AH126" s="2">
        <f>AH125+AG126</f>
        <v>-26858367.83358437</v>
      </c>
      <c r="AI126" s="2">
        <v>39970182.0090365</v>
      </c>
      <c r="AJ126" s="2">
        <f>AH126-AI126</f>
        <v>-66828549.842620865</v>
      </c>
      <c r="AK126" s="3">
        <v>0.25</v>
      </c>
    </row>
    <row r="127" spans="1:37">
      <c r="A127" s="2">
        <v>126</v>
      </c>
      <c r="B127" s="2">
        <v>2037</v>
      </c>
      <c r="C127" s="2">
        <v>52</v>
      </c>
      <c r="D127" s="2">
        <v>470357.2936066493</v>
      </c>
      <c r="E127" s="2">
        <v>24458579.26754577</v>
      </c>
      <c r="F127" s="2">
        <f>E127/1.19</f>
        <v>20553427.955920815</v>
      </c>
      <c r="G127" s="2">
        <v>80</v>
      </c>
      <c r="H127" s="2">
        <v>8728346.131682718</v>
      </c>
      <c r="I127" s="2">
        <v>139</v>
      </c>
      <c r="J127" s="2">
        <v>15144386.48136006</v>
      </c>
      <c r="K127" s="2">
        <v>5665525.877918872</v>
      </c>
      <c r="L127" s="2">
        <v>2095472.943966164</v>
      </c>
      <c r="M127" s="2">
        <v>7574648.693078309</v>
      </c>
      <c r="N127" s="3">
        <v>1</v>
      </c>
      <c r="O127" s="3">
        <v>1.5</v>
      </c>
      <c r="P127" s="2">
        <v>228465.7844885008</v>
      </c>
      <c r="Q127" s="2">
        <v>603956.0208772485</v>
      </c>
      <c r="R127" s="2">
        <v>335979.0948360306</v>
      </c>
      <c r="S127" s="2">
        <v>376296.5862163542</v>
      </c>
      <c r="T127" s="2">
        <v>3826801.890182388</v>
      </c>
      <c r="U127" s="2">
        <f>M127+P127+Q127+R127+S127+T127</f>
        <v>12946148.069678832</v>
      </c>
      <c r="V127" s="2">
        <f>F127-K127-L127-U127</f>
        <v>-153718.93564305454</v>
      </c>
      <c r="W127" s="2">
        <v>0</v>
      </c>
      <c r="X127" s="2">
        <v>0</v>
      </c>
      <c r="Y127" s="2">
        <f>W127+X127</f>
        <v>0</v>
      </c>
      <c r="Z127" s="2">
        <v>3.37604433298111E-09</v>
      </c>
      <c r="AA127" s="2">
        <v>0</v>
      </c>
      <c r="AB127" s="2">
        <v>0</v>
      </c>
      <c r="AC127" s="2">
        <v>0</v>
      </c>
      <c r="AD127" s="2">
        <v>615000.3708563583</v>
      </c>
      <c r="AE127" s="2">
        <v>1640000.988950289</v>
      </c>
      <c r="AF127" s="2">
        <f>F127-H127-L127-U127-AA127-AC127-AD127</f>
        <v>-3831539.560263256</v>
      </c>
      <c r="AG127" s="2">
        <f>F127-H127-L127-U127-AA127-AB127-AD127-Y127</f>
        <v>-3831539.560263256</v>
      </c>
      <c r="AH127" s="2">
        <f>AH126+AG127</f>
        <v>-30689907.393847626</v>
      </c>
      <c r="AI127" s="2">
        <v>39970182.0090365</v>
      </c>
      <c r="AJ127" s="2">
        <f>AH127-AI127</f>
        <v>-70660089.40288413</v>
      </c>
      <c r="AK127" s="3">
        <v>0.25</v>
      </c>
    </row>
    <row r="128" spans="1:37">
      <c r="A128" s="2">
        <v>127</v>
      </c>
      <c r="B128" s="2">
        <v>2037</v>
      </c>
      <c r="C128" s="2">
        <v>59</v>
      </c>
      <c r="D128" s="2">
        <v>470357.2936066493</v>
      </c>
      <c r="E128" s="2">
        <v>27751080.32279231</v>
      </c>
      <c r="F128" s="2">
        <f>E128/1.19</f>
        <v>23320235.565371692</v>
      </c>
      <c r="G128" s="2">
        <v>80</v>
      </c>
      <c r="H128" s="2">
        <v>8728346.131682718</v>
      </c>
      <c r="I128" s="2">
        <v>160</v>
      </c>
      <c r="J128" s="2">
        <v>17441265.83601299</v>
      </c>
      <c r="K128" s="2">
        <v>6431466.77702979</v>
      </c>
      <c r="L128" s="2">
        <v>2377817.756589818</v>
      </c>
      <c r="M128" s="2">
        <v>7574648.693078309</v>
      </c>
      <c r="N128" s="3">
        <v>1</v>
      </c>
      <c r="O128" s="3">
        <v>1.5</v>
      </c>
      <c r="P128" s="2">
        <v>228465.7844885008</v>
      </c>
      <c r="Q128" s="2">
        <v>603956.0208772485</v>
      </c>
      <c r="R128" s="2">
        <v>335979.0948360306</v>
      </c>
      <c r="S128" s="2">
        <v>376296.5862163542</v>
      </c>
      <c r="T128" s="2">
        <v>3826801.890182388</v>
      </c>
      <c r="U128" s="2">
        <f>M128+P128+Q128+R128+S128+T128</f>
        <v>12946148.069678832</v>
      </c>
      <c r="V128" s="2">
        <f>F128-K128-L128-U128</f>
        <v>1564802.9620732516</v>
      </c>
      <c r="W128" s="2">
        <v>0</v>
      </c>
      <c r="X128" s="2">
        <v>0</v>
      </c>
      <c r="Y128" s="2">
        <f>W128+X128</f>
        <v>0</v>
      </c>
      <c r="Z128" s="2">
        <v>3.37604433298111E-09</v>
      </c>
      <c r="AA128" s="2">
        <v>0</v>
      </c>
      <c r="AB128" s="2">
        <v>0</v>
      </c>
      <c r="AC128" s="2">
        <v>0</v>
      </c>
      <c r="AD128" s="2">
        <v>0</v>
      </c>
      <c r="AE128" s="2">
        <v>1640000.988950289</v>
      </c>
      <c r="AF128" s="2">
        <f>F128-H128-L128-U128-AA128-AC128-AD128</f>
        <v>-732076.3925796747</v>
      </c>
      <c r="AG128" s="2">
        <f>F128-H128-L128-U128-AA128-AB128-AD128-Y128</f>
        <v>-732076.3925796747</v>
      </c>
      <c r="AH128" s="2">
        <f>AH127+AG128</f>
        <v>-31421983.7864273</v>
      </c>
      <c r="AI128" s="2">
        <v>39970182.0090365</v>
      </c>
      <c r="AJ128" s="2">
        <f>AH128-AI128</f>
        <v>-71392165.7954638</v>
      </c>
      <c r="AK128" s="3">
        <v>0.25</v>
      </c>
    </row>
    <row r="129" spans="1:37">
      <c r="A129" s="2">
        <v>128</v>
      </c>
      <c r="B129" s="2">
        <v>2037</v>
      </c>
      <c r="C129" s="2">
        <v>74</v>
      </c>
      <c r="D129" s="2">
        <v>470357.2936066493</v>
      </c>
      <c r="E129" s="2">
        <v>34806439.72689205</v>
      </c>
      <c r="F129" s="2">
        <f>E129/1.19</f>
        <v>29249109.014195006</v>
      </c>
      <c r="G129" s="2">
        <v>100</v>
      </c>
      <c r="H129" s="2">
        <v>10910432.6646034</v>
      </c>
      <c r="I129" s="2">
        <v>186</v>
      </c>
      <c r="J129" s="2">
        <v>20282368.92736403</v>
      </c>
      <c r="K129" s="2">
        <v>8069329.573252357</v>
      </c>
      <c r="L129" s="2">
        <v>2982567.224633582</v>
      </c>
      <c r="M129" s="2">
        <v>7574648.693078309</v>
      </c>
      <c r="N129" s="3">
        <v>1</v>
      </c>
      <c r="O129" s="3">
        <v>1.5</v>
      </c>
      <c r="P129" s="2">
        <v>228465.7844885008</v>
      </c>
      <c r="Q129" s="2">
        <v>603956.0208772485</v>
      </c>
      <c r="R129" s="2">
        <v>335979.0948360306</v>
      </c>
      <c r="S129" s="2">
        <v>376296.5862163542</v>
      </c>
      <c r="T129" s="2">
        <v>3826801.890182388</v>
      </c>
      <c r="U129" s="2">
        <f>M129+P129+Q129+R129+S129+T129</f>
        <v>12946148.069678832</v>
      </c>
      <c r="V129" s="2">
        <f>F129-K129-L129-U129</f>
        <v>5251064.146630235</v>
      </c>
      <c r="W129" s="2">
        <v>0</v>
      </c>
      <c r="X129" s="2">
        <v>0</v>
      </c>
      <c r="Y129" s="2">
        <f>W129+X129</f>
        <v>0</v>
      </c>
      <c r="Z129" s="2">
        <v>3.37604433298111E-09</v>
      </c>
      <c r="AA129" s="2">
        <v>0</v>
      </c>
      <c r="AB129" s="2">
        <v>0</v>
      </c>
      <c r="AC129" s="2">
        <v>0</v>
      </c>
      <c r="AD129" s="2">
        <v>410000.2472375724</v>
      </c>
      <c r="AE129" s="2">
        <v>2050001.236187862</v>
      </c>
      <c r="AF129" s="2">
        <f>F129-H129-L129-U129-AA129-AC129-AD129</f>
        <v>1999960.8080416191</v>
      </c>
      <c r="AG129" s="2">
        <f>F129-H129-L129-U129-AA129-AB129-AD129-Y129</f>
        <v>1999960.8080416191</v>
      </c>
      <c r="AH129" s="2">
        <f>AH128+AG129</f>
        <v>-29422022.97838568</v>
      </c>
      <c r="AI129" s="2">
        <v>39970182.0090365</v>
      </c>
      <c r="AJ129" s="2">
        <f>AH129-AI129</f>
        <v>-69392204.98742217</v>
      </c>
      <c r="AK129" s="3">
        <v>0.25</v>
      </c>
    </row>
    <row r="130" spans="1:37">
      <c r="A130" s="2">
        <v>129</v>
      </c>
      <c r="B130" s="2">
        <v>2037</v>
      </c>
      <c r="C130" s="2">
        <v>81</v>
      </c>
      <c r="D130" s="2">
        <v>470357.2936066493</v>
      </c>
      <c r="E130" s="2">
        <v>38098940.78213859</v>
      </c>
      <c r="F130" s="2">
        <f>E130/1.19</f>
        <v>32015916.62364588</v>
      </c>
      <c r="G130" s="2">
        <v>100</v>
      </c>
      <c r="H130" s="2">
        <v>10910432.6646034</v>
      </c>
      <c r="I130" s="2">
        <v>205</v>
      </c>
      <c r="J130" s="2">
        <v>22358476.66557106</v>
      </c>
      <c r="K130" s="2">
        <v>8834324.926396372</v>
      </c>
      <c r="L130" s="2">
        <v>3264836.393579883</v>
      </c>
      <c r="M130" s="2">
        <v>7574648.693078309</v>
      </c>
      <c r="N130" s="3">
        <v>1</v>
      </c>
      <c r="O130" s="3">
        <v>1.5</v>
      </c>
      <c r="P130" s="2">
        <v>228465.7844885008</v>
      </c>
      <c r="Q130" s="2">
        <v>603956.0208772485</v>
      </c>
      <c r="R130" s="2">
        <v>335979.0948360306</v>
      </c>
      <c r="S130" s="2">
        <v>376296.5862163542</v>
      </c>
      <c r="T130" s="2">
        <v>3826801.890182388</v>
      </c>
      <c r="U130" s="2">
        <f>M130+P130+Q130+R130+S130+T130</f>
        <v>12946148.069678832</v>
      </c>
      <c r="V130" s="2">
        <f>F130-K130-L130-U130</f>
        <v>6970607.233990796</v>
      </c>
      <c r="W130" s="2">
        <v>0</v>
      </c>
      <c r="X130" s="2">
        <v>0</v>
      </c>
      <c r="Y130" s="2">
        <f>W130+X130</f>
        <v>0</v>
      </c>
      <c r="Z130" s="2">
        <v>3.37604433298111E-09</v>
      </c>
      <c r="AA130" s="2">
        <v>0</v>
      </c>
      <c r="AB130" s="2">
        <v>0</v>
      </c>
      <c r="AC130" s="2">
        <v>0</v>
      </c>
      <c r="AD130" s="2">
        <v>0</v>
      </c>
      <c r="AE130" s="2">
        <v>2050001.236187862</v>
      </c>
      <c r="AF130" s="2">
        <f>F130-H130-L130-U130-AA130-AC130-AD130</f>
        <v>4894499.495783769</v>
      </c>
      <c r="AG130" s="2">
        <f>F130-H130-L130-U130-AA130-AB130-AD130-Y130</f>
        <v>4894499.495783769</v>
      </c>
      <c r="AH130" s="2">
        <f>AH129+AG130</f>
        <v>-24527523.48260191</v>
      </c>
      <c r="AI130" s="2">
        <v>39970182.0090365</v>
      </c>
      <c r="AJ130" s="2">
        <f>AH130-AI130</f>
        <v>-64497705.49163841</v>
      </c>
      <c r="AK130" s="3">
        <v>0.25</v>
      </c>
    </row>
    <row r="131" spans="1:37">
      <c r="A131" s="2">
        <v>130</v>
      </c>
      <c r="B131" s="2">
        <v>2037</v>
      </c>
      <c r="C131" s="2">
        <v>96</v>
      </c>
      <c r="D131" s="2">
        <v>470357.2936066493</v>
      </c>
      <c r="E131" s="2">
        <v>45154300.18623833</v>
      </c>
      <c r="F131" s="2">
        <f>E131/1.19</f>
        <v>37944790.07246919</v>
      </c>
      <c r="G131" s="2">
        <v>130</v>
      </c>
      <c r="H131" s="2">
        <v>14183562.46398442</v>
      </c>
      <c r="I131" s="2">
        <v>239</v>
      </c>
      <c r="J131" s="2">
        <v>26070290.60287689</v>
      </c>
      <c r="K131" s="2">
        <v>10471748.52667858</v>
      </c>
      <c r="L131" s="2">
        <v>3869550.725948418</v>
      </c>
      <c r="M131" s="2">
        <v>7574648.693078309</v>
      </c>
      <c r="N131" s="3">
        <v>1</v>
      </c>
      <c r="O131" s="3">
        <v>1.5</v>
      </c>
      <c r="P131" s="2">
        <v>228465.7844885008</v>
      </c>
      <c r="Q131" s="2">
        <v>603956.0208772485</v>
      </c>
      <c r="R131" s="2">
        <v>335979.0948360306</v>
      </c>
      <c r="S131" s="2">
        <v>376296.5862163542</v>
      </c>
      <c r="T131" s="2">
        <v>3826801.890182388</v>
      </c>
      <c r="U131" s="2">
        <f>M131+P131+Q131+R131+S131+T131</f>
        <v>12946148.069678832</v>
      </c>
      <c r="V131" s="2">
        <f>F131-K131-L131-U131</f>
        <v>10657342.750163354</v>
      </c>
      <c r="W131" s="2">
        <v>0</v>
      </c>
      <c r="X131" s="2">
        <v>0</v>
      </c>
      <c r="Y131" s="2">
        <f>W131+X131</f>
        <v>0</v>
      </c>
      <c r="Z131" s="2">
        <v>3.37604433298111E-09</v>
      </c>
      <c r="AA131" s="2">
        <v>0</v>
      </c>
      <c r="AB131" s="2">
        <v>0</v>
      </c>
      <c r="AC131" s="2">
        <v>0</v>
      </c>
      <c r="AD131" s="2">
        <v>615000.370856358</v>
      </c>
      <c r="AE131" s="2">
        <v>2665001.60704422</v>
      </c>
      <c r="AF131" s="2">
        <f>F131-H131-L131-U131-AA131-AC131-AD131</f>
        <v>6330528.442001162</v>
      </c>
      <c r="AG131" s="2">
        <f>F131-H131-L131-U131-AA131-AB131-AD131-Y131</f>
        <v>6330528.442001162</v>
      </c>
      <c r="AH131" s="2">
        <f>AH130+AG131</f>
        <v>-18196995.040600747</v>
      </c>
      <c r="AI131" s="2">
        <v>39970182.0090365</v>
      </c>
      <c r="AJ131" s="2">
        <f>AH131-AI131</f>
        <v>-58167177.04963724</v>
      </c>
      <c r="AK131" s="3">
        <v>0.25</v>
      </c>
    </row>
    <row r="132" spans="1:37">
      <c r="A132" s="2">
        <v>131</v>
      </c>
      <c r="B132" s="2">
        <v>2037</v>
      </c>
      <c r="C132" s="2">
        <v>104</v>
      </c>
      <c r="D132" s="2">
        <v>470357.2936066493</v>
      </c>
      <c r="E132" s="2">
        <v>48917158.53509153</v>
      </c>
      <c r="F132" s="2">
        <f>E132/1.19</f>
        <v>41106855.91184163</v>
      </c>
      <c r="G132" s="2">
        <v>10</v>
      </c>
      <c r="H132" s="2">
        <v>1091043.26646034</v>
      </c>
      <c r="I132" s="2">
        <v>145</v>
      </c>
      <c r="J132" s="2">
        <v>15816841.00824859</v>
      </c>
      <c r="K132" s="2">
        <v>11344492.86108864</v>
      </c>
      <c r="L132" s="2">
        <v>4192021.1763524</v>
      </c>
      <c r="M132" s="2">
        <v>7574648.693078309</v>
      </c>
      <c r="N132" s="3">
        <v>1</v>
      </c>
      <c r="O132" s="3">
        <v>1.5</v>
      </c>
      <c r="P132" s="2">
        <v>228465.7844885008</v>
      </c>
      <c r="Q132" s="2">
        <v>603956.0208772485</v>
      </c>
      <c r="R132" s="2">
        <v>335979.0948360306</v>
      </c>
      <c r="S132" s="2">
        <v>376296.5862163542</v>
      </c>
      <c r="T132" s="2">
        <v>3826801.890182388</v>
      </c>
      <c r="U132" s="2">
        <f>M132+P132+Q132+R132+S132+T132</f>
        <v>12946148.069678832</v>
      </c>
      <c r="V132" s="2">
        <f>F132-K132-L132-U132</f>
        <v>12624193.804721754</v>
      </c>
      <c r="W132" s="2">
        <v>0</v>
      </c>
      <c r="X132" s="2">
        <v>0</v>
      </c>
      <c r="Y132" s="2">
        <f>W132+X132</f>
        <v>0</v>
      </c>
      <c r="Z132" s="2">
        <v>3.37604433298111E-09</v>
      </c>
      <c r="AA132" s="2">
        <v>0</v>
      </c>
      <c r="AB132" s="2">
        <v>0</v>
      </c>
      <c r="AC132" s="2">
        <v>0</v>
      </c>
      <c r="AD132" s="2">
        <v>-2460001.483425433</v>
      </c>
      <c r="AE132" s="2">
        <v>205000.1236187861</v>
      </c>
      <c r="AF132" s="2">
        <f>F132-H132-L132-U132-AA132-AC132-AD132</f>
        <v>25337644.882775493</v>
      </c>
      <c r="AG132" s="2">
        <f>F132-H132-L132-U132-AA132-AB132-AD132-Y132</f>
        <v>25337644.882775493</v>
      </c>
      <c r="AH132" s="2">
        <f>AH131+AG132</f>
        <v>7140649.842174746</v>
      </c>
      <c r="AI132" s="2">
        <v>39970182.0090365</v>
      </c>
      <c r="AJ132" s="2">
        <f>AH132-AI132</f>
        <v>-32829532.16686175</v>
      </c>
      <c r="AK132" s="3">
        <v>0.25</v>
      </c>
    </row>
    <row r="133" spans="1:37">
      <c r="A133" s="2">
        <v>132</v>
      </c>
      <c r="B133" s="2">
        <v>2037</v>
      </c>
      <c r="C133" s="2">
        <v>126</v>
      </c>
      <c r="D133" s="2">
        <v>470357.2936066493</v>
      </c>
      <c r="E133" s="2">
        <v>59265018.99443781</v>
      </c>
      <c r="F133" s="2">
        <f>E133/1.19</f>
        <v>49802536.97011581</v>
      </c>
      <c r="G133" s="2">
        <v>20</v>
      </c>
      <c r="H133" s="2">
        <v>2182086.53292068</v>
      </c>
      <c r="I133" s="2">
        <v>39</v>
      </c>
      <c r="J133" s="2">
        <v>4254291.964276372</v>
      </c>
      <c r="K133" s="2">
        <v>13744635.5768929</v>
      </c>
      <c r="L133" s="2">
        <v>5078822.578657479</v>
      </c>
      <c r="M133" s="2">
        <v>7574648.693078309</v>
      </c>
      <c r="N133" s="3">
        <v>1</v>
      </c>
      <c r="O133" s="3">
        <v>1.5</v>
      </c>
      <c r="P133" s="2">
        <v>228465.7844885008</v>
      </c>
      <c r="Q133" s="2">
        <v>603956.0208772485</v>
      </c>
      <c r="R133" s="2">
        <v>335979.0948360306</v>
      </c>
      <c r="S133" s="2">
        <v>376296.5862163542</v>
      </c>
      <c r="T133" s="2">
        <v>3826801.890182388</v>
      </c>
      <c r="U133" s="2">
        <f>M133+P133+Q133+R133+S133+T133</f>
        <v>12946148.069678832</v>
      </c>
      <c r="V133" s="2">
        <f>F133-K133-L133-U133</f>
        <v>18032930.744886603</v>
      </c>
      <c r="W133" s="2">
        <v>0</v>
      </c>
      <c r="X133" s="2">
        <v>0</v>
      </c>
      <c r="Y133" s="2">
        <f>W133+X133</f>
        <v>0</v>
      </c>
      <c r="Z133" s="2">
        <v>3.37604433298111E-09</v>
      </c>
      <c r="AA133" s="2">
        <v>0</v>
      </c>
      <c r="AB133" s="2">
        <v>6645213.07742123</v>
      </c>
      <c r="AC133" s="2">
        <v>6645213.07742123</v>
      </c>
      <c r="AD133" s="2">
        <v>205000.1236187861</v>
      </c>
      <c r="AE133" s="2">
        <v>410000.2472375723</v>
      </c>
      <c r="AF133" s="2">
        <f>F133-H133-L133-U133-AA133-AC133-AD133</f>
        <v>22745266.587818805</v>
      </c>
      <c r="AG133" s="2">
        <f>F133-H133-L133-U133-AA133-AB133-AD133-Y133</f>
        <v>22745266.587818805</v>
      </c>
      <c r="AH133" s="2">
        <f>AH132+AG133</f>
        <v>29885916.42999355</v>
      </c>
      <c r="AI133" s="2">
        <v>39970182.0090365</v>
      </c>
      <c r="AJ133" s="2">
        <f>AH133-AI133</f>
        <v>-10084265.579042945</v>
      </c>
      <c r="AK133" s="3">
        <v>0.25</v>
      </c>
    </row>
    <row r="134" spans="1:37">
      <c r="A134" s="2">
        <v>133</v>
      </c>
      <c r="B134" s="2">
        <v>2038</v>
      </c>
      <c r="C134" s="2">
        <v>16</v>
      </c>
      <c r="D134" s="2">
        <v>484468.0124148488</v>
      </c>
      <c r="E134" s="2">
        <v>7751488.198637581</v>
      </c>
      <c r="F134" s="2">
        <f>E134/1.19</f>
        <v>6513855.629107212</v>
      </c>
      <c r="G134" s="2">
        <v>40</v>
      </c>
      <c r="H134" s="2">
        <v>4495098.257816601</v>
      </c>
      <c r="I134" s="2">
        <v>63</v>
      </c>
      <c r="J134" s="2">
        <v>6977361.822681737</v>
      </c>
      <c r="K134" s="2">
        <v>1772028.399411235</v>
      </c>
      <c r="L134" s="2">
        <v>662223.1334743246</v>
      </c>
      <c r="M134" s="2">
        <v>8502656.550924908</v>
      </c>
      <c r="N134" s="3">
        <v>1</v>
      </c>
      <c r="O134" s="3">
        <v>2</v>
      </c>
      <c r="P134" s="2">
        <v>249162.0967304003</v>
      </c>
      <c r="Q134" s="2">
        <v>642768.9978708965</v>
      </c>
      <c r="R134" s="2">
        <v>346058.4676811115</v>
      </c>
      <c r="S134" s="2">
        <v>387585.4838028449</v>
      </c>
      <c r="T134" s="2">
        <v>4138859.273466093</v>
      </c>
      <c r="U134" s="2">
        <f>M134+P134+Q134+R134+S134+T134</f>
        <v>14267090.870476255</v>
      </c>
      <c r="V134" s="2">
        <f>F134-K134-L134-U134</f>
        <v>-10187486.774254603</v>
      </c>
      <c r="W134" s="2">
        <v>0</v>
      </c>
      <c r="X134" s="2">
        <v>0</v>
      </c>
      <c r="Y134" s="2">
        <f>W134+X134</f>
        <v>0</v>
      </c>
      <c r="Z134" s="2">
        <v>3.37604433298111E-09</v>
      </c>
      <c r="AA134" s="2">
        <v>0</v>
      </c>
      <c r="AB134" s="2">
        <v>0</v>
      </c>
      <c r="AC134" s="2">
        <v>0</v>
      </c>
      <c r="AD134" s="2">
        <v>434600.2620718267</v>
      </c>
      <c r="AE134" s="2">
        <v>844600.5093093989</v>
      </c>
      <c r="AF134" s="2">
        <f>F134-H134-L134-U134-AA134-AC134-AD134</f>
        <v>-13345156.894731795</v>
      </c>
      <c r="AG134" s="2">
        <f>F134-H134-L134-U134-AA134-AB134-AD134-Y134</f>
        <v>-13345156.894731795</v>
      </c>
      <c r="AH134" s="2">
        <f>AH133+AG134</f>
        <v>16540759.535261756</v>
      </c>
      <c r="AI134" s="2">
        <v>43933010.41142876</v>
      </c>
      <c r="AJ134" s="2">
        <f>AH134-AI134</f>
        <v>-27392250.876167007</v>
      </c>
      <c r="AK134" s="3">
        <v>0.25</v>
      </c>
    </row>
    <row r="135" spans="1:37">
      <c r="A135" s="2">
        <v>134</v>
      </c>
      <c r="B135" s="2">
        <v>2038</v>
      </c>
      <c r="C135" s="2">
        <v>23</v>
      </c>
      <c r="D135" s="2">
        <v>484468.0124148488</v>
      </c>
      <c r="E135" s="2">
        <v>11142764.28554152</v>
      </c>
      <c r="F135" s="2">
        <f>E135/1.19</f>
        <v>9363667.466841616</v>
      </c>
      <c r="G135" s="2">
        <v>30</v>
      </c>
      <c r="H135" s="2">
        <v>3371323.69336245</v>
      </c>
      <c r="I135" s="2">
        <v>70</v>
      </c>
      <c r="J135" s="2">
        <v>7789333.18411928</v>
      </c>
      <c r="K135" s="2">
        <v>2559352.331924906</v>
      </c>
      <c r="L135" s="2">
        <v>952910.6749910422</v>
      </c>
      <c r="M135" s="2">
        <v>8502656.550924908</v>
      </c>
      <c r="N135" s="3">
        <v>1</v>
      </c>
      <c r="O135" s="3">
        <v>2</v>
      </c>
      <c r="P135" s="2">
        <v>249162.0967304003</v>
      </c>
      <c r="Q135" s="2">
        <v>642768.9978708965</v>
      </c>
      <c r="R135" s="2">
        <v>346058.4676811115</v>
      </c>
      <c r="S135" s="2">
        <v>387585.4838028449</v>
      </c>
      <c r="T135" s="2">
        <v>4138859.273466093</v>
      </c>
      <c r="U135" s="2">
        <f>M135+P135+Q135+R135+S135+T135</f>
        <v>14267090.870476255</v>
      </c>
      <c r="V135" s="2">
        <f>F135-K135-L135-U135</f>
        <v>-8415686.410550587</v>
      </c>
      <c r="W135" s="2">
        <v>0</v>
      </c>
      <c r="X135" s="2">
        <v>0</v>
      </c>
      <c r="Y135" s="2">
        <f>W135+X135</f>
        <v>0</v>
      </c>
      <c r="Z135" s="2">
        <v>3.37604433298111E-09</v>
      </c>
      <c r="AA135" s="2">
        <v>0</v>
      </c>
      <c r="AB135" s="2">
        <v>0</v>
      </c>
      <c r="AC135" s="2">
        <v>0</v>
      </c>
      <c r="AD135" s="2">
        <v>-211150.1273273497</v>
      </c>
      <c r="AE135" s="2">
        <v>633450.3819820492</v>
      </c>
      <c r="AF135" s="2">
        <f>F135-H135-L135-U135-AA135-AC135-AD135</f>
        <v>-9016507.644660782</v>
      </c>
      <c r="AG135" s="2">
        <f>F135-H135-L135-U135-AA135-AB135-AD135-Y135</f>
        <v>-9016507.644660782</v>
      </c>
      <c r="AH135" s="2">
        <f>AH134+AG135</f>
        <v>7524251.890600974</v>
      </c>
      <c r="AI135" s="2">
        <v>43933010.41142876</v>
      </c>
      <c r="AJ135" s="2">
        <f>AH135-AI135</f>
        <v>-36408758.52082779</v>
      </c>
      <c r="AK135" s="3">
        <v>0.25</v>
      </c>
    </row>
    <row r="136" spans="1:37">
      <c r="A136" s="2">
        <v>135</v>
      </c>
      <c r="B136" s="2">
        <v>2038</v>
      </c>
      <c r="C136" s="2">
        <v>31</v>
      </c>
      <c r="D136" s="2">
        <v>484468.0124148488</v>
      </c>
      <c r="E136" s="2">
        <v>15018508.38486031</v>
      </c>
      <c r="F136" s="2">
        <f>E136/1.19</f>
        <v>12620595.281395223</v>
      </c>
      <c r="G136" s="2">
        <v>50</v>
      </c>
      <c r="H136" s="2">
        <v>5618872.822270751</v>
      </c>
      <c r="I136" s="2">
        <v>89</v>
      </c>
      <c r="J136" s="2">
        <v>9944419.454739273</v>
      </c>
      <c r="K136" s="2">
        <v>3463786.551650758</v>
      </c>
      <c r="L136" s="2">
        <v>1285495.843329824</v>
      </c>
      <c r="M136" s="2">
        <v>8502656.550924908</v>
      </c>
      <c r="N136" s="3">
        <v>1</v>
      </c>
      <c r="O136" s="3">
        <v>2</v>
      </c>
      <c r="P136" s="2">
        <v>249162.0967304003</v>
      </c>
      <c r="Q136" s="2">
        <v>642768.9978708965</v>
      </c>
      <c r="R136" s="2">
        <v>346058.4676811115</v>
      </c>
      <c r="S136" s="2">
        <v>387585.4838028449</v>
      </c>
      <c r="T136" s="2">
        <v>4138859.273466093</v>
      </c>
      <c r="U136" s="2">
        <f>M136+P136+Q136+R136+S136+T136</f>
        <v>14267090.870476255</v>
      </c>
      <c r="V136" s="2">
        <f>F136-K136-L136-U136</f>
        <v>-6395777.984061615</v>
      </c>
      <c r="W136" s="2">
        <v>0</v>
      </c>
      <c r="X136" s="2">
        <v>0</v>
      </c>
      <c r="Y136" s="2">
        <f>W136+X136</f>
        <v>0</v>
      </c>
      <c r="Z136" s="2">
        <v>3.37604433298111E-09</v>
      </c>
      <c r="AA136" s="2">
        <v>0</v>
      </c>
      <c r="AB136" s="2">
        <v>0</v>
      </c>
      <c r="AC136" s="2">
        <v>0</v>
      </c>
      <c r="AD136" s="2">
        <v>422300.2546546995</v>
      </c>
      <c r="AE136" s="2">
        <v>1055750.636636749</v>
      </c>
      <c r="AF136" s="2">
        <f>F136-H136-L136-U136-AA136-AC136-AD136</f>
        <v>-8973164.509336306</v>
      </c>
      <c r="AG136" s="2">
        <f>F136-H136-L136-U136-AA136-AB136-AD136-Y136</f>
        <v>-8973164.509336306</v>
      </c>
      <c r="AH136" s="2">
        <f>AH135+AG136</f>
        <v>-1448912.618735332</v>
      </c>
      <c r="AI136" s="2">
        <v>43933010.41142876</v>
      </c>
      <c r="AJ136" s="2">
        <f>AH136-AI136</f>
        <v>-45381923.03016409</v>
      </c>
      <c r="AK136" s="3">
        <v>0.25</v>
      </c>
    </row>
    <row r="137" spans="1:37">
      <c r="A137" s="2">
        <v>136</v>
      </c>
      <c r="B137" s="2">
        <v>2038</v>
      </c>
      <c r="C137" s="2">
        <v>39</v>
      </c>
      <c r="D137" s="2">
        <v>484468.0124148488</v>
      </c>
      <c r="E137" s="2">
        <v>18894252.48417911</v>
      </c>
      <c r="F137" s="2">
        <f>E137/1.19</f>
        <v>15877523.095948828</v>
      </c>
      <c r="G137" s="2">
        <v>60</v>
      </c>
      <c r="H137" s="2">
        <v>6742647.3867249</v>
      </c>
      <c r="I137" s="2">
        <v>110</v>
      </c>
      <c r="J137" s="2">
        <v>12319311.09101382</v>
      </c>
      <c r="K137" s="2">
        <v>4367755.750450354</v>
      </c>
      <c r="L137" s="2">
        <v>1618043.809994504</v>
      </c>
      <c r="M137" s="2">
        <v>8502656.550924908</v>
      </c>
      <c r="N137" s="3">
        <v>1</v>
      </c>
      <c r="O137" s="3">
        <v>2</v>
      </c>
      <c r="P137" s="2">
        <v>249162.0967304003</v>
      </c>
      <c r="Q137" s="2">
        <v>642768.9978708965</v>
      </c>
      <c r="R137" s="2">
        <v>346058.4676811115</v>
      </c>
      <c r="S137" s="2">
        <v>387585.4838028449</v>
      </c>
      <c r="T137" s="2">
        <v>4138859.273466093</v>
      </c>
      <c r="U137" s="2">
        <f>M137+P137+Q137+R137+S137+T137</f>
        <v>14267090.870476255</v>
      </c>
      <c r="V137" s="2">
        <f>F137-K137-L137-U137</f>
        <v>-4375367.334972285</v>
      </c>
      <c r="W137" s="2">
        <v>0</v>
      </c>
      <c r="X137" s="2">
        <v>0</v>
      </c>
      <c r="Y137" s="2">
        <f>W137+X137</f>
        <v>0</v>
      </c>
      <c r="Z137" s="2">
        <v>3.37604433298111E-09</v>
      </c>
      <c r="AA137" s="2">
        <v>0</v>
      </c>
      <c r="AB137" s="2">
        <v>0</v>
      </c>
      <c r="AC137" s="2">
        <v>0</v>
      </c>
      <c r="AD137" s="2">
        <v>211150.1273273497</v>
      </c>
      <c r="AE137" s="2">
        <v>1266900.763964098</v>
      </c>
      <c r="AF137" s="2">
        <f>F137-H137-L137-U137-AA137-AC137-AD137</f>
        <v>-6961409.098574181</v>
      </c>
      <c r="AG137" s="2">
        <f>F137-H137-L137-U137-AA137-AB137-AD137-Y137</f>
        <v>-6961409.098574181</v>
      </c>
      <c r="AH137" s="2">
        <f>AH136+AG137</f>
        <v>-8410321.717309512</v>
      </c>
      <c r="AI137" s="2">
        <v>43933010.41142876</v>
      </c>
      <c r="AJ137" s="2">
        <f>AH137-AI137</f>
        <v>-52343332.12873828</v>
      </c>
      <c r="AK137" s="3">
        <v>0.25</v>
      </c>
    </row>
    <row r="138" spans="1:37">
      <c r="A138" s="2">
        <v>137</v>
      </c>
      <c r="B138" s="2">
        <v>2038</v>
      </c>
      <c r="C138" s="2">
        <v>47</v>
      </c>
      <c r="D138" s="2">
        <v>484468.0124148488</v>
      </c>
      <c r="E138" s="2">
        <v>22769996.5834979</v>
      </c>
      <c r="F138" s="2">
        <f>E138/1.19</f>
        <v>19134450.910502434</v>
      </c>
      <c r="G138" s="2">
        <v>60</v>
      </c>
      <c r="H138" s="2">
        <v>6742647.3867249</v>
      </c>
      <c r="I138" s="2">
        <v>123</v>
      </c>
      <c r="J138" s="2">
        <v>13791887.60448154</v>
      </c>
      <c r="K138" s="2">
        <v>5270070.873257175</v>
      </c>
      <c r="L138" s="2">
        <v>1950459.450579762</v>
      </c>
      <c r="M138" s="2">
        <v>8502656.550924908</v>
      </c>
      <c r="N138" s="3">
        <v>1</v>
      </c>
      <c r="O138" s="3">
        <v>2</v>
      </c>
      <c r="P138" s="2">
        <v>249162.0967304003</v>
      </c>
      <c r="Q138" s="2">
        <v>642768.9978708965</v>
      </c>
      <c r="R138" s="2">
        <v>346058.4676811115</v>
      </c>
      <c r="S138" s="2">
        <v>387585.4838028449</v>
      </c>
      <c r="T138" s="2">
        <v>4138859.273466093</v>
      </c>
      <c r="U138" s="2">
        <f>M138+P138+Q138+R138+S138+T138</f>
        <v>14267090.870476255</v>
      </c>
      <c r="V138" s="2">
        <f>F138-K138-L138-U138</f>
        <v>-2353170.283810759</v>
      </c>
      <c r="W138" s="2">
        <v>0</v>
      </c>
      <c r="X138" s="2">
        <v>0</v>
      </c>
      <c r="Y138" s="2">
        <f>W138+X138</f>
        <v>0</v>
      </c>
      <c r="Z138" s="2">
        <v>3.37604433298111E-09</v>
      </c>
      <c r="AA138" s="2">
        <v>0</v>
      </c>
      <c r="AB138" s="2">
        <v>0</v>
      </c>
      <c r="AC138" s="2">
        <v>0</v>
      </c>
      <c r="AD138" s="2">
        <v>0</v>
      </c>
      <c r="AE138" s="2">
        <v>1266900.763964098</v>
      </c>
      <c r="AF138" s="2">
        <f>F138-H138-L138-U138-AA138-AC138-AD138</f>
        <v>-3825746.7972784843</v>
      </c>
      <c r="AG138" s="2">
        <f>F138-H138-L138-U138-AA138-AB138-AD138-Y138</f>
        <v>-3825746.7972784843</v>
      </c>
      <c r="AH138" s="2">
        <f>AH137+AG138</f>
        <v>-12236068.514587997</v>
      </c>
      <c r="AI138" s="2">
        <v>43933010.41142876</v>
      </c>
      <c r="AJ138" s="2">
        <f>AH138-AI138</f>
        <v>-56169078.92601676</v>
      </c>
      <c r="AK138" s="3">
        <v>0.25</v>
      </c>
    </row>
    <row r="139" spans="1:37">
      <c r="A139" s="2">
        <v>138</v>
      </c>
      <c r="B139" s="2">
        <v>2038</v>
      </c>
      <c r="C139" s="2">
        <v>54</v>
      </c>
      <c r="D139" s="2">
        <v>484468.0124148488</v>
      </c>
      <c r="E139" s="2">
        <v>26161272.67040184</v>
      </c>
      <c r="F139" s="2">
        <f>E139/1.19</f>
        <v>21984262.74823684</v>
      </c>
      <c r="G139" s="2">
        <v>80</v>
      </c>
      <c r="H139" s="2">
        <v>8990196.515633201</v>
      </c>
      <c r="I139" s="2">
        <v>149</v>
      </c>
      <c r="J139" s="2">
        <v>16721825.29013348</v>
      </c>
      <c r="K139" s="2">
        <v>6060258.829981262</v>
      </c>
      <c r="L139" s="2">
        <v>2241376.114033313</v>
      </c>
      <c r="M139" s="2">
        <v>8502656.550924908</v>
      </c>
      <c r="N139" s="3">
        <v>1</v>
      </c>
      <c r="O139" s="3">
        <v>2</v>
      </c>
      <c r="P139" s="2">
        <v>249162.0967304003</v>
      </c>
      <c r="Q139" s="2">
        <v>642768.9978708965</v>
      </c>
      <c r="R139" s="2">
        <v>346058.4676811115</v>
      </c>
      <c r="S139" s="2">
        <v>387585.4838028449</v>
      </c>
      <c r="T139" s="2">
        <v>4138859.273466093</v>
      </c>
      <c r="U139" s="2">
        <f>M139+P139+Q139+R139+S139+T139</f>
        <v>14267090.870476255</v>
      </c>
      <c r="V139" s="2">
        <f>F139-K139-L139-U139</f>
        <v>-584463.0662539918</v>
      </c>
      <c r="W139" s="2">
        <v>0</v>
      </c>
      <c r="X139" s="2">
        <v>0</v>
      </c>
      <c r="Y139" s="2">
        <f>W139+X139</f>
        <v>0</v>
      </c>
      <c r="Z139" s="2">
        <v>3.37604433298111E-09</v>
      </c>
      <c r="AA139" s="2">
        <v>0</v>
      </c>
      <c r="AB139" s="2">
        <v>0</v>
      </c>
      <c r="AC139" s="2">
        <v>0</v>
      </c>
      <c r="AD139" s="2">
        <v>422300.2546546995</v>
      </c>
      <c r="AE139" s="2">
        <v>1689201.018618798</v>
      </c>
      <c r="AF139" s="2">
        <f>F139-H139-L139-U139-AA139-AC139-AD139</f>
        <v>-3936701.0065606306</v>
      </c>
      <c r="AG139" s="2">
        <f>F139-H139-L139-U139-AA139-AB139-AD139-Y139</f>
        <v>-3936701.0065606306</v>
      </c>
      <c r="AH139" s="2">
        <f>AH138+AG139</f>
        <v>-16172769.521148628</v>
      </c>
      <c r="AI139" s="2">
        <v>43933010.41142876</v>
      </c>
      <c r="AJ139" s="2">
        <f>AH139-AI139</f>
        <v>-60105779.932577394</v>
      </c>
      <c r="AK139" s="3">
        <v>0.25</v>
      </c>
    </row>
    <row r="140" spans="1:37">
      <c r="A140" s="2">
        <v>139</v>
      </c>
      <c r="B140" s="2">
        <v>2038</v>
      </c>
      <c r="C140" s="2">
        <v>62</v>
      </c>
      <c r="D140" s="2">
        <v>484468.0124148488</v>
      </c>
      <c r="E140" s="2">
        <v>30037016.76972063</v>
      </c>
      <c r="F140" s="2">
        <f>E140/1.19</f>
        <v>25241190.562790446</v>
      </c>
      <c r="G140" s="2">
        <v>80</v>
      </c>
      <c r="H140" s="2">
        <v>8990196.515633201</v>
      </c>
      <c r="I140" s="2">
        <v>167</v>
      </c>
      <c r="J140" s="2">
        <v>18750688.39110496</v>
      </c>
      <c r="K140" s="2">
        <v>6961333.414661723</v>
      </c>
      <c r="L140" s="2">
        <v>2573692.511568463</v>
      </c>
      <c r="M140" s="2">
        <v>8502656.550924908</v>
      </c>
      <c r="N140" s="3">
        <v>1</v>
      </c>
      <c r="O140" s="3">
        <v>2</v>
      </c>
      <c r="P140" s="2">
        <v>249162.0967304003</v>
      </c>
      <c r="Q140" s="2">
        <v>642768.9978708965</v>
      </c>
      <c r="R140" s="2">
        <v>346058.4676811115</v>
      </c>
      <c r="S140" s="2">
        <v>387585.4838028449</v>
      </c>
      <c r="T140" s="2">
        <v>4138859.273466093</v>
      </c>
      <c r="U140" s="2">
        <f>M140+P140+Q140+R140+S140+T140</f>
        <v>14267090.870476255</v>
      </c>
      <c r="V140" s="2">
        <f>F140-K140-L140-U140</f>
        <v>1439073.7660840023</v>
      </c>
      <c r="W140" s="2">
        <v>0</v>
      </c>
      <c r="X140" s="2">
        <v>0</v>
      </c>
      <c r="Y140" s="2">
        <f>W140+X140</f>
        <v>0</v>
      </c>
      <c r="Z140" s="2">
        <v>3.37604433298111E-09</v>
      </c>
      <c r="AA140" s="2">
        <v>0</v>
      </c>
      <c r="AB140" s="2">
        <v>0</v>
      </c>
      <c r="AC140" s="2">
        <v>0</v>
      </c>
      <c r="AD140" s="2">
        <v>0</v>
      </c>
      <c r="AE140" s="2">
        <v>1689201.018618798</v>
      </c>
      <c r="AF140" s="2">
        <f>F140-H140-L140-U140-AA140-AC140-AD140</f>
        <v>-589789.3348874729</v>
      </c>
      <c r="AG140" s="2">
        <f>F140-H140-L140-U140-AA140-AB140-AD140-Y140</f>
        <v>-589789.3348874729</v>
      </c>
      <c r="AH140" s="2">
        <f>AH139+AG140</f>
        <v>-16762558.8560361</v>
      </c>
      <c r="AI140" s="2">
        <v>43933010.41142876</v>
      </c>
      <c r="AJ140" s="2">
        <f>AH140-AI140</f>
        <v>-60695569.26746486</v>
      </c>
      <c r="AK140" s="3">
        <v>0.25</v>
      </c>
    </row>
    <row r="141" spans="1:37">
      <c r="A141" s="2">
        <v>140</v>
      </c>
      <c r="B141" s="2">
        <v>2038</v>
      </c>
      <c r="C141" s="2">
        <v>78</v>
      </c>
      <c r="D141" s="2">
        <v>484468.0124148488</v>
      </c>
      <c r="E141" s="2">
        <v>37788504.96835821</v>
      </c>
      <c r="F141" s="2">
        <f>E141/1.19</f>
        <v>31755046.191897657</v>
      </c>
      <c r="G141" s="2">
        <v>100</v>
      </c>
      <c r="H141" s="2">
        <v>11237745.6445415</v>
      </c>
      <c r="I141" s="2">
        <v>189</v>
      </c>
      <c r="J141" s="2">
        <v>21227767.91287334</v>
      </c>
      <c r="K141" s="2">
        <v>8760666.122773124</v>
      </c>
      <c r="L141" s="2">
        <v>3238099.989738801</v>
      </c>
      <c r="M141" s="2">
        <v>8502656.550924908</v>
      </c>
      <c r="N141" s="3">
        <v>1</v>
      </c>
      <c r="O141" s="3">
        <v>2</v>
      </c>
      <c r="P141" s="2">
        <v>249162.0967304003</v>
      </c>
      <c r="Q141" s="2">
        <v>642768.9978708965</v>
      </c>
      <c r="R141" s="2">
        <v>346058.4676811115</v>
      </c>
      <c r="S141" s="2">
        <v>387585.4838028449</v>
      </c>
      <c r="T141" s="2">
        <v>4138859.273466093</v>
      </c>
      <c r="U141" s="2">
        <f>M141+P141+Q141+R141+S141+T141</f>
        <v>14267090.870476255</v>
      </c>
      <c r="V141" s="2">
        <f>F141-K141-L141-U141</f>
        <v>5489189.20890948</v>
      </c>
      <c r="W141" s="2">
        <v>0</v>
      </c>
      <c r="X141" s="2">
        <v>0</v>
      </c>
      <c r="Y141" s="2">
        <f>W141+X141</f>
        <v>0</v>
      </c>
      <c r="Z141" s="2">
        <v>3.37604433298111E-09</v>
      </c>
      <c r="AA141" s="2">
        <v>0</v>
      </c>
      <c r="AB141" s="2">
        <v>0</v>
      </c>
      <c r="AC141" s="2">
        <v>0</v>
      </c>
      <c r="AD141" s="2">
        <v>422300.2546546995</v>
      </c>
      <c r="AE141" s="2">
        <v>2111501.273273497</v>
      </c>
      <c r="AF141" s="2">
        <f>F141-H141-L141-U141-AA141-AC141-AD141</f>
        <v>2589809.4324863967</v>
      </c>
      <c r="AG141" s="2">
        <f>F141-H141-L141-U141-AA141-AB141-AD141-Y141</f>
        <v>2589809.4324863967</v>
      </c>
      <c r="AH141" s="2">
        <f>AH140+AG141</f>
        <v>-14172749.423549704</v>
      </c>
      <c r="AI141" s="2">
        <v>43933010.41142876</v>
      </c>
      <c r="AJ141" s="2">
        <f>AH141-AI141</f>
        <v>-58105759.83497847</v>
      </c>
      <c r="AK141" s="3">
        <v>0.25</v>
      </c>
    </row>
    <row r="142" spans="1:37">
      <c r="A142" s="2">
        <v>141</v>
      </c>
      <c r="B142" s="2">
        <v>2038</v>
      </c>
      <c r="C142" s="2">
        <v>85</v>
      </c>
      <c r="D142" s="2">
        <v>484468.0124148488</v>
      </c>
      <c r="E142" s="2">
        <v>41179781.05526215</v>
      </c>
      <c r="F142" s="2">
        <f>E142/1.19</f>
        <v>34604858.02963206</v>
      </c>
      <c r="G142" s="2">
        <v>110</v>
      </c>
      <c r="H142" s="2">
        <v>12361520.20899565</v>
      </c>
      <c r="I142" s="2">
        <v>214</v>
      </c>
      <c r="J142" s="2">
        <v>24040493.83973232</v>
      </c>
      <c r="K142" s="2">
        <v>9548794.282136671</v>
      </c>
      <c r="L142" s="2">
        <v>3528851.869403508</v>
      </c>
      <c r="M142" s="2">
        <v>8502656.550924908</v>
      </c>
      <c r="N142" s="3">
        <v>1</v>
      </c>
      <c r="O142" s="3">
        <v>2</v>
      </c>
      <c r="P142" s="2">
        <v>249162.0967304003</v>
      </c>
      <c r="Q142" s="2">
        <v>642768.9978708965</v>
      </c>
      <c r="R142" s="2">
        <v>346058.4676811115</v>
      </c>
      <c r="S142" s="2">
        <v>387585.4838028449</v>
      </c>
      <c r="T142" s="2">
        <v>4138859.273466093</v>
      </c>
      <c r="U142" s="2">
        <f>M142+P142+Q142+R142+S142+T142</f>
        <v>14267090.870476255</v>
      </c>
      <c r="V142" s="2">
        <f>F142-K142-L142-U142</f>
        <v>7260121.007615628</v>
      </c>
      <c r="W142" s="2">
        <v>0</v>
      </c>
      <c r="X142" s="2">
        <v>0</v>
      </c>
      <c r="Y142" s="2">
        <f>W142+X142</f>
        <v>0</v>
      </c>
      <c r="Z142" s="2">
        <v>3.37604433298111E-09</v>
      </c>
      <c r="AA142" s="2">
        <v>0</v>
      </c>
      <c r="AB142" s="2">
        <v>0</v>
      </c>
      <c r="AC142" s="2">
        <v>0</v>
      </c>
      <c r="AD142" s="2">
        <v>211150.1273273495</v>
      </c>
      <c r="AE142" s="2">
        <v>2322651.400600847</v>
      </c>
      <c r="AF142" s="2">
        <f>F142-H142-L142-U142-AA142-AC142-AD142</f>
        <v>4236244.9534292985</v>
      </c>
      <c r="AG142" s="2">
        <f>F142-H142-L142-U142-AA142-AB142-AD142-Y142</f>
        <v>4236244.9534292985</v>
      </c>
      <c r="AH142" s="2">
        <f>AH141+AG142</f>
        <v>-9936504.470120406</v>
      </c>
      <c r="AI142" s="2">
        <v>43933010.41142876</v>
      </c>
      <c r="AJ142" s="2">
        <f>AH142-AI142</f>
        <v>-53869514.88154917</v>
      </c>
      <c r="AK142" s="3">
        <v>0.25</v>
      </c>
    </row>
    <row r="143" spans="1:37">
      <c r="A143" s="2">
        <v>142</v>
      </c>
      <c r="B143" s="2">
        <v>2038</v>
      </c>
      <c r="C143" s="2">
        <v>101</v>
      </c>
      <c r="D143" s="2">
        <v>484468.0124148488</v>
      </c>
      <c r="E143" s="2">
        <v>48931269.25389973</v>
      </c>
      <c r="F143" s="2">
        <f>E143/1.19</f>
        <v>41118713.65873927</v>
      </c>
      <c r="G143" s="2">
        <v>130</v>
      </c>
      <c r="H143" s="2">
        <v>14609069.33790395</v>
      </c>
      <c r="I143" s="2">
        <v>243</v>
      </c>
      <c r="J143" s="2">
        <v>27301871.66327213</v>
      </c>
      <c r="K143" s="2">
        <v>11347691.51436414</v>
      </c>
      <c r="L143" s="2">
        <v>4193224.509503132</v>
      </c>
      <c r="M143" s="2">
        <v>8502656.550924908</v>
      </c>
      <c r="N143" s="3">
        <v>1</v>
      </c>
      <c r="O143" s="3">
        <v>2</v>
      </c>
      <c r="P143" s="2">
        <v>249162.0967304003</v>
      </c>
      <c r="Q143" s="2">
        <v>642768.9978708965</v>
      </c>
      <c r="R143" s="2">
        <v>346058.4676811115</v>
      </c>
      <c r="S143" s="2">
        <v>387585.4838028449</v>
      </c>
      <c r="T143" s="2">
        <v>4138859.273466093</v>
      </c>
      <c r="U143" s="2">
        <f>M143+P143+Q143+R143+S143+T143</f>
        <v>14267090.870476255</v>
      </c>
      <c r="V143" s="2">
        <f>F143-K143-L143-U143</f>
        <v>11310706.764395742</v>
      </c>
      <c r="W143" s="2">
        <v>0</v>
      </c>
      <c r="X143" s="2">
        <v>0</v>
      </c>
      <c r="Y143" s="2">
        <f>W143+X143</f>
        <v>0</v>
      </c>
      <c r="Z143" s="2">
        <v>3.37604433298111E-09</v>
      </c>
      <c r="AA143" s="2">
        <v>0</v>
      </c>
      <c r="AB143" s="2">
        <v>0</v>
      </c>
      <c r="AC143" s="2">
        <v>0</v>
      </c>
      <c r="AD143" s="2">
        <v>422300.2546546995</v>
      </c>
      <c r="AE143" s="2">
        <v>2744951.655255546</v>
      </c>
      <c r="AF143" s="2">
        <f>F143-H143-L143-U143-AA143-AC143-AD143</f>
        <v>7627028.686201233</v>
      </c>
      <c r="AG143" s="2">
        <f>F143-H143-L143-U143-AA143-AB143-AD143-Y143</f>
        <v>7627028.686201233</v>
      </c>
      <c r="AH143" s="2">
        <f>AH142+AG143</f>
        <v>-2309475.7839191724</v>
      </c>
      <c r="AI143" s="2">
        <v>43933010.41142876</v>
      </c>
      <c r="AJ143" s="2">
        <f>AH143-AI143</f>
        <v>-46242486.195347935</v>
      </c>
      <c r="AK143" s="3">
        <v>0.25</v>
      </c>
    </row>
    <row r="144" spans="1:37">
      <c r="A144" s="2">
        <v>143</v>
      </c>
      <c r="B144" s="2">
        <v>2038</v>
      </c>
      <c r="C144" s="2">
        <v>109</v>
      </c>
      <c r="D144" s="2">
        <v>484468.0124148488</v>
      </c>
      <c r="E144" s="2">
        <v>52807013.35321853</v>
      </c>
      <c r="F144" s="2">
        <f>E144/1.19</f>
        <v>44375641.47329288</v>
      </c>
      <c r="G144" s="2">
        <v>20</v>
      </c>
      <c r="H144" s="2">
        <v>2247549.1289083</v>
      </c>
      <c r="I144" s="2">
        <v>154</v>
      </c>
      <c r="J144" s="2">
        <v>17302702.6691855</v>
      </c>
      <c r="K144" s="2">
        <v>12246718.12299493</v>
      </c>
      <c r="L144" s="2">
        <v>4525377.068954309</v>
      </c>
      <c r="M144" s="2">
        <v>8502656.550924908</v>
      </c>
      <c r="N144" s="3">
        <v>1</v>
      </c>
      <c r="O144" s="3">
        <v>2</v>
      </c>
      <c r="P144" s="2">
        <v>249162.0967304003</v>
      </c>
      <c r="Q144" s="2">
        <v>642768.9978708965</v>
      </c>
      <c r="R144" s="2">
        <v>346058.4676811115</v>
      </c>
      <c r="S144" s="2">
        <v>387585.4838028449</v>
      </c>
      <c r="T144" s="2">
        <v>4138859.273466093</v>
      </c>
      <c r="U144" s="2">
        <f>M144+P144+Q144+R144+S144+T144</f>
        <v>14267090.870476255</v>
      </c>
      <c r="V144" s="2">
        <f>F144-K144-L144-U144</f>
        <v>13336455.410867384</v>
      </c>
      <c r="W144" s="2">
        <v>0</v>
      </c>
      <c r="X144" s="2">
        <v>0</v>
      </c>
      <c r="Y144" s="2">
        <f>W144+X144</f>
        <v>0</v>
      </c>
      <c r="Z144" s="2">
        <v>3.37604433298111E-09</v>
      </c>
      <c r="AA144" s="2">
        <v>0</v>
      </c>
      <c r="AB144" s="2">
        <v>0</v>
      </c>
      <c r="AC144" s="2">
        <v>0</v>
      </c>
      <c r="AD144" s="2">
        <v>-2322651.400600847</v>
      </c>
      <c r="AE144" s="2">
        <v>422300.2546546995</v>
      </c>
      <c r="AF144" s="2">
        <f>F144-H144-L144-U144-AA144-AC144-AD144</f>
        <v>25658275.805554863</v>
      </c>
      <c r="AG144" s="2">
        <f>F144-H144-L144-U144-AA144-AB144-AD144-Y144</f>
        <v>25658275.805554863</v>
      </c>
      <c r="AH144" s="2">
        <f>AH143+AG144</f>
        <v>23348800.02163569</v>
      </c>
      <c r="AI144" s="2">
        <v>43933010.41142876</v>
      </c>
      <c r="AJ144" s="2">
        <f>AH144-AI144</f>
        <v>-20584210.389793076</v>
      </c>
      <c r="AK144" s="3">
        <v>0.25</v>
      </c>
    </row>
    <row r="145" spans="1:37">
      <c r="A145" s="2">
        <v>144</v>
      </c>
      <c r="B145" s="2">
        <v>2038</v>
      </c>
      <c r="C145" s="2">
        <v>132</v>
      </c>
      <c r="D145" s="2">
        <v>484468.0124148488</v>
      </c>
      <c r="E145" s="2">
        <v>63949777.63876005</v>
      </c>
      <c r="F145" s="2">
        <f>E145/1.19</f>
        <v>53739308.940134495</v>
      </c>
      <c r="G145" s="2">
        <v>20</v>
      </c>
      <c r="H145" s="2">
        <v>2247549.1289083</v>
      </c>
      <c r="I145" s="2">
        <v>42</v>
      </c>
      <c r="J145" s="2">
        <v>4719026.296091611</v>
      </c>
      <c r="K145" s="2">
        <v>14831225.50200219</v>
      </c>
      <c r="L145" s="2">
        <v>5480300.14771194</v>
      </c>
      <c r="M145" s="2">
        <v>8502656.550924908</v>
      </c>
      <c r="N145" s="3">
        <v>1</v>
      </c>
      <c r="O145" s="3">
        <v>2</v>
      </c>
      <c r="P145" s="2">
        <v>249162.0967304003</v>
      </c>
      <c r="Q145" s="2">
        <v>642768.9978708965</v>
      </c>
      <c r="R145" s="2">
        <v>346058.4676811115</v>
      </c>
      <c r="S145" s="2">
        <v>387585.4838028449</v>
      </c>
      <c r="T145" s="2">
        <v>4138859.273466093</v>
      </c>
      <c r="U145" s="2">
        <f>M145+P145+Q145+R145+S145+T145</f>
        <v>14267090.870476255</v>
      </c>
      <c r="V145" s="2">
        <f>F145-K145-L145-U145</f>
        <v>19160692.419944108</v>
      </c>
      <c r="W145" s="2">
        <v>0</v>
      </c>
      <c r="X145" s="2">
        <v>0</v>
      </c>
      <c r="Y145" s="2">
        <f>W145+X145</f>
        <v>0</v>
      </c>
      <c r="Z145" s="2">
        <v>3.37604433298111E-09</v>
      </c>
      <c r="AA145" s="2">
        <v>0</v>
      </c>
      <c r="AB145" s="2">
        <v>6304888.098024318</v>
      </c>
      <c r="AC145" s="2">
        <v>6304888.098024318</v>
      </c>
      <c r="AD145" s="2">
        <v>0</v>
      </c>
      <c r="AE145" s="2">
        <v>422300.2546546995</v>
      </c>
      <c r="AF145" s="2">
        <f>F145-H145-L145-U145-AA145-AC145-AD145</f>
        <v>25439480.695013687</v>
      </c>
      <c r="AG145" s="2">
        <f>F145-H145-L145-U145-AA145-AB145-AD145-Y145</f>
        <v>25439480.695013687</v>
      </c>
      <c r="AH145" s="2">
        <f>AH144+AG145</f>
        <v>48788280.716649376</v>
      </c>
      <c r="AI145" s="2">
        <v>43933010.41142876</v>
      </c>
      <c r="AJ145" s="2">
        <f>AH145-AI145</f>
        <v>4855270.305220611</v>
      </c>
      <c r="AK145" s="3">
        <v>0.25</v>
      </c>
    </row>
    <row r="146" spans="1:37">
      <c r="A146" s="2">
        <v>145</v>
      </c>
      <c r="B146" s="2">
        <v>2039</v>
      </c>
      <c r="C146" s="2">
        <v>16</v>
      </c>
      <c r="D146" s="2">
        <v>499002.0527872943</v>
      </c>
      <c r="E146" s="2">
        <v>7984032.844596709</v>
      </c>
      <c r="F146" s="2">
        <f>E146/1.19</f>
        <v>6709271.297980428</v>
      </c>
      <c r="G146" s="2">
        <v>40</v>
      </c>
      <c r="H146" s="2">
        <v>4629951.205551098</v>
      </c>
      <c r="I146" s="2">
        <v>66</v>
      </c>
      <c r="J146" s="2">
        <v>7524786.769614863</v>
      </c>
      <c r="K146" s="2">
        <v>1824190.732027845</v>
      </c>
      <c r="L146" s="2">
        <v>682009.9459292963</v>
      </c>
      <c r="M146" s="2">
        <v>8757736.247452656</v>
      </c>
      <c r="N146" s="3">
        <v>1</v>
      </c>
      <c r="O146" s="3">
        <v>2</v>
      </c>
      <c r="P146" s="2">
        <v>256636.9596323123</v>
      </c>
      <c r="Q146" s="2">
        <v>684507.8017748507</v>
      </c>
      <c r="R146" s="2">
        <v>356440.2217115448</v>
      </c>
      <c r="S146" s="2">
        <v>399213.0483169302</v>
      </c>
      <c r="T146" s="2">
        <v>4476889.184697003</v>
      </c>
      <c r="U146" s="2">
        <f>M146+P146+Q146+R146+S146+T146</f>
        <v>14931423.463585295</v>
      </c>
      <c r="V146" s="2">
        <f>F146-K146-L146-U146</f>
        <v>-10728352.843562009</v>
      </c>
      <c r="W146" s="2">
        <v>0</v>
      </c>
      <c r="X146" s="2">
        <v>0</v>
      </c>
      <c r="Y146" s="2">
        <f>W146+X146</f>
        <v>0</v>
      </c>
      <c r="Z146" s="2">
        <v>3.37604433298111E-09</v>
      </c>
      <c r="AA146" s="2">
        <v>2138641.330269269</v>
      </c>
      <c r="AB146" s="2">
        <v>0</v>
      </c>
      <c r="AC146" s="2">
        <v>0</v>
      </c>
      <c r="AD146" s="2">
        <v>447638.2699339815</v>
      </c>
      <c r="AE146" s="2">
        <v>869938.5245886809</v>
      </c>
      <c r="AF146" s="2">
        <f>F146-H146-L146-U146-AA146-AC146-AD146</f>
        <v>-16120392.917288514</v>
      </c>
      <c r="AG146" s="2">
        <f>F146-H146-L146-U146-AA146-AB146-AD146-Y146</f>
        <v>-16120392.917288514</v>
      </c>
      <c r="AH146" s="2">
        <f>AH145+AG146</f>
        <v>32667887.799360864</v>
      </c>
      <c r="AI146" s="2">
        <v>45926008.19075588</v>
      </c>
      <c r="AJ146" s="2">
        <f>AH146-AI146</f>
        <v>-13258120.391395018</v>
      </c>
      <c r="AK146" s="3">
        <v>0.25</v>
      </c>
    </row>
    <row r="147" spans="1:37">
      <c r="A147" s="2">
        <v>146</v>
      </c>
      <c r="B147" s="2">
        <v>2039</v>
      </c>
      <c r="C147" s="2">
        <v>24</v>
      </c>
      <c r="D147" s="2">
        <v>499002.0527872943</v>
      </c>
      <c r="E147" s="2">
        <v>11976049.26689506</v>
      </c>
      <c r="F147" s="2">
        <f>E147/1.19</f>
        <v>10063906.946970642</v>
      </c>
      <c r="G147" s="2">
        <v>40</v>
      </c>
      <c r="H147" s="2">
        <v>4629951.205551098</v>
      </c>
      <c r="I147" s="2">
        <v>82</v>
      </c>
      <c r="J147" s="2">
        <v>9402721.829845365</v>
      </c>
      <c r="K147" s="2">
        <v>2752016.145320595</v>
      </c>
      <c r="L147" s="2">
        <v>1024273.322676251</v>
      </c>
      <c r="M147" s="2">
        <v>8757736.247452656</v>
      </c>
      <c r="N147" s="3">
        <v>1</v>
      </c>
      <c r="O147" s="3">
        <v>2</v>
      </c>
      <c r="P147" s="2">
        <v>256636.9596323123</v>
      </c>
      <c r="Q147" s="2">
        <v>684507.8017748507</v>
      </c>
      <c r="R147" s="2">
        <v>356440.2217115448</v>
      </c>
      <c r="S147" s="2">
        <v>399213.0483169302</v>
      </c>
      <c r="T147" s="2">
        <v>4476889.184697003</v>
      </c>
      <c r="U147" s="2">
        <f>M147+P147+Q147+R147+S147+T147</f>
        <v>14931423.463585295</v>
      </c>
      <c r="V147" s="2">
        <f>F147-K147-L147-U147</f>
        <v>-8643805.9846115</v>
      </c>
      <c r="W147" s="2">
        <v>0</v>
      </c>
      <c r="X147" s="2">
        <v>0</v>
      </c>
      <c r="Y147" s="2">
        <f>W147+X147</f>
        <v>0</v>
      </c>
      <c r="Z147" s="2">
        <v>3.37604433298111E-09</v>
      </c>
      <c r="AA147" s="2">
        <v>0</v>
      </c>
      <c r="AB147" s="2">
        <v>0</v>
      </c>
      <c r="AC147" s="2">
        <v>0</v>
      </c>
      <c r="AD147" s="2">
        <v>0</v>
      </c>
      <c r="AE147" s="2">
        <v>869938.5245886809</v>
      </c>
      <c r="AF147" s="2">
        <f>F147-H147-L147-U147-AA147-AC147-AD147</f>
        <v>-10521741.044842001</v>
      </c>
      <c r="AG147" s="2">
        <f>F147-H147-L147-U147-AA147-AB147-AD147-Y147</f>
        <v>-10521741.044842001</v>
      </c>
      <c r="AH147" s="2">
        <f>AH146+AG147</f>
        <v>22146146.754518863</v>
      </c>
      <c r="AI147" s="2">
        <v>45926008.19075588</v>
      </c>
      <c r="AJ147" s="2">
        <f>AH147-AI147</f>
        <v>-23779861.43623702</v>
      </c>
      <c r="AK147" s="3">
        <v>0.25</v>
      </c>
    </row>
    <row r="148" spans="1:37">
      <c r="A148" s="2">
        <v>147</v>
      </c>
      <c r="B148" s="2">
        <v>2039</v>
      </c>
      <c r="C148" s="2">
        <v>33</v>
      </c>
      <c r="D148" s="2">
        <v>499002.0527872943</v>
      </c>
      <c r="E148" s="2">
        <v>16467067.74198071</v>
      </c>
      <c r="F148" s="2">
        <f>E148/1.19</f>
        <v>13837872.052084632</v>
      </c>
      <c r="G148" s="2">
        <v>50</v>
      </c>
      <c r="H148" s="2">
        <v>5787439.006938874</v>
      </c>
      <c r="I148" s="2">
        <v>99</v>
      </c>
      <c r="J148" s="2">
        <v>11392620.62758818</v>
      </c>
      <c r="K148" s="2">
        <v>3797540.20919606</v>
      </c>
      <c r="L148" s="2">
        <v>1409457.259430264</v>
      </c>
      <c r="M148" s="2">
        <v>8757736.247452656</v>
      </c>
      <c r="N148" s="3">
        <v>1</v>
      </c>
      <c r="O148" s="3">
        <v>2</v>
      </c>
      <c r="P148" s="2">
        <v>256636.9596323123</v>
      </c>
      <c r="Q148" s="2">
        <v>684507.8017748507</v>
      </c>
      <c r="R148" s="2">
        <v>356440.2217115448</v>
      </c>
      <c r="S148" s="2">
        <v>399213.0483169302</v>
      </c>
      <c r="T148" s="2">
        <v>4476889.184697003</v>
      </c>
      <c r="U148" s="2">
        <f>M148+P148+Q148+R148+S148+T148</f>
        <v>14931423.463585295</v>
      </c>
      <c r="V148" s="2">
        <f>F148-K148-L148-U148</f>
        <v>-6300548.880126987</v>
      </c>
      <c r="W148" s="2">
        <v>0</v>
      </c>
      <c r="X148" s="2">
        <v>0</v>
      </c>
      <c r="Y148" s="2">
        <f>W148+X148</f>
        <v>0</v>
      </c>
      <c r="Z148" s="2">
        <v>3.37604433298111E-09</v>
      </c>
      <c r="AA148" s="2">
        <v>0</v>
      </c>
      <c r="AB148" s="2">
        <v>0</v>
      </c>
      <c r="AC148" s="2">
        <v>0</v>
      </c>
      <c r="AD148" s="2">
        <v>217484.6311471701</v>
      </c>
      <c r="AE148" s="2">
        <v>1087423.155735851</v>
      </c>
      <c r="AF148" s="2">
        <f>F148-H148-L148-U148-AA148-AC148-AD148</f>
        <v>-8507932.30901697</v>
      </c>
      <c r="AG148" s="2">
        <f>F148-H148-L148-U148-AA148-AB148-AD148-Y148</f>
        <v>-8507932.30901697</v>
      </c>
      <c r="AH148" s="2">
        <f>AH147+AG148</f>
        <v>13638214.445501892</v>
      </c>
      <c r="AI148" s="2">
        <v>45926008.19075588</v>
      </c>
      <c r="AJ148" s="2">
        <f>AH148-AI148</f>
        <v>-32287793.745253988</v>
      </c>
      <c r="AK148" s="3">
        <v>0.25</v>
      </c>
    </row>
    <row r="149" spans="1:37">
      <c r="A149" s="2">
        <v>148</v>
      </c>
      <c r="B149" s="2">
        <v>2039</v>
      </c>
      <c r="C149" s="2">
        <v>41</v>
      </c>
      <c r="D149" s="2">
        <v>499002.0527872943</v>
      </c>
      <c r="E149" s="2">
        <v>20459084.16427907</v>
      </c>
      <c r="F149" s="2">
        <f>E149/1.19</f>
        <v>17192507.701074846</v>
      </c>
      <c r="G149" s="2">
        <v>50</v>
      </c>
      <c r="H149" s="2">
        <v>5787439.006938874</v>
      </c>
      <c r="I149" s="2">
        <v>108</v>
      </c>
      <c r="J149" s="2">
        <v>12452660.67469075</v>
      </c>
      <c r="K149" s="2">
        <v>4727398.959836303</v>
      </c>
      <c r="L149" s="2">
        <v>1751883.303165018</v>
      </c>
      <c r="M149" s="2">
        <v>8757736.247452656</v>
      </c>
      <c r="N149" s="3">
        <v>1</v>
      </c>
      <c r="O149" s="3">
        <v>2</v>
      </c>
      <c r="P149" s="2">
        <v>256636.9596323123</v>
      </c>
      <c r="Q149" s="2">
        <v>684507.8017748507</v>
      </c>
      <c r="R149" s="2">
        <v>356440.2217115448</v>
      </c>
      <c r="S149" s="2">
        <v>399213.0483169302</v>
      </c>
      <c r="T149" s="2">
        <v>4476889.184697003</v>
      </c>
      <c r="U149" s="2">
        <f>M149+P149+Q149+R149+S149+T149</f>
        <v>14931423.463585295</v>
      </c>
      <c r="V149" s="2">
        <f>F149-K149-L149-U149</f>
        <v>-4218198.025511771</v>
      </c>
      <c r="W149" s="2">
        <v>0</v>
      </c>
      <c r="X149" s="2">
        <v>0</v>
      </c>
      <c r="Y149" s="2">
        <f>W149+X149</f>
        <v>0</v>
      </c>
      <c r="Z149" s="2">
        <v>3.37604433298111E-09</v>
      </c>
      <c r="AA149" s="2">
        <v>0</v>
      </c>
      <c r="AB149" s="2">
        <v>0</v>
      </c>
      <c r="AC149" s="2">
        <v>0</v>
      </c>
      <c r="AD149" s="2">
        <v>0</v>
      </c>
      <c r="AE149" s="2">
        <v>1087423.155735851</v>
      </c>
      <c r="AF149" s="2">
        <f>F149-H149-L149-U149-AA149-AC149-AD149</f>
        <v>-5278238.072614342</v>
      </c>
      <c r="AG149" s="2">
        <f>F149-H149-L149-U149-AA149-AB149-AD149-Y149</f>
        <v>-5278238.072614342</v>
      </c>
      <c r="AH149" s="2">
        <f>AH148+AG149</f>
        <v>8359976.37288755</v>
      </c>
      <c r="AI149" s="2">
        <v>45926008.19075588</v>
      </c>
      <c r="AJ149" s="2">
        <f>AH149-AI149</f>
        <v>-37566031.81786833</v>
      </c>
      <c r="AK149" s="3">
        <v>0.25</v>
      </c>
    </row>
    <row r="150" spans="1:37">
      <c r="A150" s="2">
        <v>149</v>
      </c>
      <c r="B150" s="2">
        <v>2039</v>
      </c>
      <c r="C150" s="2">
        <v>49</v>
      </c>
      <c r="D150" s="2">
        <v>499002.0527872943</v>
      </c>
      <c r="E150" s="2">
        <v>24451100.58657742</v>
      </c>
      <c r="F150" s="2">
        <f>E150/1.19</f>
        <v>20547143.35006506</v>
      </c>
      <c r="G150" s="2">
        <v>70</v>
      </c>
      <c r="H150" s="2">
        <v>8102414.609714422</v>
      </c>
      <c r="I150" s="2">
        <v>129</v>
      </c>
      <c r="J150" s="2">
        <v>14896655.68364195</v>
      </c>
      <c r="K150" s="2">
        <v>5658419.600763221</v>
      </c>
      <c r="L150" s="2">
        <v>2094402.298122705</v>
      </c>
      <c r="M150" s="2">
        <v>8757736.247452656</v>
      </c>
      <c r="N150" s="3">
        <v>1</v>
      </c>
      <c r="O150" s="3">
        <v>2</v>
      </c>
      <c r="P150" s="2">
        <v>256636.9596323123</v>
      </c>
      <c r="Q150" s="2">
        <v>684507.8017748507</v>
      </c>
      <c r="R150" s="2">
        <v>356440.2217115448</v>
      </c>
      <c r="S150" s="2">
        <v>399213.0483169302</v>
      </c>
      <c r="T150" s="2">
        <v>4476889.184697003</v>
      </c>
      <c r="U150" s="2">
        <f>M150+P150+Q150+R150+S150+T150</f>
        <v>14931423.463585295</v>
      </c>
      <c r="V150" s="2">
        <f>F150-K150-L150-U150</f>
        <v>-2137102.012406161</v>
      </c>
      <c r="W150" s="2">
        <v>0</v>
      </c>
      <c r="X150" s="2">
        <v>0</v>
      </c>
      <c r="Y150" s="2">
        <f>W150+X150</f>
        <v>0</v>
      </c>
      <c r="Z150" s="2">
        <v>3.37604433298111E-09</v>
      </c>
      <c r="AA150" s="2">
        <v>0</v>
      </c>
      <c r="AB150" s="2">
        <v>0</v>
      </c>
      <c r="AC150" s="2">
        <v>0</v>
      </c>
      <c r="AD150" s="2">
        <v>434969.2622943404</v>
      </c>
      <c r="AE150" s="2">
        <v>1522392.418030191</v>
      </c>
      <c r="AF150" s="2">
        <f>F150-H150-L150-U150-AA150-AC150-AD150</f>
        <v>-5016066.283651704</v>
      </c>
      <c r="AG150" s="2">
        <f>F150-H150-L150-U150-AA150-AB150-AD150-Y150</f>
        <v>-5016066.283651704</v>
      </c>
      <c r="AH150" s="2">
        <f>AH149+AG150</f>
        <v>3343910.089235846</v>
      </c>
      <c r="AI150" s="2">
        <v>45926008.19075588</v>
      </c>
      <c r="AJ150" s="2">
        <f>AH150-AI150</f>
        <v>-42582098.10152003</v>
      </c>
      <c r="AK150" s="3">
        <v>0.25</v>
      </c>
    </row>
    <row r="151" spans="1:37">
      <c r="A151" s="2">
        <v>150</v>
      </c>
      <c r="B151" s="2">
        <v>2039</v>
      </c>
      <c r="C151" s="2">
        <v>57</v>
      </c>
      <c r="D151" s="2">
        <v>499002.0527872943</v>
      </c>
      <c r="E151" s="2">
        <v>28443117.00887578</v>
      </c>
      <c r="F151" s="2">
        <f>E151/1.19</f>
        <v>23901778.999055274</v>
      </c>
      <c r="G151" s="2">
        <v>80</v>
      </c>
      <c r="H151" s="2">
        <v>9259902.411102196</v>
      </c>
      <c r="I151" s="2">
        <v>152</v>
      </c>
      <c r="J151" s="2">
        <v>17568405.88708665</v>
      </c>
      <c r="K151" s="2">
        <v>6588152.207657495</v>
      </c>
      <c r="L151" s="2">
        <v>2436818.250357782</v>
      </c>
      <c r="M151" s="2">
        <v>8757736.247452656</v>
      </c>
      <c r="N151" s="3">
        <v>1</v>
      </c>
      <c r="O151" s="3">
        <v>2</v>
      </c>
      <c r="P151" s="2">
        <v>256636.9596323123</v>
      </c>
      <c r="Q151" s="2">
        <v>684507.8017748507</v>
      </c>
      <c r="R151" s="2">
        <v>356440.2217115448</v>
      </c>
      <c r="S151" s="2">
        <v>399213.0483169302</v>
      </c>
      <c r="T151" s="2">
        <v>4476889.184697003</v>
      </c>
      <c r="U151" s="2">
        <f>M151+P151+Q151+R151+S151+T151</f>
        <v>14931423.463585295</v>
      </c>
      <c r="V151" s="2">
        <f>F151-K151-L151-U151</f>
        <v>-54614.92254529521</v>
      </c>
      <c r="W151" s="2">
        <v>0</v>
      </c>
      <c r="X151" s="2">
        <v>0</v>
      </c>
      <c r="Y151" s="2">
        <f>W151+X151</f>
        <v>0</v>
      </c>
      <c r="Z151" s="2">
        <v>3.37604433298111E-09</v>
      </c>
      <c r="AA151" s="2">
        <v>0</v>
      </c>
      <c r="AB151" s="2">
        <v>0</v>
      </c>
      <c r="AC151" s="2">
        <v>0</v>
      </c>
      <c r="AD151" s="2">
        <v>217484.6311471704</v>
      </c>
      <c r="AE151" s="2">
        <v>1739877.049177362</v>
      </c>
      <c r="AF151" s="2">
        <f>F151-H151-L151-U151-AA151-AC151-AD151</f>
        <v>-2943849.75713717</v>
      </c>
      <c r="AG151" s="2">
        <f>F151-H151-L151-U151-AA151-AB151-AD151-Y151</f>
        <v>-2943849.75713717</v>
      </c>
      <c r="AH151" s="2">
        <f>AH150+AG151</f>
        <v>400060.3320986759</v>
      </c>
      <c r="AI151" s="2">
        <v>45926008.19075588</v>
      </c>
      <c r="AJ151" s="2">
        <f>AH151-AI151</f>
        <v>-45525947.8586572</v>
      </c>
      <c r="AK151" s="3">
        <v>0.25</v>
      </c>
    </row>
    <row r="152" spans="1:37">
      <c r="A152" s="2">
        <v>151</v>
      </c>
      <c r="B152" s="2">
        <v>2039</v>
      </c>
      <c r="C152" s="2">
        <v>65</v>
      </c>
      <c r="D152" s="2">
        <v>499002.0527872943</v>
      </c>
      <c r="E152" s="2">
        <v>32435133.43117413</v>
      </c>
      <c r="F152" s="2">
        <f>E152/1.19</f>
        <v>27256414.648045488</v>
      </c>
      <c r="G152" s="2">
        <v>90</v>
      </c>
      <c r="H152" s="2">
        <v>10417390.21248997</v>
      </c>
      <c r="I152" s="2">
        <v>177</v>
      </c>
      <c r="J152" s="2">
        <v>20468950.03977299</v>
      </c>
      <c r="K152" s="2">
        <v>7516846.059803639</v>
      </c>
      <c r="L152" s="2">
        <v>2779151.102213007</v>
      </c>
      <c r="M152" s="2">
        <v>8757736.247452656</v>
      </c>
      <c r="N152" s="3">
        <v>1</v>
      </c>
      <c r="O152" s="3">
        <v>2</v>
      </c>
      <c r="P152" s="2">
        <v>256636.9596323123</v>
      </c>
      <c r="Q152" s="2">
        <v>684507.8017748507</v>
      </c>
      <c r="R152" s="2">
        <v>356440.2217115448</v>
      </c>
      <c r="S152" s="2">
        <v>399213.0483169302</v>
      </c>
      <c r="T152" s="2">
        <v>4476889.184697003</v>
      </c>
      <c r="U152" s="2">
        <f>M152+P152+Q152+R152+S152+T152</f>
        <v>14931423.463585295</v>
      </c>
      <c r="V152" s="2">
        <f>F152-K152-L152-U152</f>
        <v>2028994.0224435478</v>
      </c>
      <c r="W152" s="2">
        <v>0</v>
      </c>
      <c r="X152" s="2">
        <v>0</v>
      </c>
      <c r="Y152" s="2">
        <f>W152+X152</f>
        <v>0</v>
      </c>
      <c r="Z152" s="2">
        <v>3.37604433298111E-09</v>
      </c>
      <c r="AA152" s="2">
        <v>0</v>
      </c>
      <c r="AB152" s="2">
        <v>0</v>
      </c>
      <c r="AC152" s="2">
        <v>0</v>
      </c>
      <c r="AD152" s="2">
        <v>217484.6311471702</v>
      </c>
      <c r="AE152" s="2">
        <v>1957361.680324532</v>
      </c>
      <c r="AF152" s="2">
        <f>F152-H152-L152-U152-AA152-AC152-AD152</f>
        <v>-1089034.7613899538</v>
      </c>
      <c r="AG152" s="2">
        <f>F152-H152-L152-U152-AA152-AB152-AD152-Y152</f>
        <v>-1089034.7613899538</v>
      </c>
      <c r="AH152" s="2">
        <f>AH151+AG152</f>
        <v>-688974.4292912779</v>
      </c>
      <c r="AI152" s="2">
        <v>45926008.19075588</v>
      </c>
      <c r="AJ152" s="2">
        <f>AH152-AI152</f>
        <v>-46614982.62004716</v>
      </c>
      <c r="AK152" s="3">
        <v>0.25</v>
      </c>
    </row>
    <row r="153" spans="1:37">
      <c r="A153" s="2">
        <v>152</v>
      </c>
      <c r="B153" s="2">
        <v>2039</v>
      </c>
      <c r="C153" s="2">
        <v>82</v>
      </c>
      <c r="D153" s="2">
        <v>499002.0527872943</v>
      </c>
      <c r="E153" s="2">
        <v>40918168.32855813</v>
      </c>
      <c r="F153" s="2">
        <f>E153/1.19</f>
        <v>34385015.40214969</v>
      </c>
      <c r="G153" s="2">
        <v>110</v>
      </c>
      <c r="H153" s="2">
        <v>12732365.81526552</v>
      </c>
      <c r="I153" s="2">
        <v>205</v>
      </c>
      <c r="J153" s="2">
        <v>23715225.61074179</v>
      </c>
      <c r="K153" s="2">
        <v>9486090.244296717</v>
      </c>
      <c r="L153" s="2">
        <v>3506269.992299964</v>
      </c>
      <c r="M153" s="2">
        <v>8757736.247452656</v>
      </c>
      <c r="N153" s="3">
        <v>1</v>
      </c>
      <c r="O153" s="3">
        <v>2</v>
      </c>
      <c r="P153" s="2">
        <v>256636.9596323123</v>
      </c>
      <c r="Q153" s="2">
        <v>684507.8017748507</v>
      </c>
      <c r="R153" s="2">
        <v>356440.2217115448</v>
      </c>
      <c r="S153" s="2">
        <v>399213.0483169302</v>
      </c>
      <c r="T153" s="2">
        <v>4476889.184697003</v>
      </c>
      <c r="U153" s="2">
        <f>M153+P153+Q153+R153+S153+T153</f>
        <v>14931423.463585295</v>
      </c>
      <c r="V153" s="2">
        <f>F153-K153-L153-U153</f>
        <v>6461231.70196772</v>
      </c>
      <c r="W153" s="2">
        <v>0</v>
      </c>
      <c r="X153" s="2">
        <v>0</v>
      </c>
      <c r="Y153" s="2">
        <f>W153+X153</f>
        <v>0</v>
      </c>
      <c r="Z153" s="2">
        <v>3.37604433298111E-09</v>
      </c>
      <c r="AA153" s="2">
        <v>0</v>
      </c>
      <c r="AB153" s="2">
        <v>0</v>
      </c>
      <c r="AC153" s="2">
        <v>0</v>
      </c>
      <c r="AD153" s="2">
        <v>434969.2622943404</v>
      </c>
      <c r="AE153" s="2">
        <v>2392330.942618873</v>
      </c>
      <c r="AF153" s="2">
        <f>F153-H153-L153-U153-AA153-AC153-AD153</f>
        <v>2779986.868704573</v>
      </c>
      <c r="AG153" s="2">
        <f>F153-H153-L153-U153-AA153-AB153-AD153-Y153</f>
        <v>2779986.868704573</v>
      </c>
      <c r="AH153" s="2">
        <f>AH152+AG153</f>
        <v>2091012.439413295</v>
      </c>
      <c r="AI153" s="2">
        <v>45926008.19075588</v>
      </c>
      <c r="AJ153" s="2">
        <f>AH153-AI153</f>
        <v>-43834995.75134259</v>
      </c>
      <c r="AK153" s="3">
        <v>0.25</v>
      </c>
    </row>
    <row r="154" spans="1:37">
      <c r="A154" s="2">
        <v>153</v>
      </c>
      <c r="B154" s="2">
        <v>2039</v>
      </c>
      <c r="C154" s="2">
        <v>90</v>
      </c>
      <c r="D154" s="2">
        <v>499002.0527872943</v>
      </c>
      <c r="E154" s="2">
        <v>44910184.75085649</v>
      </c>
      <c r="F154" s="2">
        <f>E154/1.19</f>
        <v>37739651.051139906</v>
      </c>
      <c r="G154" s="2">
        <v>110</v>
      </c>
      <c r="H154" s="2">
        <v>12732365.81526552</v>
      </c>
      <c r="I154" s="2">
        <v>225</v>
      </c>
      <c r="J154" s="2">
        <v>26033993.87571951</v>
      </c>
      <c r="K154" s="2">
        <v>10413597.5502878</v>
      </c>
      <c r="L154" s="2">
        <v>3848507.920462785</v>
      </c>
      <c r="M154" s="2">
        <v>8757736.247452656</v>
      </c>
      <c r="N154" s="3">
        <v>1</v>
      </c>
      <c r="O154" s="3">
        <v>2</v>
      </c>
      <c r="P154" s="2">
        <v>256636.9596323123</v>
      </c>
      <c r="Q154" s="2">
        <v>684507.8017748507</v>
      </c>
      <c r="R154" s="2">
        <v>356440.2217115448</v>
      </c>
      <c r="S154" s="2">
        <v>399213.0483169302</v>
      </c>
      <c r="T154" s="2">
        <v>4476889.184697003</v>
      </c>
      <c r="U154" s="2">
        <f>M154+P154+Q154+R154+S154+T154</f>
        <v>14931423.463585295</v>
      </c>
      <c r="V154" s="2">
        <f>F154-K154-L154-U154</f>
        <v>8546122.116804026</v>
      </c>
      <c r="W154" s="2">
        <v>0</v>
      </c>
      <c r="X154" s="2">
        <v>0</v>
      </c>
      <c r="Y154" s="2">
        <f>W154+X154</f>
        <v>0</v>
      </c>
      <c r="Z154" s="2">
        <v>3.37604433298111E-09</v>
      </c>
      <c r="AA154" s="2">
        <v>0</v>
      </c>
      <c r="AB154" s="2">
        <v>0</v>
      </c>
      <c r="AC154" s="2">
        <v>0</v>
      </c>
      <c r="AD154" s="2">
        <v>0</v>
      </c>
      <c r="AE154" s="2">
        <v>2392330.942618873</v>
      </c>
      <c r="AF154" s="2">
        <f>F154-H154-L154-U154-AA154-AC154-AD154</f>
        <v>6227353.851826303</v>
      </c>
      <c r="AG154" s="2">
        <f>F154-H154-L154-U154-AA154-AB154-AD154-Y154</f>
        <v>6227353.851826303</v>
      </c>
      <c r="AH154" s="2">
        <f>AH153+AG154</f>
        <v>8318366.291239598</v>
      </c>
      <c r="AI154" s="2">
        <v>45926008.19075588</v>
      </c>
      <c r="AJ154" s="2">
        <f>AH154-AI154</f>
        <v>-37607641.899516284</v>
      </c>
      <c r="AK154" s="3">
        <v>0.25</v>
      </c>
    </row>
    <row r="155" spans="1:37">
      <c r="A155" s="2">
        <v>154</v>
      </c>
      <c r="B155" s="2">
        <v>2039</v>
      </c>
      <c r="C155" s="2">
        <v>106</v>
      </c>
      <c r="D155" s="2">
        <v>499002.0527872943</v>
      </c>
      <c r="E155" s="2">
        <v>52894217.5954532</v>
      </c>
      <c r="F155" s="2">
        <f>E155/1.19</f>
        <v>44448922.349120334</v>
      </c>
      <c r="G155" s="2">
        <v>140</v>
      </c>
      <c r="H155" s="2">
        <v>16204829.21942884</v>
      </c>
      <c r="I155" s="2">
        <v>259</v>
      </c>
      <c r="J155" s="2">
        <v>29972205.97710527</v>
      </c>
      <c r="K155" s="2">
        <v>12266617.11804308</v>
      </c>
      <c r="L155" s="2">
        <v>4532824.173250277</v>
      </c>
      <c r="M155" s="2">
        <v>8757736.247452656</v>
      </c>
      <c r="N155" s="3">
        <v>1</v>
      </c>
      <c r="O155" s="3">
        <v>2</v>
      </c>
      <c r="P155" s="2">
        <v>256636.9596323123</v>
      </c>
      <c r="Q155" s="2">
        <v>684507.8017748507</v>
      </c>
      <c r="R155" s="2">
        <v>356440.2217115448</v>
      </c>
      <c r="S155" s="2">
        <v>399213.0483169302</v>
      </c>
      <c r="T155" s="2">
        <v>4476889.184697003</v>
      </c>
      <c r="U155" s="2">
        <f>M155+P155+Q155+R155+S155+T155</f>
        <v>14931423.463585295</v>
      </c>
      <c r="V155" s="2">
        <f>F155-K155-L155-U155</f>
        <v>12718057.594241679</v>
      </c>
      <c r="W155" s="2">
        <v>0</v>
      </c>
      <c r="X155" s="2">
        <v>0</v>
      </c>
      <c r="Y155" s="2">
        <f>W155+X155</f>
        <v>0</v>
      </c>
      <c r="Z155" s="2">
        <v>3.37604433298111E-09</v>
      </c>
      <c r="AA155" s="2">
        <v>0</v>
      </c>
      <c r="AB155" s="2">
        <v>0</v>
      </c>
      <c r="AC155" s="2">
        <v>0</v>
      </c>
      <c r="AD155" s="2">
        <v>652453.8934415104</v>
      </c>
      <c r="AE155" s="2">
        <v>3044784.836060383</v>
      </c>
      <c r="AF155" s="2">
        <f>F155-H155-L155-U155-AA155-AC155-AD155</f>
        <v>8127391.599414407</v>
      </c>
      <c r="AG155" s="2">
        <f>F155-H155-L155-U155-AA155-AB155-AD155-Y155</f>
        <v>8127391.599414407</v>
      </c>
      <c r="AH155" s="2">
        <f>AH154+AG155</f>
        <v>16445757.890654005</v>
      </c>
      <c r="AI155" s="2">
        <v>45926008.19075588</v>
      </c>
      <c r="AJ155" s="2">
        <f>AH155-AI155</f>
        <v>-29480250.300101876</v>
      </c>
      <c r="AK155" s="3">
        <v>0.25</v>
      </c>
    </row>
    <row r="156" spans="1:37">
      <c r="A156" s="2">
        <v>155</v>
      </c>
      <c r="B156" s="2">
        <v>2039</v>
      </c>
      <c r="C156" s="2">
        <v>114</v>
      </c>
      <c r="D156" s="2">
        <v>499002.0527872943</v>
      </c>
      <c r="E156" s="2">
        <v>56886234.01775155</v>
      </c>
      <c r="F156" s="2">
        <f>E156/1.19</f>
        <v>47803557.99811055</v>
      </c>
      <c r="G156" s="2">
        <v>20</v>
      </c>
      <c r="H156" s="2">
        <v>2314975.602775549</v>
      </c>
      <c r="I156" s="2">
        <v>165</v>
      </c>
      <c r="J156" s="2">
        <v>19094569.75154242</v>
      </c>
      <c r="K156" s="2">
        <v>13192611.8283384</v>
      </c>
      <c r="L156" s="2">
        <v>4874941.093757436</v>
      </c>
      <c r="M156" s="2">
        <v>8757736.247452656</v>
      </c>
      <c r="N156" s="3">
        <v>1</v>
      </c>
      <c r="O156" s="3">
        <v>2</v>
      </c>
      <c r="P156" s="2">
        <v>256636.9596323123</v>
      </c>
      <c r="Q156" s="2">
        <v>684507.8017748507</v>
      </c>
      <c r="R156" s="2">
        <v>356440.2217115448</v>
      </c>
      <c r="S156" s="2">
        <v>399213.0483169302</v>
      </c>
      <c r="T156" s="2">
        <v>4476889.184697003</v>
      </c>
      <c r="U156" s="2">
        <f>M156+P156+Q156+R156+S156+T156</f>
        <v>14931423.463585295</v>
      </c>
      <c r="V156" s="2">
        <f>F156-K156-L156-U156</f>
        <v>14804581.612429418</v>
      </c>
      <c r="W156" s="2">
        <v>0</v>
      </c>
      <c r="X156" s="2">
        <v>0</v>
      </c>
      <c r="Y156" s="2">
        <f>W156+X156</f>
        <v>0</v>
      </c>
      <c r="Z156" s="2">
        <v>3.37604433298111E-09</v>
      </c>
      <c r="AA156" s="2">
        <v>0</v>
      </c>
      <c r="AB156" s="2">
        <v>0</v>
      </c>
      <c r="AC156" s="2">
        <v>0</v>
      </c>
      <c r="AD156" s="2">
        <v>-2609815.573766042</v>
      </c>
      <c r="AE156" s="2">
        <v>434969.2622943405</v>
      </c>
      <c r="AF156" s="2">
        <f>F156-H156-L156-U156-AA156-AC156-AD156</f>
        <v>28292033.411758307</v>
      </c>
      <c r="AG156" s="2">
        <f>F156-H156-L156-U156-AA156-AB156-AD156-Y156</f>
        <v>28292033.411758307</v>
      </c>
      <c r="AH156" s="2">
        <f>AH155+AG156</f>
        <v>44737791.302412316</v>
      </c>
      <c r="AI156" s="2">
        <v>45926008.19075588</v>
      </c>
      <c r="AJ156" s="2">
        <f>AH156-AI156</f>
        <v>-1188216.8883435652</v>
      </c>
      <c r="AK156" s="3">
        <v>0.25</v>
      </c>
    </row>
    <row r="157" spans="1:37">
      <c r="A157" s="2">
        <v>156</v>
      </c>
      <c r="B157" s="2">
        <v>2039</v>
      </c>
      <c r="C157" s="2">
        <v>139</v>
      </c>
      <c r="D157" s="2">
        <v>499002.0527872943</v>
      </c>
      <c r="E157" s="2">
        <v>69361285.3374339</v>
      </c>
      <c r="F157" s="2">
        <f>E157/1.19</f>
        <v>58286794.401204966</v>
      </c>
      <c r="G157" s="2">
        <v>20</v>
      </c>
      <c r="H157" s="2">
        <v>2314975.602775549</v>
      </c>
      <c r="I157" s="2">
        <v>46</v>
      </c>
      <c r="J157" s="2">
        <v>5323454.520533117</v>
      </c>
      <c r="K157" s="2">
        <v>16086090.83378485</v>
      </c>
      <c r="L157" s="2">
        <v>5944036.113204197</v>
      </c>
      <c r="M157" s="2">
        <v>8757736.247452656</v>
      </c>
      <c r="N157" s="3">
        <v>1</v>
      </c>
      <c r="O157" s="3">
        <v>2</v>
      </c>
      <c r="P157" s="2">
        <v>256636.9596323123</v>
      </c>
      <c r="Q157" s="2">
        <v>684507.8017748507</v>
      </c>
      <c r="R157" s="2">
        <v>356440.2217115448</v>
      </c>
      <c r="S157" s="2">
        <v>399213.0483169302</v>
      </c>
      <c r="T157" s="2">
        <v>4476889.184697003</v>
      </c>
      <c r="U157" s="2">
        <f>M157+P157+Q157+R157+S157+T157</f>
        <v>14931423.463585295</v>
      </c>
      <c r="V157" s="2">
        <f>F157-K157-L157-U157</f>
        <v>21325243.99063062</v>
      </c>
      <c r="W157" s="2">
        <v>0</v>
      </c>
      <c r="X157" s="2">
        <v>0</v>
      </c>
      <c r="Y157" s="2">
        <f>W157+X157</f>
        <v>0</v>
      </c>
      <c r="Z157" s="2">
        <v>3.37604433298111E-09</v>
      </c>
      <c r="AA157" s="2">
        <v>0</v>
      </c>
      <c r="AB157" s="2">
        <v>7764634.703760627</v>
      </c>
      <c r="AC157" s="2">
        <v>7764634.703760627</v>
      </c>
      <c r="AD157" s="2">
        <v>0</v>
      </c>
      <c r="AE157" s="2">
        <v>434969.2622943405</v>
      </c>
      <c r="AF157" s="2">
        <f>F157-H157-L157-U157-AA157-AC157-AD157</f>
        <v>27331724.517879296</v>
      </c>
      <c r="AG157" s="2">
        <f>F157-H157-L157-U157-AA157-AB157-AD157-Y157</f>
        <v>27331724.517879296</v>
      </c>
      <c r="AH157" s="2">
        <f>AH156+AG157</f>
        <v>72069515.82029161</v>
      </c>
      <c r="AI157" s="2">
        <v>45926008.19075588</v>
      </c>
      <c r="AJ157" s="2">
        <f>AH157-AI157</f>
        <v>26143507.629535727</v>
      </c>
      <c r="AK157" s="3">
        <v>0.25</v>
      </c>
    </row>
    <row r="158" spans="1:37">
      <c r="A158" s="2">
        <v>157</v>
      </c>
      <c r="B158" s="2">
        <v>2040</v>
      </c>
      <c r="C158" s="2">
        <v>17</v>
      </c>
      <c r="D158" s="2">
        <v>513972.1143709132</v>
      </c>
      <c r="E158" s="2">
        <v>8737525.944305524</v>
      </c>
      <c r="F158" s="2">
        <f>E158/1.19</f>
        <v>7342458.776727332</v>
      </c>
      <c r="G158" s="2">
        <v>40</v>
      </c>
      <c r="H158" s="2">
        <v>4768849.741717632</v>
      </c>
      <c r="I158" s="2">
        <v>69</v>
      </c>
      <c r="J158" s="2">
        <v>8097313.884829089</v>
      </c>
      <c r="K158" s="2">
        <v>1994990.377421659</v>
      </c>
      <c r="L158" s="2">
        <v>746265.9661810686</v>
      </c>
      <c r="M158" s="2">
        <v>9664787.501653111</v>
      </c>
      <c r="N158" s="3">
        <v>1.5</v>
      </c>
      <c r="O158" s="3">
        <v>2</v>
      </c>
      <c r="P158" s="2">
        <v>279021.4055557973</v>
      </c>
      <c r="Q158" s="2">
        <v>729347.2687857196</v>
      </c>
      <c r="R158" s="2">
        <v>367133.4283628912</v>
      </c>
      <c r="S158" s="2">
        <v>411189.4397664382</v>
      </c>
      <c r="T158" s="2">
        <v>4842489.920106535</v>
      </c>
      <c r="U158" s="2">
        <f>M158+P158+Q158+R158+S158+T158</f>
        <v>16293968.964230493</v>
      </c>
      <c r="V158" s="2">
        <f>F158-K158-L158-U158</f>
        <v>-11692766.531105889</v>
      </c>
      <c r="W158" s="2">
        <v>0</v>
      </c>
      <c r="X158" s="2">
        <v>0</v>
      </c>
      <c r="Y158" s="2">
        <f>W158+X158</f>
        <v>0</v>
      </c>
      <c r="Z158" s="2">
        <v>3.37604433298111E-09</v>
      </c>
      <c r="AA158" s="2">
        <v>0</v>
      </c>
      <c r="AB158" s="2">
        <v>0</v>
      </c>
      <c r="AC158" s="2">
        <v>0</v>
      </c>
      <c r="AD158" s="2">
        <v>461067.4180320009</v>
      </c>
      <c r="AE158" s="2">
        <v>896036.6803263414</v>
      </c>
      <c r="AF158" s="2">
        <f>F158-H158-L158-U158-AA158-AC158-AD158</f>
        <v>-14927693.313433863</v>
      </c>
      <c r="AG158" s="2">
        <f>F158-H158-L158-U158-AA158-AB158-AD158-Y158</f>
        <v>-14927693.313433863</v>
      </c>
      <c r="AH158" s="2">
        <f>AH157+AG158</f>
        <v>57141822.506857745</v>
      </c>
      <c r="AI158" s="2">
        <v>50013644.69269148</v>
      </c>
      <c r="AJ158" s="2">
        <f>AH158-AI158</f>
        <v>7128177.81416627</v>
      </c>
      <c r="AK158" s="3">
        <v>0.25</v>
      </c>
    </row>
    <row r="159" spans="1:37">
      <c r="A159" s="2">
        <v>158</v>
      </c>
      <c r="B159" s="2">
        <v>2040</v>
      </c>
      <c r="C159" s="2">
        <v>26</v>
      </c>
      <c r="D159" s="2">
        <v>513972.1143709132</v>
      </c>
      <c r="E159" s="2">
        <v>13363274.97364374</v>
      </c>
      <c r="F159" s="2">
        <f>E159/1.19</f>
        <v>11229642.834994743</v>
      </c>
      <c r="G159" s="2">
        <v>40</v>
      </c>
      <c r="H159" s="2">
        <v>4768849.741717632</v>
      </c>
      <c r="I159" s="2">
        <v>83</v>
      </c>
      <c r="J159" s="2">
        <v>9797170.467920898</v>
      </c>
      <c r="K159" s="2">
        <v>3068993.158625823</v>
      </c>
      <c r="L159" s="2">
        <v>1142774.460670697</v>
      </c>
      <c r="M159" s="2">
        <v>9664787.501653111</v>
      </c>
      <c r="N159" s="3">
        <v>1.5</v>
      </c>
      <c r="O159" s="3">
        <v>2</v>
      </c>
      <c r="P159" s="2">
        <v>279021.4055557973</v>
      </c>
      <c r="Q159" s="2">
        <v>729347.2687857196</v>
      </c>
      <c r="R159" s="2">
        <v>367133.4283628912</v>
      </c>
      <c r="S159" s="2">
        <v>411189.4397664382</v>
      </c>
      <c r="T159" s="2">
        <v>4842489.920106535</v>
      </c>
      <c r="U159" s="2">
        <f>M159+P159+Q159+R159+S159+T159</f>
        <v>16293968.964230493</v>
      </c>
      <c r="V159" s="2">
        <f>F159-K159-L159-U159</f>
        <v>-9276093.748532271</v>
      </c>
      <c r="W159" s="2">
        <v>0</v>
      </c>
      <c r="X159" s="2">
        <v>0</v>
      </c>
      <c r="Y159" s="2">
        <f>W159+X159</f>
        <v>0</v>
      </c>
      <c r="Z159" s="2">
        <v>3.37604433298111E-09</v>
      </c>
      <c r="AA159" s="2">
        <v>0</v>
      </c>
      <c r="AB159" s="2">
        <v>0</v>
      </c>
      <c r="AC159" s="2">
        <v>0</v>
      </c>
      <c r="AD159" s="2">
        <v>0</v>
      </c>
      <c r="AE159" s="2">
        <v>896036.6803263414</v>
      </c>
      <c r="AF159" s="2">
        <f>F159-H159-L159-U159-AA159-AC159-AD159</f>
        <v>-10975950.33162408</v>
      </c>
      <c r="AG159" s="2">
        <f>F159-H159-L159-U159-AA159-AB159-AD159-Y159</f>
        <v>-10975950.33162408</v>
      </c>
      <c r="AH159" s="2">
        <f>AH158+AG159</f>
        <v>46165872.17523366</v>
      </c>
      <c r="AI159" s="2">
        <v>50013644.69269148</v>
      </c>
      <c r="AJ159" s="2">
        <f>AH159-AI159</f>
        <v>-3847772.517457813</v>
      </c>
      <c r="AK159" s="3">
        <v>0.25</v>
      </c>
    </row>
    <row r="160" spans="1:37">
      <c r="A160" s="2">
        <v>159</v>
      </c>
      <c r="B160" s="2">
        <v>2040</v>
      </c>
      <c r="C160" s="2">
        <v>34</v>
      </c>
      <c r="D160" s="2">
        <v>513972.1143709132</v>
      </c>
      <c r="E160" s="2">
        <v>17475051.88861105</v>
      </c>
      <c r="F160" s="2">
        <f>E160/1.19</f>
        <v>14684917.553454664</v>
      </c>
      <c r="G160" s="2">
        <v>50</v>
      </c>
      <c r="H160" s="2">
        <v>5961062.17714704</v>
      </c>
      <c r="I160" s="2">
        <v>99</v>
      </c>
      <c r="J160" s="2">
        <v>11729812.26963704</v>
      </c>
      <c r="K160" s="2">
        <v>4028420.375430901</v>
      </c>
      <c r="L160" s="2">
        <v>1495607.102009144</v>
      </c>
      <c r="M160" s="2">
        <v>9664787.501653111</v>
      </c>
      <c r="N160" s="3">
        <v>1.5</v>
      </c>
      <c r="O160" s="3">
        <v>2</v>
      </c>
      <c r="P160" s="2">
        <v>279021.4055557973</v>
      </c>
      <c r="Q160" s="2">
        <v>729347.2687857196</v>
      </c>
      <c r="R160" s="2">
        <v>367133.4283628912</v>
      </c>
      <c r="S160" s="2">
        <v>411189.4397664382</v>
      </c>
      <c r="T160" s="2">
        <v>4842489.920106535</v>
      </c>
      <c r="U160" s="2">
        <f>M160+P160+Q160+R160+S160+T160</f>
        <v>16293968.964230493</v>
      </c>
      <c r="V160" s="2">
        <f>F160-K160-L160-U160</f>
        <v>-7133078.888215873</v>
      </c>
      <c r="W160" s="2">
        <v>0</v>
      </c>
      <c r="X160" s="2">
        <v>0</v>
      </c>
      <c r="Y160" s="2">
        <f>W160+X160</f>
        <v>0</v>
      </c>
      <c r="Z160" s="2">
        <v>3.37604433298111E-09</v>
      </c>
      <c r="AA160" s="2">
        <v>0</v>
      </c>
      <c r="AB160" s="2">
        <v>0</v>
      </c>
      <c r="AC160" s="2">
        <v>0</v>
      </c>
      <c r="AD160" s="2">
        <v>224009.1700815854</v>
      </c>
      <c r="AE160" s="2">
        <v>1120045.850407927</v>
      </c>
      <c r="AF160" s="2">
        <f>F160-H160-L160-U160-AA160-AC160-AD160</f>
        <v>-9289729.860013599</v>
      </c>
      <c r="AG160" s="2">
        <f>F160-H160-L160-U160-AA160-AB160-AD160-Y160</f>
        <v>-9289729.860013599</v>
      </c>
      <c r="AH160" s="2">
        <f>AH159+AG160</f>
        <v>36876142.315220065</v>
      </c>
      <c r="AI160" s="2">
        <v>50013644.69269148</v>
      </c>
      <c r="AJ160" s="2">
        <f>AH160-AI160</f>
        <v>-13137502.37747141</v>
      </c>
      <c r="AK160" s="3">
        <v>0.25</v>
      </c>
    </row>
    <row r="161" spans="1:37">
      <c r="A161" s="2">
        <v>160</v>
      </c>
      <c r="B161" s="2">
        <v>2040</v>
      </c>
      <c r="C161" s="2">
        <v>43</v>
      </c>
      <c r="D161" s="2">
        <v>513972.1143709132</v>
      </c>
      <c r="E161" s="2">
        <v>22100800.91794927</v>
      </c>
      <c r="F161" s="2">
        <f>E161/1.19</f>
        <v>18572101.611722074</v>
      </c>
      <c r="G161" s="2">
        <v>60</v>
      </c>
      <c r="H161" s="2">
        <v>7153274.612576447</v>
      </c>
      <c r="I161" s="2">
        <v>116</v>
      </c>
      <c r="J161" s="2">
        <v>13776340.11532556</v>
      </c>
      <c r="K161" s="2">
        <v>5106746.766887924</v>
      </c>
      <c r="L161" s="2">
        <v>1892461.485319001</v>
      </c>
      <c r="M161" s="2">
        <v>9664787.501653111</v>
      </c>
      <c r="N161" s="3">
        <v>1.5</v>
      </c>
      <c r="O161" s="3">
        <v>2</v>
      </c>
      <c r="P161" s="2">
        <v>279021.4055557973</v>
      </c>
      <c r="Q161" s="2">
        <v>729347.2687857196</v>
      </c>
      <c r="R161" s="2">
        <v>367133.4283628912</v>
      </c>
      <c r="S161" s="2">
        <v>411189.4397664382</v>
      </c>
      <c r="T161" s="2">
        <v>4842489.920106535</v>
      </c>
      <c r="U161" s="2">
        <f>M161+P161+Q161+R161+S161+T161</f>
        <v>16293968.964230493</v>
      </c>
      <c r="V161" s="2">
        <f>F161-K161-L161-U161</f>
        <v>-4721075.604715344</v>
      </c>
      <c r="W161" s="2">
        <v>0</v>
      </c>
      <c r="X161" s="2">
        <v>0</v>
      </c>
      <c r="Y161" s="2">
        <f>W161+X161</f>
        <v>0</v>
      </c>
      <c r="Z161" s="2">
        <v>3.37604433298111E-09</v>
      </c>
      <c r="AA161" s="2">
        <v>0</v>
      </c>
      <c r="AB161" s="2">
        <v>0</v>
      </c>
      <c r="AC161" s="2">
        <v>0</v>
      </c>
      <c r="AD161" s="2">
        <v>224009.1700815852</v>
      </c>
      <c r="AE161" s="2">
        <v>1344055.020489512</v>
      </c>
      <c r="AF161" s="2">
        <f>F161-H161-L161-U161-AA161-AC161-AD161</f>
        <v>-6991612.620485453</v>
      </c>
      <c r="AG161" s="2">
        <f>F161-H161-L161-U161-AA161-AB161-AD161-Y161</f>
        <v>-6991612.620485453</v>
      </c>
      <c r="AH161" s="2">
        <f>AH160+AG161</f>
        <v>29884529.69473461</v>
      </c>
      <c r="AI161" s="2">
        <v>50013644.69269148</v>
      </c>
      <c r="AJ161" s="2">
        <f>AH161-AI161</f>
        <v>-20129114.997956865</v>
      </c>
      <c r="AK161" s="3">
        <v>0.25</v>
      </c>
    </row>
    <row r="162" spans="1:37">
      <c r="A162" s="2">
        <v>161</v>
      </c>
      <c r="B162" s="2">
        <v>2040</v>
      </c>
      <c r="C162" s="2">
        <v>51</v>
      </c>
      <c r="D162" s="2">
        <v>513972.1143709132</v>
      </c>
      <c r="E162" s="2">
        <v>26212577.83291657</v>
      </c>
      <c r="F162" s="2">
        <f>E162/1.19</f>
        <v>22027376.330181994</v>
      </c>
      <c r="G162" s="2">
        <v>70</v>
      </c>
      <c r="H162" s="2">
        <v>8345487.048005856</v>
      </c>
      <c r="I162" s="2">
        <v>135</v>
      </c>
      <c r="J162" s="2">
        <v>16056164.87661151</v>
      </c>
      <c r="K162" s="2">
        <v>6065662.286719904</v>
      </c>
      <c r="L162" s="2">
        <v>2245253.1908996</v>
      </c>
      <c r="M162" s="2">
        <v>9664787.501653111</v>
      </c>
      <c r="N162" s="3">
        <v>1.5</v>
      </c>
      <c r="O162" s="3">
        <v>2</v>
      </c>
      <c r="P162" s="2">
        <v>279021.4055557973</v>
      </c>
      <c r="Q162" s="2">
        <v>729347.2687857196</v>
      </c>
      <c r="R162" s="2">
        <v>367133.4283628912</v>
      </c>
      <c r="S162" s="2">
        <v>411189.4397664382</v>
      </c>
      <c r="T162" s="2">
        <v>4842489.920106535</v>
      </c>
      <c r="U162" s="2">
        <f>M162+P162+Q162+R162+S162+T162</f>
        <v>16293968.964230493</v>
      </c>
      <c r="V162" s="2">
        <f>F162-K162-L162-U162</f>
        <v>-2577508.111668002</v>
      </c>
      <c r="W162" s="2">
        <v>0</v>
      </c>
      <c r="X162" s="2">
        <v>0</v>
      </c>
      <c r="Y162" s="2">
        <f>W162+X162</f>
        <v>0</v>
      </c>
      <c r="Z162" s="2">
        <v>3.37604433298111E-09</v>
      </c>
      <c r="AA162" s="2">
        <v>0</v>
      </c>
      <c r="AB162" s="2">
        <v>0</v>
      </c>
      <c r="AC162" s="2">
        <v>0</v>
      </c>
      <c r="AD162" s="2">
        <v>224009.1700815852</v>
      </c>
      <c r="AE162" s="2">
        <v>1568064.190571097</v>
      </c>
      <c r="AF162" s="2">
        <f>F162-H162-L162-U162-AA162-AC162-AD162</f>
        <v>-5081342.043035541</v>
      </c>
      <c r="AG162" s="2">
        <f>F162-H162-L162-U162-AA162-AB162-AD162-Y162</f>
        <v>-5081342.043035541</v>
      </c>
      <c r="AH162" s="2">
        <f>AH161+AG162</f>
        <v>24803187.65169907</v>
      </c>
      <c r="AI162" s="2">
        <v>50013644.69269148</v>
      </c>
      <c r="AJ162" s="2">
        <f>AH162-AI162</f>
        <v>-25210457.040992405</v>
      </c>
      <c r="AK162" s="3">
        <v>0.25</v>
      </c>
    </row>
    <row r="163" spans="1:37">
      <c r="A163" s="2">
        <v>162</v>
      </c>
      <c r="B163" s="2">
        <v>2040</v>
      </c>
      <c r="C163" s="2">
        <v>60</v>
      </c>
      <c r="D163" s="2">
        <v>513972.1143709132</v>
      </c>
      <c r="E163" s="2">
        <v>30838326.86225479</v>
      </c>
      <c r="F163" s="2">
        <f>E163/1.19</f>
        <v>25914560.388449404</v>
      </c>
      <c r="G163" s="2">
        <v>80</v>
      </c>
      <c r="H163" s="2">
        <v>9537699.483435264</v>
      </c>
      <c r="I163" s="2">
        <v>155</v>
      </c>
      <c r="J163" s="2">
        <v>18451390.58515</v>
      </c>
      <c r="K163" s="2">
        <v>7142473.774896774</v>
      </c>
      <c r="L163" s="2">
        <v>2641986.381947045</v>
      </c>
      <c r="M163" s="2">
        <v>9664787.501653111</v>
      </c>
      <c r="N163" s="3">
        <v>1.5</v>
      </c>
      <c r="O163" s="3">
        <v>2</v>
      </c>
      <c r="P163" s="2">
        <v>279021.4055557973</v>
      </c>
      <c r="Q163" s="2">
        <v>729347.2687857196</v>
      </c>
      <c r="R163" s="2">
        <v>367133.4283628912</v>
      </c>
      <c r="S163" s="2">
        <v>411189.4397664382</v>
      </c>
      <c r="T163" s="2">
        <v>4842489.920106535</v>
      </c>
      <c r="U163" s="2">
        <f>M163+P163+Q163+R163+S163+T163</f>
        <v>16293968.964230493</v>
      </c>
      <c r="V163" s="2">
        <f>F163-K163-L163-U163</f>
        <v>-163868.73262490705</v>
      </c>
      <c r="W163" s="2">
        <v>0</v>
      </c>
      <c r="X163" s="2">
        <v>0</v>
      </c>
      <c r="Y163" s="2">
        <f>W163+X163</f>
        <v>0</v>
      </c>
      <c r="Z163" s="2">
        <v>3.37604433298111E-09</v>
      </c>
      <c r="AA163" s="2">
        <v>0</v>
      </c>
      <c r="AB163" s="2">
        <v>0</v>
      </c>
      <c r="AC163" s="2">
        <v>0</v>
      </c>
      <c r="AD163" s="2">
        <v>224009.1700815856</v>
      </c>
      <c r="AE163" s="2">
        <v>1792073.360652683</v>
      </c>
      <c r="AF163" s="2">
        <f>F163-H163-L163-U163-AA163-AC163-AD163</f>
        <v>-2783103.611244984</v>
      </c>
      <c r="AG163" s="2">
        <f>F163-H163-L163-U163-AA163-AB163-AD163-Y163</f>
        <v>-2783103.611244984</v>
      </c>
      <c r="AH163" s="2">
        <f>AH162+AG163</f>
        <v>22020084.040454086</v>
      </c>
      <c r="AI163" s="2">
        <v>50013644.69269148</v>
      </c>
      <c r="AJ163" s="2">
        <f>AH163-AI163</f>
        <v>-27993560.65223739</v>
      </c>
      <c r="AK163" s="3">
        <v>0.25</v>
      </c>
    </row>
    <row r="164" spans="1:37">
      <c r="A164" s="2">
        <v>163</v>
      </c>
      <c r="B164" s="2">
        <v>2040</v>
      </c>
      <c r="C164" s="2">
        <v>69</v>
      </c>
      <c r="D164" s="2">
        <v>513972.1143709132</v>
      </c>
      <c r="E164" s="2">
        <v>35464075.89159301</v>
      </c>
      <c r="F164" s="2">
        <f>E164/1.19</f>
        <v>29801744.446716815</v>
      </c>
      <c r="G164" s="2">
        <v>100</v>
      </c>
      <c r="H164" s="2">
        <v>11922124.35429408</v>
      </c>
      <c r="I164" s="2">
        <v>186</v>
      </c>
      <c r="J164" s="2">
        <v>22154799.13230039</v>
      </c>
      <c r="K164" s="2">
        <v>8218715.807143694</v>
      </c>
      <c r="L164" s="2">
        <v>3038674.016520094</v>
      </c>
      <c r="M164" s="2">
        <v>9664787.501653111</v>
      </c>
      <c r="N164" s="3">
        <v>1.5</v>
      </c>
      <c r="O164" s="3">
        <v>2</v>
      </c>
      <c r="P164" s="2">
        <v>279021.4055557973</v>
      </c>
      <c r="Q164" s="2">
        <v>729347.2687857196</v>
      </c>
      <c r="R164" s="2">
        <v>367133.4283628912</v>
      </c>
      <c r="S164" s="2">
        <v>411189.4397664382</v>
      </c>
      <c r="T164" s="2">
        <v>4842489.920106535</v>
      </c>
      <c r="U164" s="2">
        <f>M164+P164+Q164+R164+S164+T164</f>
        <v>16293968.964230493</v>
      </c>
      <c r="V164" s="2">
        <f>F164-K164-L164-U164</f>
        <v>2250385.6588225327</v>
      </c>
      <c r="W164" s="2">
        <v>0</v>
      </c>
      <c r="X164" s="2">
        <v>0</v>
      </c>
      <c r="Y164" s="2">
        <f>W164+X164</f>
        <v>0</v>
      </c>
      <c r="Z164" s="2">
        <v>3.37604433298111E-09</v>
      </c>
      <c r="AA164" s="2">
        <v>0</v>
      </c>
      <c r="AB164" s="2">
        <v>0</v>
      </c>
      <c r="AC164" s="2">
        <v>0</v>
      </c>
      <c r="AD164" s="2">
        <v>448018.3401631708</v>
      </c>
      <c r="AE164" s="2">
        <v>2240091.700815854</v>
      </c>
      <c r="AF164" s="2">
        <f>F164-H164-L164-U164-AA164-AC164-AD164</f>
        <v>-1901041.2284910227</v>
      </c>
      <c r="AG164" s="2">
        <f>F164-H164-L164-U164-AA164-AB164-AD164-Y164</f>
        <v>-1901041.2284910227</v>
      </c>
      <c r="AH164" s="2">
        <f>AH163+AG164</f>
        <v>20119042.811963063</v>
      </c>
      <c r="AI164" s="2">
        <v>50013644.69269148</v>
      </c>
      <c r="AJ164" s="2">
        <f>AH164-AI164</f>
        <v>-29894601.880728412</v>
      </c>
      <c r="AK164" s="3">
        <v>0.25</v>
      </c>
    </row>
    <row r="165" spans="1:37">
      <c r="A165" s="2">
        <v>164</v>
      </c>
      <c r="B165" s="2">
        <v>2040</v>
      </c>
      <c r="C165" s="2">
        <v>86</v>
      </c>
      <c r="D165" s="2">
        <v>513972.1143709132</v>
      </c>
      <c r="E165" s="2">
        <v>44201601.83589853</v>
      </c>
      <c r="F165" s="2">
        <f>E165/1.19</f>
        <v>37144203.22344415</v>
      </c>
      <c r="G165" s="2">
        <v>110</v>
      </c>
      <c r="H165" s="2">
        <v>13114336.78972349</v>
      </c>
      <c r="I165" s="2">
        <v>210</v>
      </c>
      <c r="J165" s="2">
        <v>25022022.10684127</v>
      </c>
      <c r="K165" s="2">
        <v>10247113.81518261</v>
      </c>
      <c r="L165" s="2">
        <v>3787612.593150543</v>
      </c>
      <c r="M165" s="2">
        <v>9664787.501653111</v>
      </c>
      <c r="N165" s="3">
        <v>1.5</v>
      </c>
      <c r="O165" s="3">
        <v>2</v>
      </c>
      <c r="P165" s="2">
        <v>279021.4055557973</v>
      </c>
      <c r="Q165" s="2">
        <v>729347.2687857196</v>
      </c>
      <c r="R165" s="2">
        <v>367133.4283628912</v>
      </c>
      <c r="S165" s="2">
        <v>411189.4397664382</v>
      </c>
      <c r="T165" s="2">
        <v>4842489.920106535</v>
      </c>
      <c r="U165" s="2">
        <f>M165+P165+Q165+R165+S165+T165</f>
        <v>16293968.964230493</v>
      </c>
      <c r="V165" s="2">
        <f>F165-K165-L165-U165</f>
        <v>6815507.850880504</v>
      </c>
      <c r="W165" s="2">
        <v>0</v>
      </c>
      <c r="X165" s="2">
        <v>0</v>
      </c>
      <c r="Y165" s="2">
        <f>W165+X165</f>
        <v>0</v>
      </c>
      <c r="Z165" s="2">
        <v>3.37604433298111E-09</v>
      </c>
      <c r="AA165" s="2">
        <v>0</v>
      </c>
      <c r="AB165" s="2">
        <v>0</v>
      </c>
      <c r="AC165" s="2">
        <v>0</v>
      </c>
      <c r="AD165" s="2">
        <v>224009.1700815847</v>
      </c>
      <c r="AE165" s="2">
        <v>2464100.870897438</v>
      </c>
      <c r="AF165" s="2">
        <f>F165-H165-L165-U165-AA165-AC165-AD165</f>
        <v>3724275.7062580446</v>
      </c>
      <c r="AG165" s="2">
        <f>F165-H165-L165-U165-AA165-AB165-AD165-Y165</f>
        <v>3724275.7062580446</v>
      </c>
      <c r="AH165" s="2">
        <f>AH164+AG165</f>
        <v>23843318.518221106</v>
      </c>
      <c r="AI165" s="2">
        <v>50013644.69269148</v>
      </c>
      <c r="AJ165" s="2">
        <f>AH165-AI165</f>
        <v>-26170326.17447037</v>
      </c>
      <c r="AK165" s="3">
        <v>0.25</v>
      </c>
    </row>
    <row r="166" spans="1:37">
      <c r="A166" s="2">
        <v>165</v>
      </c>
      <c r="B166" s="2">
        <v>2040</v>
      </c>
      <c r="C166" s="2">
        <v>94</v>
      </c>
      <c r="D166" s="2">
        <v>513972.1143709132</v>
      </c>
      <c r="E166" s="2">
        <v>48313378.75086584</v>
      </c>
      <c r="F166" s="2">
        <f>E166/1.19</f>
        <v>40599477.94190407</v>
      </c>
      <c r="G166" s="2">
        <v>120</v>
      </c>
      <c r="H166" s="2">
        <v>14306549.22515289</v>
      </c>
      <c r="I166" s="2">
        <v>236</v>
      </c>
      <c r="J166" s="2">
        <v>28125887.37682007</v>
      </c>
      <c r="K166" s="2">
        <v>11202683.95517409</v>
      </c>
      <c r="L166" s="2">
        <v>4140136.668343902</v>
      </c>
      <c r="M166" s="2">
        <v>9664787.501653111</v>
      </c>
      <c r="N166" s="3">
        <v>1.5</v>
      </c>
      <c r="O166" s="3">
        <v>2</v>
      </c>
      <c r="P166" s="2">
        <v>279021.4055557973</v>
      </c>
      <c r="Q166" s="2">
        <v>729347.2687857196</v>
      </c>
      <c r="R166" s="2">
        <v>367133.4283628912</v>
      </c>
      <c r="S166" s="2">
        <v>411189.4397664382</v>
      </c>
      <c r="T166" s="2">
        <v>4842489.920106535</v>
      </c>
      <c r="U166" s="2">
        <f>M166+P166+Q166+R166+S166+T166</f>
        <v>16293968.964230493</v>
      </c>
      <c r="V166" s="2">
        <f>F166-K166-L166-U166</f>
        <v>8962688.354155578</v>
      </c>
      <c r="W166" s="2">
        <v>0</v>
      </c>
      <c r="X166" s="2">
        <v>0</v>
      </c>
      <c r="Y166" s="2">
        <f>W166+X166</f>
        <v>0</v>
      </c>
      <c r="Z166" s="2">
        <v>3.37604433298111E-09</v>
      </c>
      <c r="AA166" s="2">
        <v>0</v>
      </c>
      <c r="AB166" s="2">
        <v>0</v>
      </c>
      <c r="AC166" s="2">
        <v>0</v>
      </c>
      <c r="AD166" s="2">
        <v>224009.1700815856</v>
      </c>
      <c r="AE166" s="2">
        <v>2688110.040979024</v>
      </c>
      <c r="AF166" s="2">
        <f>F166-H166-L166-U166-AA166-AC166-AD166</f>
        <v>5634813.914095193</v>
      </c>
      <c r="AG166" s="2">
        <f>F166-H166-L166-U166-AA166-AB166-AD166-Y166</f>
        <v>5634813.914095193</v>
      </c>
      <c r="AH166" s="2">
        <f>AH165+AG166</f>
        <v>29478132.4323163</v>
      </c>
      <c r="AI166" s="2">
        <v>50013644.69269148</v>
      </c>
      <c r="AJ166" s="2">
        <f>AH166-AI166</f>
        <v>-20535512.260375176</v>
      </c>
      <c r="AK166" s="3">
        <v>0.25</v>
      </c>
    </row>
    <row r="167" spans="1:37">
      <c r="A167" s="2">
        <v>166</v>
      </c>
      <c r="B167" s="2">
        <v>2040</v>
      </c>
      <c r="C167" s="2">
        <v>111</v>
      </c>
      <c r="D167" s="2">
        <v>513972.1143709132</v>
      </c>
      <c r="E167" s="2">
        <v>57050904.69517136</v>
      </c>
      <c r="F167" s="2">
        <f>E167/1.19</f>
        <v>47941936.7186314</v>
      </c>
      <c r="G167" s="2">
        <v>150</v>
      </c>
      <c r="H167" s="2">
        <v>17883186.53144112</v>
      </c>
      <c r="I167" s="2">
        <v>275</v>
      </c>
      <c r="J167" s="2">
        <v>32778485.29733634</v>
      </c>
      <c r="K167" s="2">
        <v>13230588.61092485</v>
      </c>
      <c r="L167" s="2">
        <v>4889035.776791299</v>
      </c>
      <c r="M167" s="2">
        <v>9664787.501653111</v>
      </c>
      <c r="N167" s="3">
        <v>1.5</v>
      </c>
      <c r="O167" s="3">
        <v>2</v>
      </c>
      <c r="P167" s="2">
        <v>279021.4055557973</v>
      </c>
      <c r="Q167" s="2">
        <v>729347.2687857196</v>
      </c>
      <c r="R167" s="2">
        <v>367133.4283628912</v>
      </c>
      <c r="S167" s="2">
        <v>411189.4397664382</v>
      </c>
      <c r="T167" s="2">
        <v>4842489.920106535</v>
      </c>
      <c r="U167" s="2">
        <f>M167+P167+Q167+R167+S167+T167</f>
        <v>16293968.964230493</v>
      </c>
      <c r="V167" s="2">
        <f>F167-K167-L167-U167</f>
        <v>13528343.366684765</v>
      </c>
      <c r="W167" s="2">
        <v>0</v>
      </c>
      <c r="X167" s="2">
        <v>0</v>
      </c>
      <c r="Y167" s="2">
        <f>W167+X167</f>
        <v>0</v>
      </c>
      <c r="Z167" s="2">
        <v>3.37604433298111E-09</v>
      </c>
      <c r="AA167" s="2">
        <v>0</v>
      </c>
      <c r="AB167" s="2">
        <v>0</v>
      </c>
      <c r="AC167" s="2">
        <v>0</v>
      </c>
      <c r="AD167" s="2">
        <v>672027.510244756</v>
      </c>
      <c r="AE167" s="2">
        <v>3360137.55122378</v>
      </c>
      <c r="AF167" s="2">
        <f>F167-H167-L167-U167-AA167-AC167-AD167</f>
        <v>8203717.935923734</v>
      </c>
      <c r="AG167" s="2">
        <f>F167-H167-L167-U167-AA167-AB167-AD167-Y167</f>
        <v>8203717.935923734</v>
      </c>
      <c r="AH167" s="2">
        <f>AH166+AG167</f>
        <v>37681850.368240036</v>
      </c>
      <c r="AI167" s="2">
        <v>50013644.69269148</v>
      </c>
      <c r="AJ167" s="2">
        <f>AH167-AI167</f>
        <v>-12331794.32445144</v>
      </c>
      <c r="AK167" s="3">
        <v>0.25</v>
      </c>
    </row>
    <row r="168" spans="1:37">
      <c r="A168" s="2">
        <v>167</v>
      </c>
      <c r="B168" s="2">
        <v>2040</v>
      </c>
      <c r="C168" s="2">
        <v>120</v>
      </c>
      <c r="D168" s="2">
        <v>513972.1143709132</v>
      </c>
      <c r="E168" s="2">
        <v>61676653.72450958</v>
      </c>
      <c r="F168" s="2">
        <f>E168/1.19</f>
        <v>51829120.77689881</v>
      </c>
      <c r="G168" s="2">
        <v>10</v>
      </c>
      <c r="H168" s="2">
        <v>1192212.435429408</v>
      </c>
      <c r="I168" s="2">
        <v>165</v>
      </c>
      <c r="J168" s="2">
        <v>19667246.05581175</v>
      </c>
      <c r="K168" s="2">
        <v>14303451.676954</v>
      </c>
      <c r="L168" s="2">
        <v>5285453.094066925</v>
      </c>
      <c r="M168" s="2">
        <v>9664787.501653111</v>
      </c>
      <c r="N168" s="3">
        <v>1.5</v>
      </c>
      <c r="O168" s="3">
        <v>2</v>
      </c>
      <c r="P168" s="2">
        <v>279021.4055557973</v>
      </c>
      <c r="Q168" s="2">
        <v>729347.2687857196</v>
      </c>
      <c r="R168" s="2">
        <v>367133.4283628912</v>
      </c>
      <c r="S168" s="2">
        <v>411189.4397664382</v>
      </c>
      <c r="T168" s="2">
        <v>4842489.920106535</v>
      </c>
      <c r="U168" s="2">
        <f>M168+P168+Q168+R168+S168+T168</f>
        <v>16293968.964230493</v>
      </c>
      <c r="V168" s="2">
        <f>F168-K168-L168-U168</f>
        <v>15946247.041647397</v>
      </c>
      <c r="W168" s="2">
        <v>0</v>
      </c>
      <c r="X168" s="2">
        <v>0</v>
      </c>
      <c r="Y168" s="2">
        <f>W168+X168</f>
        <v>0</v>
      </c>
      <c r="Z168" s="2">
        <v>3.37604433298111E-09</v>
      </c>
      <c r="AA168" s="2">
        <v>0</v>
      </c>
      <c r="AB168" s="2">
        <v>0</v>
      </c>
      <c r="AC168" s="2">
        <v>0</v>
      </c>
      <c r="AD168" s="2">
        <v>-3136128.381142195</v>
      </c>
      <c r="AE168" s="2">
        <v>224009.1700815854</v>
      </c>
      <c r="AF168" s="2">
        <f>F168-H168-L168-U168-AA168-AC168-AD168</f>
        <v>32193614.664314177</v>
      </c>
      <c r="AG168" s="2">
        <f>F168-H168-L168-U168-AA168-AB168-AD168-Y168</f>
        <v>32193614.664314177</v>
      </c>
      <c r="AH168" s="2">
        <f>AH167+AG168</f>
        <v>69875465.03255421</v>
      </c>
      <c r="AI168" s="2">
        <v>50013644.69269148</v>
      </c>
      <c r="AJ168" s="2">
        <f>AH168-AI168</f>
        <v>19861820.339862734</v>
      </c>
      <c r="AK168" s="3">
        <v>0.25</v>
      </c>
    </row>
    <row r="169" spans="1:37">
      <c r="A169" s="2">
        <v>168</v>
      </c>
      <c r="B169" s="2">
        <v>2040</v>
      </c>
      <c r="C169" s="2">
        <v>146</v>
      </c>
      <c r="D169" s="2">
        <v>513972.1143709132</v>
      </c>
      <c r="E169" s="2">
        <v>75039928.69815332</v>
      </c>
      <c r="F169" s="2">
        <f>E169/1.19</f>
        <v>63058763.61189355</v>
      </c>
      <c r="G169" s="2">
        <v>30</v>
      </c>
      <c r="H169" s="2">
        <v>3576637.306288224</v>
      </c>
      <c r="I169" s="2">
        <v>49</v>
      </c>
      <c r="J169" s="2">
        <v>5840770.690989222</v>
      </c>
      <c r="K169" s="2">
        <v>17403112.67111075</v>
      </c>
      <c r="L169" s="2">
        <v>6430680.981580097</v>
      </c>
      <c r="M169" s="2">
        <v>9664787.501653111</v>
      </c>
      <c r="N169" s="3">
        <v>1.5</v>
      </c>
      <c r="O169" s="3">
        <v>2</v>
      </c>
      <c r="P169" s="2">
        <v>279021.4055557973</v>
      </c>
      <c r="Q169" s="2">
        <v>729347.2687857196</v>
      </c>
      <c r="R169" s="2">
        <v>367133.4283628912</v>
      </c>
      <c r="S169" s="2">
        <v>411189.4397664382</v>
      </c>
      <c r="T169" s="2">
        <v>4842489.920106535</v>
      </c>
      <c r="U169" s="2">
        <f>M169+P169+Q169+R169+S169+T169</f>
        <v>16293968.964230493</v>
      </c>
      <c r="V169" s="2">
        <f>F169-K169-L169-U169</f>
        <v>22931000.994972214</v>
      </c>
      <c r="W169" s="2">
        <v>0</v>
      </c>
      <c r="X169" s="2">
        <v>0</v>
      </c>
      <c r="Y169" s="2">
        <f>W169+X169</f>
        <v>0</v>
      </c>
      <c r="Z169" s="2">
        <v>3.37604433298111E-09</v>
      </c>
      <c r="AA169" s="2">
        <v>0</v>
      </c>
      <c r="AB169" s="2">
        <v>8588116.369961146</v>
      </c>
      <c r="AC169" s="2">
        <v>8588116.369961146</v>
      </c>
      <c r="AD169" s="2">
        <v>448018.3401631707</v>
      </c>
      <c r="AE169" s="2">
        <v>672027.510244756</v>
      </c>
      <c r="AF169" s="2">
        <f>F169-H169-L169-U169-AA169-AC169-AD169</f>
        <v>27721341.64967042</v>
      </c>
      <c r="AG169" s="2">
        <f>F169-H169-L169-U169-AA169-AB169-AD169-Y169</f>
        <v>27721341.64967042</v>
      </c>
      <c r="AH169" s="2">
        <f>AH168+AG169</f>
        <v>97596806.68222463</v>
      </c>
      <c r="AI169" s="2">
        <v>50013644.69269148</v>
      </c>
      <c r="AJ169" s="2">
        <f>AH169-AI169</f>
        <v>47583161.989533156</v>
      </c>
      <c r="AK169" s="3">
        <v>0.25</v>
      </c>
    </row>
    <row r="170" spans="1:37">
      <c r="A170" s="2">
        <v>169</v>
      </c>
      <c r="B170" s="2">
        <v>2041</v>
      </c>
      <c r="C170" s="2">
        <v>18</v>
      </c>
      <c r="D170" s="2">
        <v>529391.2778020406</v>
      </c>
      <c r="E170" s="2">
        <v>9529043.000436731</v>
      </c>
      <c r="F170" s="2">
        <f>E170/1.19</f>
        <v>8007599.160030866</v>
      </c>
      <c r="G170" s="2">
        <v>40</v>
      </c>
      <c r="H170" s="2">
        <v>4911915.233969161</v>
      </c>
      <c r="I170" s="2">
        <v>71</v>
      </c>
      <c r="J170" s="2">
        <v>8577985.400809497</v>
      </c>
      <c r="K170" s="2">
        <v>2174700.524148887</v>
      </c>
      <c r="L170" s="2">
        <v>813787.8822380996</v>
      </c>
      <c r="M170" s="2">
        <v>9954731.126702705</v>
      </c>
      <c r="N170" s="3">
        <v>1.5</v>
      </c>
      <c r="O170" s="3">
        <v>2</v>
      </c>
      <c r="P170" s="2">
        <v>287392.0477224712</v>
      </c>
      <c r="Q170" s="2">
        <v>777471.1185755276</v>
      </c>
      <c r="R170" s="2">
        <v>378147.431213778</v>
      </c>
      <c r="S170" s="2">
        <v>423525.1229594313</v>
      </c>
      <c r="T170" s="2">
        <v>5237341.922310825</v>
      </c>
      <c r="U170" s="2">
        <f>M170+P170+Q170+R170+S170+T170</f>
        <v>17058608.76948474</v>
      </c>
      <c r="V170" s="2">
        <f>F170-K170-L170-U170</f>
        <v>-12039498.01584086</v>
      </c>
      <c r="W170" s="2">
        <v>0</v>
      </c>
      <c r="X170" s="2">
        <v>0</v>
      </c>
      <c r="Y170" s="2">
        <f>W170+X170</f>
        <v>0</v>
      </c>
      <c r="Z170" s="2">
        <v>3.37604433298111E-09</v>
      </c>
      <c r="AA170" s="2">
        <v>0</v>
      </c>
      <c r="AB170" s="2">
        <v>0</v>
      </c>
      <c r="AC170" s="2">
        <v>0</v>
      </c>
      <c r="AD170" s="2">
        <v>250890.2704913757</v>
      </c>
      <c r="AE170" s="2">
        <v>922917.7807361317</v>
      </c>
      <c r="AF170" s="2">
        <f>F170-H170-L170-U170-AA170-AC170-AD170</f>
        <v>-15027602.99615251</v>
      </c>
      <c r="AG170" s="2">
        <f>F170-H170-L170-U170-AA170-AB170-AD170-Y170</f>
        <v>-15027602.99615251</v>
      </c>
      <c r="AH170" s="2">
        <f>AH169+AG170</f>
        <v>82569203.68607213</v>
      </c>
      <c r="AI170" s="2">
        <v>52307564.10845421</v>
      </c>
      <c r="AJ170" s="2">
        <f>AH170-AI170</f>
        <v>30261639.577617913</v>
      </c>
      <c r="AK170" s="3">
        <v>0.25</v>
      </c>
    </row>
    <row r="171" spans="1:37">
      <c r="A171" s="2">
        <v>170</v>
      </c>
      <c r="B171" s="2">
        <v>2041</v>
      </c>
      <c r="C171" s="2">
        <v>27</v>
      </c>
      <c r="D171" s="2">
        <v>529391.2778020406</v>
      </c>
      <c r="E171" s="2">
        <v>14293564.5006551</v>
      </c>
      <c r="F171" s="2">
        <f>E171/1.19</f>
        <v>12011398.7400463</v>
      </c>
      <c r="G171" s="2">
        <v>40</v>
      </c>
      <c r="H171" s="2">
        <v>4911915.233969161</v>
      </c>
      <c r="I171" s="2">
        <v>84</v>
      </c>
      <c r="J171" s="2">
        <v>10208573.45334601</v>
      </c>
      <c r="K171" s="2">
        <v>3281327.181432646</v>
      </c>
      <c r="L171" s="2">
        <v>1222223.934973895</v>
      </c>
      <c r="M171" s="2">
        <v>9954731.126702705</v>
      </c>
      <c r="N171" s="3">
        <v>1.5</v>
      </c>
      <c r="O171" s="3">
        <v>2</v>
      </c>
      <c r="P171" s="2">
        <v>287392.0477224712</v>
      </c>
      <c r="Q171" s="2">
        <v>777471.1185755276</v>
      </c>
      <c r="R171" s="2">
        <v>378147.431213778</v>
      </c>
      <c r="S171" s="2">
        <v>423525.1229594313</v>
      </c>
      <c r="T171" s="2">
        <v>5237341.922310825</v>
      </c>
      <c r="U171" s="2">
        <f>M171+P171+Q171+R171+S171+T171</f>
        <v>17058608.76948474</v>
      </c>
      <c r="V171" s="2">
        <f>F171-K171-L171-U171</f>
        <v>-9550761.145844981</v>
      </c>
      <c r="W171" s="2">
        <v>0</v>
      </c>
      <c r="X171" s="2">
        <v>0</v>
      </c>
      <c r="Y171" s="2">
        <f>W171+X171</f>
        <v>0</v>
      </c>
      <c r="Z171" s="2">
        <v>3.37604433298111E-09</v>
      </c>
      <c r="AA171" s="2">
        <v>0</v>
      </c>
      <c r="AB171" s="2">
        <v>0</v>
      </c>
      <c r="AC171" s="2">
        <v>0</v>
      </c>
      <c r="AD171" s="2">
        <v>0</v>
      </c>
      <c r="AE171" s="2">
        <v>922917.7807361317</v>
      </c>
      <c r="AF171" s="2">
        <f>F171-H171-L171-U171-AA171-AC171-AD171</f>
        <v>-11181349.198381495</v>
      </c>
      <c r="AG171" s="2">
        <f>F171-H171-L171-U171-AA171-AB171-AD171-Y171</f>
        <v>-11181349.198381495</v>
      </c>
      <c r="AH171" s="2">
        <f>AH170+AG171</f>
        <v>71387854.48769063</v>
      </c>
      <c r="AI171" s="2">
        <v>52307564.10845421</v>
      </c>
      <c r="AJ171" s="2">
        <f>AH171-AI171</f>
        <v>19080290.379236415</v>
      </c>
      <c r="AK171" s="3">
        <v>0.25</v>
      </c>
    </row>
    <row r="172" spans="1:37">
      <c r="A172" s="2">
        <v>171</v>
      </c>
      <c r="B172" s="2">
        <v>2041</v>
      </c>
      <c r="C172" s="2">
        <v>36</v>
      </c>
      <c r="D172" s="2">
        <v>529391.2778020406</v>
      </c>
      <c r="E172" s="2">
        <v>19058086.00087346</v>
      </c>
      <c r="F172" s="2">
        <f>E172/1.19</f>
        <v>16015198.320061732</v>
      </c>
      <c r="G172" s="2">
        <v>60</v>
      </c>
      <c r="H172" s="2">
        <v>7367872.850953742</v>
      </c>
      <c r="I172" s="2">
        <v>108</v>
      </c>
      <c r="J172" s="2">
        <v>13182334.72822482</v>
      </c>
      <c r="K172" s="2">
        <v>4394111.576074938</v>
      </c>
      <c r="L172" s="2">
        <v>1631152.606698372</v>
      </c>
      <c r="M172" s="2">
        <v>9954731.126702705</v>
      </c>
      <c r="N172" s="3">
        <v>1.5</v>
      </c>
      <c r="O172" s="3">
        <v>2</v>
      </c>
      <c r="P172" s="2">
        <v>287392.0477224712</v>
      </c>
      <c r="Q172" s="2">
        <v>777471.1185755276</v>
      </c>
      <c r="R172" s="2">
        <v>378147.431213778</v>
      </c>
      <c r="S172" s="2">
        <v>423525.1229594313</v>
      </c>
      <c r="T172" s="2">
        <v>5237341.922310825</v>
      </c>
      <c r="U172" s="2">
        <f>M172+P172+Q172+R172+S172+T172</f>
        <v>17058608.76948474</v>
      </c>
      <c r="V172" s="2">
        <f>F172-K172-L172-U172</f>
        <v>-7068674.632196318</v>
      </c>
      <c r="W172" s="2">
        <v>0</v>
      </c>
      <c r="X172" s="2">
        <v>0</v>
      </c>
      <c r="Y172" s="2">
        <f>W172+X172</f>
        <v>0</v>
      </c>
      <c r="Z172" s="2">
        <v>3.37604433298111E-09</v>
      </c>
      <c r="AA172" s="2">
        <v>0</v>
      </c>
      <c r="AB172" s="2">
        <v>0</v>
      </c>
      <c r="AC172" s="2">
        <v>0</v>
      </c>
      <c r="AD172" s="2">
        <v>461458.8903680657</v>
      </c>
      <c r="AE172" s="2">
        <v>1384376.671104197</v>
      </c>
      <c r="AF172" s="2">
        <f>F172-H172-L172-U172-AA172-AC172-AD172</f>
        <v>-10503894.797443187</v>
      </c>
      <c r="AG172" s="2">
        <f>F172-H172-L172-U172-AA172-AB172-AD172-Y172</f>
        <v>-10503894.797443187</v>
      </c>
      <c r="AH172" s="2">
        <f>AH171+AG172</f>
        <v>60883959.69024744</v>
      </c>
      <c r="AI172" s="2">
        <v>52307564.10845421</v>
      </c>
      <c r="AJ172" s="2">
        <f>AH172-AI172</f>
        <v>8576395.581793226</v>
      </c>
      <c r="AK172" s="3">
        <v>0.25</v>
      </c>
    </row>
    <row r="173" spans="1:37">
      <c r="A173" s="2">
        <v>172</v>
      </c>
      <c r="B173" s="2">
        <v>2041</v>
      </c>
      <c r="C173" s="2">
        <v>45</v>
      </c>
      <c r="D173" s="2">
        <v>529391.2778020406</v>
      </c>
      <c r="E173" s="2">
        <v>23822607.50109183</v>
      </c>
      <c r="F173" s="2">
        <f>E173/1.19</f>
        <v>20018997.900077168</v>
      </c>
      <c r="G173" s="2">
        <v>60</v>
      </c>
      <c r="H173" s="2">
        <v>7367872.850953742</v>
      </c>
      <c r="I173" s="2">
        <v>123</v>
      </c>
      <c r="J173" s="2">
        <v>15045687.69189859</v>
      </c>
      <c r="K173" s="2">
        <v>5504519.887279971</v>
      </c>
      <c r="L173" s="2">
        <v>2039891.191747869</v>
      </c>
      <c r="M173" s="2">
        <v>9954731.126702705</v>
      </c>
      <c r="N173" s="3">
        <v>1.5</v>
      </c>
      <c r="O173" s="3">
        <v>2</v>
      </c>
      <c r="P173" s="2">
        <v>287392.0477224712</v>
      </c>
      <c r="Q173" s="2">
        <v>777471.1185755276</v>
      </c>
      <c r="R173" s="2">
        <v>378147.431213778</v>
      </c>
      <c r="S173" s="2">
        <v>423525.1229594313</v>
      </c>
      <c r="T173" s="2">
        <v>5237341.922310825</v>
      </c>
      <c r="U173" s="2">
        <f>M173+P173+Q173+R173+S173+T173</f>
        <v>17058608.76948474</v>
      </c>
      <c r="V173" s="2">
        <f>F173-K173-L173-U173</f>
        <v>-4584021.948435411</v>
      </c>
      <c r="W173" s="2">
        <v>0</v>
      </c>
      <c r="X173" s="2">
        <v>0</v>
      </c>
      <c r="Y173" s="2">
        <f>W173+X173</f>
        <v>0</v>
      </c>
      <c r="Z173" s="2">
        <v>3.37604433298111E-09</v>
      </c>
      <c r="AA173" s="2">
        <v>0</v>
      </c>
      <c r="AB173" s="2">
        <v>0</v>
      </c>
      <c r="AC173" s="2">
        <v>0</v>
      </c>
      <c r="AD173" s="2">
        <v>0</v>
      </c>
      <c r="AE173" s="2">
        <v>1384376.671104197</v>
      </c>
      <c r="AF173" s="2">
        <f>F173-H173-L173-U173-AA173-AC173-AD173</f>
        <v>-6447374.912109183</v>
      </c>
      <c r="AG173" s="2">
        <f>F173-H173-L173-U173-AA173-AB173-AD173-Y173</f>
        <v>-6447374.912109183</v>
      </c>
      <c r="AH173" s="2">
        <f>AH172+AG173</f>
        <v>54436584.77813826</v>
      </c>
      <c r="AI173" s="2">
        <v>52307564.10845421</v>
      </c>
      <c r="AJ173" s="2">
        <f>AH173-AI173</f>
        <v>2129020.669684045</v>
      </c>
      <c r="AK173" s="3">
        <v>0.25</v>
      </c>
    </row>
    <row r="174" spans="1:37">
      <c r="A174" s="2">
        <v>173</v>
      </c>
      <c r="B174" s="2">
        <v>2041</v>
      </c>
      <c r="C174" s="2">
        <v>54</v>
      </c>
      <c r="D174" s="2">
        <v>529391.2778020406</v>
      </c>
      <c r="E174" s="2">
        <v>28587129.00131019</v>
      </c>
      <c r="F174" s="2">
        <f>E174/1.19</f>
        <v>24022797.4800926</v>
      </c>
      <c r="G174" s="2">
        <v>70</v>
      </c>
      <c r="H174" s="2">
        <v>8595851.659446033</v>
      </c>
      <c r="I174" s="2">
        <v>139</v>
      </c>
      <c r="J174" s="2">
        <v>17026808.13386996</v>
      </c>
      <c r="K174" s="2">
        <v>6614731.217474661</v>
      </c>
      <c r="L174" s="2">
        <v>2448614.018316539</v>
      </c>
      <c r="M174" s="2">
        <v>9954731.126702705</v>
      </c>
      <c r="N174" s="3">
        <v>1.5</v>
      </c>
      <c r="O174" s="3">
        <v>2</v>
      </c>
      <c r="P174" s="2">
        <v>287392.0477224712</v>
      </c>
      <c r="Q174" s="2">
        <v>777471.1185755276</v>
      </c>
      <c r="R174" s="2">
        <v>378147.431213778</v>
      </c>
      <c r="S174" s="2">
        <v>423525.1229594313</v>
      </c>
      <c r="T174" s="2">
        <v>5237341.922310825</v>
      </c>
      <c r="U174" s="2">
        <f>M174+P174+Q174+R174+S174+T174</f>
        <v>17058608.76948474</v>
      </c>
      <c r="V174" s="2">
        <f>F174-K174-L174-U174</f>
        <v>-2099156.5251833405</v>
      </c>
      <c r="W174" s="2">
        <v>0</v>
      </c>
      <c r="X174" s="2">
        <v>0</v>
      </c>
      <c r="Y174" s="2">
        <f>W174+X174</f>
        <v>0</v>
      </c>
      <c r="Z174" s="2">
        <v>3.37604433298111E-09</v>
      </c>
      <c r="AA174" s="2">
        <v>0</v>
      </c>
      <c r="AB174" s="2">
        <v>0</v>
      </c>
      <c r="AC174" s="2">
        <v>0</v>
      </c>
      <c r="AD174" s="2">
        <v>230729.4451840331</v>
      </c>
      <c r="AE174" s="2">
        <v>1615106.116288231</v>
      </c>
      <c r="AF174" s="2">
        <f>F174-H174-L174-U174-AA174-AC174-AD174</f>
        <v>-4311006.412338745</v>
      </c>
      <c r="AG174" s="2">
        <f>F174-H174-L174-U174-AA174-AB174-AD174-Y174</f>
        <v>-4311006.412338745</v>
      </c>
      <c r="AH174" s="2">
        <f>AH173+AG174</f>
        <v>50125578.36579952</v>
      </c>
      <c r="AI174" s="2">
        <v>52307564.10845421</v>
      </c>
      <c r="AJ174" s="2">
        <f>AH174-AI174</f>
        <v>-2181985.742654696</v>
      </c>
      <c r="AK174" s="3">
        <v>0.25</v>
      </c>
    </row>
    <row r="175" spans="1:37">
      <c r="A175" s="2">
        <v>174</v>
      </c>
      <c r="B175" s="2">
        <v>2041</v>
      </c>
      <c r="C175" s="2">
        <v>63</v>
      </c>
      <c r="D175" s="2">
        <v>529391.2778020406</v>
      </c>
      <c r="E175" s="2">
        <v>33351650.50152856</v>
      </c>
      <c r="F175" s="2">
        <f>E175/1.19</f>
        <v>28026597.060108032</v>
      </c>
      <c r="G175" s="2">
        <v>90</v>
      </c>
      <c r="H175" s="2">
        <v>11051809.27643061</v>
      </c>
      <c r="I175" s="2">
        <v>166</v>
      </c>
      <c r="J175" s="2">
        <v>20353932.27122225</v>
      </c>
      <c r="K175" s="2">
        <v>7724685.139078325</v>
      </c>
      <c r="L175" s="2">
        <v>2857316.252197926</v>
      </c>
      <c r="M175" s="2">
        <v>9954731.126702705</v>
      </c>
      <c r="N175" s="3">
        <v>1.5</v>
      </c>
      <c r="O175" s="3">
        <v>2</v>
      </c>
      <c r="P175" s="2">
        <v>287392.0477224712</v>
      </c>
      <c r="Q175" s="2">
        <v>777471.1185755276</v>
      </c>
      <c r="R175" s="2">
        <v>378147.431213778</v>
      </c>
      <c r="S175" s="2">
        <v>423525.1229594313</v>
      </c>
      <c r="T175" s="2">
        <v>5237341.922310825</v>
      </c>
      <c r="U175" s="2">
        <f>M175+P175+Q175+R175+S175+T175</f>
        <v>17058608.76948474</v>
      </c>
      <c r="V175" s="2">
        <f>F175-K175-L175-U175</f>
        <v>385986.8993470445</v>
      </c>
      <c r="W175" s="2">
        <v>0</v>
      </c>
      <c r="X175" s="2">
        <v>0</v>
      </c>
      <c r="Y175" s="2">
        <f>W175+X175</f>
        <v>0</v>
      </c>
      <c r="Z175" s="2">
        <v>3.37604433298111E-09</v>
      </c>
      <c r="AA175" s="2">
        <v>0</v>
      </c>
      <c r="AB175" s="2">
        <v>0</v>
      </c>
      <c r="AC175" s="2">
        <v>0</v>
      </c>
      <c r="AD175" s="2">
        <v>461458.890368066</v>
      </c>
      <c r="AE175" s="2">
        <v>2076565.006656297</v>
      </c>
      <c r="AF175" s="2">
        <f>F175-H175-L175-U175-AA175-AC175-AD175</f>
        <v>-3402596.1283733146</v>
      </c>
      <c r="AG175" s="2">
        <f>F175-H175-L175-U175-AA175-AB175-AD175-Y175</f>
        <v>-3402596.1283733146</v>
      </c>
      <c r="AH175" s="2">
        <f>AH174+AG175</f>
        <v>46722982.2374262</v>
      </c>
      <c r="AI175" s="2">
        <v>52307564.10845421</v>
      </c>
      <c r="AJ175" s="2">
        <f>AH175-AI175</f>
        <v>-5584581.8710280135</v>
      </c>
      <c r="AK175" s="3">
        <v>0.25</v>
      </c>
    </row>
    <row r="176" spans="1:37">
      <c r="A176" s="2">
        <v>175</v>
      </c>
      <c r="B176" s="2">
        <v>2041</v>
      </c>
      <c r="C176" s="2">
        <v>72</v>
      </c>
      <c r="D176" s="2">
        <v>529391.2778020406</v>
      </c>
      <c r="E176" s="2">
        <v>38116172.00174692</v>
      </c>
      <c r="F176" s="2">
        <f>E176/1.19</f>
        <v>32030396.640123464</v>
      </c>
      <c r="G176" s="2">
        <v>100</v>
      </c>
      <c r="H176" s="2">
        <v>12279788.0849229</v>
      </c>
      <c r="I176" s="2">
        <v>194</v>
      </c>
      <c r="J176" s="2">
        <v>23800532.89132391</v>
      </c>
      <c r="K176" s="2">
        <v>8833187.464821244</v>
      </c>
      <c r="L176" s="2">
        <v>3265902.358410454</v>
      </c>
      <c r="M176" s="2">
        <v>9954731.126702705</v>
      </c>
      <c r="N176" s="3">
        <v>1.5</v>
      </c>
      <c r="O176" s="3">
        <v>2</v>
      </c>
      <c r="P176" s="2">
        <v>287392.0477224712</v>
      </c>
      <c r="Q176" s="2">
        <v>777471.1185755276</v>
      </c>
      <c r="R176" s="2">
        <v>378147.431213778</v>
      </c>
      <c r="S176" s="2">
        <v>423525.1229594313</v>
      </c>
      <c r="T176" s="2">
        <v>5237341.922310825</v>
      </c>
      <c r="U176" s="2">
        <f>M176+P176+Q176+R176+S176+T176</f>
        <v>17058608.76948474</v>
      </c>
      <c r="V176" s="2">
        <f>F176-K176-L176-U176</f>
        <v>2872698.0474070273</v>
      </c>
      <c r="W176" s="2">
        <v>0</v>
      </c>
      <c r="X176" s="2">
        <v>0</v>
      </c>
      <c r="Y176" s="2">
        <f>W176+X176</f>
        <v>0</v>
      </c>
      <c r="Z176" s="2">
        <v>3.37604433298111E-09</v>
      </c>
      <c r="AA176" s="2">
        <v>0</v>
      </c>
      <c r="AB176" s="2">
        <v>0</v>
      </c>
      <c r="AC176" s="2">
        <v>0</v>
      </c>
      <c r="AD176" s="2">
        <v>230729.4451840329</v>
      </c>
      <c r="AE176" s="2">
        <v>2307294.451840329</v>
      </c>
      <c r="AF176" s="2">
        <f>F176-H176-L176-U176-AA176-AC176-AD176</f>
        <v>-804632.017878666</v>
      </c>
      <c r="AG176" s="2">
        <f>F176-H176-L176-U176-AA176-AB176-AD176-Y176</f>
        <v>-804632.017878666</v>
      </c>
      <c r="AH176" s="2">
        <f>AH175+AG176</f>
        <v>45918350.21954753</v>
      </c>
      <c r="AI176" s="2">
        <v>52307564.10845421</v>
      </c>
      <c r="AJ176" s="2">
        <f>AH176-AI176</f>
        <v>-6389213.88890668</v>
      </c>
      <c r="AK176" s="3">
        <v>0.25</v>
      </c>
    </row>
    <row r="177" spans="1:37">
      <c r="A177" s="2">
        <v>176</v>
      </c>
      <c r="B177" s="2">
        <v>2041</v>
      </c>
      <c r="C177" s="2">
        <v>90</v>
      </c>
      <c r="D177" s="2">
        <v>529391.2778020406</v>
      </c>
      <c r="E177" s="2">
        <v>47645215.00218365</v>
      </c>
      <c r="F177" s="2">
        <f>E177/1.19</f>
        <v>40037995.800154336</v>
      </c>
      <c r="G177" s="2">
        <v>120</v>
      </c>
      <c r="H177" s="2">
        <v>14735745.70190748</v>
      </c>
      <c r="I177" s="2">
        <v>224</v>
      </c>
      <c r="J177" s="2">
        <v>27490848.42319692</v>
      </c>
      <c r="K177" s="2">
        <v>11045430.17003448</v>
      </c>
      <c r="L177" s="2">
        <v>4082693.615133701</v>
      </c>
      <c r="M177" s="2">
        <v>9954731.126702705</v>
      </c>
      <c r="N177" s="3">
        <v>1.5</v>
      </c>
      <c r="O177" s="3">
        <v>2</v>
      </c>
      <c r="P177" s="2">
        <v>287392.0477224712</v>
      </c>
      <c r="Q177" s="2">
        <v>777471.1185755276</v>
      </c>
      <c r="R177" s="2">
        <v>378147.431213778</v>
      </c>
      <c r="S177" s="2">
        <v>423525.1229594313</v>
      </c>
      <c r="T177" s="2">
        <v>5237341.922310825</v>
      </c>
      <c r="U177" s="2">
        <f>M177+P177+Q177+R177+S177+T177</f>
        <v>17058608.76948474</v>
      </c>
      <c r="V177" s="2">
        <f>F177-K177-L177-U177</f>
        <v>7851263.245501418</v>
      </c>
      <c r="W177" s="2">
        <v>0</v>
      </c>
      <c r="X177" s="2">
        <v>0</v>
      </c>
      <c r="Y177" s="2">
        <f>W177+X177</f>
        <v>0</v>
      </c>
      <c r="Z177" s="2">
        <v>3.37604433298111E-09</v>
      </c>
      <c r="AA177" s="2">
        <v>0</v>
      </c>
      <c r="AB177" s="2">
        <v>0</v>
      </c>
      <c r="AC177" s="2">
        <v>0</v>
      </c>
      <c r="AD177" s="2">
        <v>461458.8903680653</v>
      </c>
      <c r="AE177" s="2">
        <v>2768753.342208395</v>
      </c>
      <c r="AF177" s="2">
        <f>F177-H177-L177-U177-AA177-AC177-AD177</f>
        <v>3699488.8232603422</v>
      </c>
      <c r="AG177" s="2">
        <f>F177-H177-L177-U177-AA177-AB177-AD177-Y177</f>
        <v>3699488.8232603422</v>
      </c>
      <c r="AH177" s="2">
        <f>AH176+AG177</f>
        <v>49617839.04280788</v>
      </c>
      <c r="AI177" s="2">
        <v>52307564.10845421</v>
      </c>
      <c r="AJ177" s="2">
        <f>AH177-AI177</f>
        <v>-2689725.0656463355</v>
      </c>
      <c r="AK177" s="3">
        <v>0.25</v>
      </c>
    </row>
    <row r="178" spans="1:37">
      <c r="A178" s="2">
        <v>177</v>
      </c>
      <c r="B178" s="2">
        <v>2041</v>
      </c>
      <c r="C178" s="2">
        <v>99</v>
      </c>
      <c r="D178" s="2">
        <v>529391.2778020406</v>
      </c>
      <c r="E178" s="2">
        <v>52409736.50240202</v>
      </c>
      <c r="F178" s="2">
        <f>E178/1.19</f>
        <v>44041795.38016977</v>
      </c>
      <c r="G178" s="2">
        <v>120</v>
      </c>
      <c r="H178" s="2">
        <v>14735745.70190748</v>
      </c>
      <c r="I178" s="2">
        <v>245</v>
      </c>
      <c r="J178" s="2">
        <v>30074173.1414261</v>
      </c>
      <c r="K178" s="2">
        <v>12152420.9836783</v>
      </c>
      <c r="L178" s="2">
        <v>4491158.800378302</v>
      </c>
      <c r="M178" s="2">
        <v>9954731.126702705</v>
      </c>
      <c r="N178" s="3">
        <v>1.5</v>
      </c>
      <c r="O178" s="3">
        <v>2</v>
      </c>
      <c r="P178" s="2">
        <v>287392.0477224712</v>
      </c>
      <c r="Q178" s="2">
        <v>777471.1185755276</v>
      </c>
      <c r="R178" s="2">
        <v>378147.431213778</v>
      </c>
      <c r="S178" s="2">
        <v>423525.1229594313</v>
      </c>
      <c r="T178" s="2">
        <v>5237341.922310825</v>
      </c>
      <c r="U178" s="2">
        <f>M178+P178+Q178+R178+S178+T178</f>
        <v>17058608.76948474</v>
      </c>
      <c r="V178" s="2">
        <f>F178-K178-L178-U178</f>
        <v>10339606.826628428</v>
      </c>
      <c r="W178" s="2">
        <v>0</v>
      </c>
      <c r="X178" s="2">
        <v>0</v>
      </c>
      <c r="Y178" s="2">
        <f>W178+X178</f>
        <v>0</v>
      </c>
      <c r="Z178" s="2">
        <v>3.37604433298111E-09</v>
      </c>
      <c r="AA178" s="2">
        <v>0</v>
      </c>
      <c r="AB178" s="2">
        <v>0</v>
      </c>
      <c r="AC178" s="2">
        <v>0</v>
      </c>
      <c r="AD178" s="2">
        <v>0</v>
      </c>
      <c r="AE178" s="2">
        <v>2768753.342208395</v>
      </c>
      <c r="AF178" s="2">
        <f>F178-H178-L178-U178-AA178-AC178-AD178</f>
        <v>7756282.108399246</v>
      </c>
      <c r="AG178" s="2">
        <f>F178-H178-L178-U178-AA178-AB178-AD178-Y178</f>
        <v>7756282.108399246</v>
      </c>
      <c r="AH178" s="2">
        <f>AH177+AG178</f>
        <v>57374121.15120712</v>
      </c>
      <c r="AI178" s="2">
        <v>52307564.10845421</v>
      </c>
      <c r="AJ178" s="2">
        <f>AH178-AI178</f>
        <v>5066557.042752907</v>
      </c>
      <c r="AK178" s="3">
        <v>0.25</v>
      </c>
    </row>
    <row r="179" spans="1:37">
      <c r="A179" s="2">
        <v>178</v>
      </c>
      <c r="B179" s="2">
        <v>2041</v>
      </c>
      <c r="C179" s="2">
        <v>117</v>
      </c>
      <c r="D179" s="2">
        <v>529391.2778020406</v>
      </c>
      <c r="E179" s="2">
        <v>61938779.50283875</v>
      </c>
      <c r="F179" s="2">
        <f>E179/1.19</f>
        <v>52049394.540200636</v>
      </c>
      <c r="G179" s="2">
        <v>160</v>
      </c>
      <c r="H179" s="2">
        <v>19647660.93587665</v>
      </c>
      <c r="I179" s="2">
        <v>288</v>
      </c>
      <c r="J179" s="2">
        <v>35357748.67719306</v>
      </c>
      <c r="K179" s="2">
        <v>14364085.40010968</v>
      </c>
      <c r="L179" s="2">
        <v>5307903.793999001</v>
      </c>
      <c r="M179" s="2">
        <v>9954731.126702705</v>
      </c>
      <c r="N179" s="3">
        <v>1.5</v>
      </c>
      <c r="O179" s="3">
        <v>2</v>
      </c>
      <c r="P179" s="2">
        <v>287392.0477224712</v>
      </c>
      <c r="Q179" s="2">
        <v>777471.1185755276</v>
      </c>
      <c r="R179" s="2">
        <v>378147.431213778</v>
      </c>
      <c r="S179" s="2">
        <v>423525.1229594313</v>
      </c>
      <c r="T179" s="2">
        <v>5237341.922310825</v>
      </c>
      <c r="U179" s="2">
        <f>M179+P179+Q179+R179+S179+T179</f>
        <v>17058608.76948474</v>
      </c>
      <c r="V179" s="2">
        <f>F179-K179-L179-U179</f>
        <v>15318796.576607216</v>
      </c>
      <c r="W179" s="2">
        <v>0</v>
      </c>
      <c r="X179" s="2">
        <v>0</v>
      </c>
      <c r="Y179" s="2">
        <f>W179+X179</f>
        <v>0</v>
      </c>
      <c r="Z179" s="2">
        <v>3.37604433298111E-09</v>
      </c>
      <c r="AA179" s="2">
        <v>0</v>
      </c>
      <c r="AB179" s="2">
        <v>0</v>
      </c>
      <c r="AC179" s="2">
        <v>0</v>
      </c>
      <c r="AD179" s="2">
        <v>922917.7807361321</v>
      </c>
      <c r="AE179" s="2">
        <v>3691671.122944527</v>
      </c>
      <c r="AF179" s="2">
        <f>F179-H179-L179-U179-AA179-AC179-AD179</f>
        <v>9112303.260104118</v>
      </c>
      <c r="AG179" s="2">
        <f>F179-H179-L179-U179-AA179-AB179-AD179-Y179</f>
        <v>9112303.260104118</v>
      </c>
      <c r="AH179" s="2">
        <f>AH178+AG179</f>
        <v>66486424.41131124</v>
      </c>
      <c r="AI179" s="2">
        <v>52307564.10845421</v>
      </c>
      <c r="AJ179" s="2">
        <f>AH179-AI179</f>
        <v>14178860.302857026</v>
      </c>
      <c r="AK179" s="3">
        <v>0.25</v>
      </c>
    </row>
    <row r="180" spans="1:37">
      <c r="A180" s="2">
        <v>179</v>
      </c>
      <c r="B180" s="2">
        <v>2041</v>
      </c>
      <c r="C180" s="2">
        <v>126</v>
      </c>
      <c r="D180" s="2">
        <v>529391.2778020406</v>
      </c>
      <c r="E180" s="2">
        <v>66703301.00305711</v>
      </c>
      <c r="F180" s="2">
        <f>E180/1.19</f>
        <v>56053194.120216064</v>
      </c>
      <c r="G180" s="2">
        <v>0</v>
      </c>
      <c r="H180" s="2">
        <v>0</v>
      </c>
      <c r="I180" s="2">
        <v>162</v>
      </c>
      <c r="J180" s="2">
        <v>19888733.6309211</v>
      </c>
      <c r="K180" s="2">
        <v>15469015.04627196</v>
      </c>
      <c r="L180" s="2">
        <v>5716204.085845077</v>
      </c>
      <c r="M180" s="2">
        <v>9954731.126702705</v>
      </c>
      <c r="N180" s="3">
        <v>1.5</v>
      </c>
      <c r="O180" s="3">
        <v>2</v>
      </c>
      <c r="P180" s="2">
        <v>287392.0477224712</v>
      </c>
      <c r="Q180" s="2">
        <v>777471.1185755276</v>
      </c>
      <c r="R180" s="2">
        <v>378147.431213778</v>
      </c>
      <c r="S180" s="2">
        <v>423525.1229594313</v>
      </c>
      <c r="T180" s="2">
        <v>5237341.922310825</v>
      </c>
      <c r="U180" s="2">
        <f>M180+P180+Q180+R180+S180+T180</f>
        <v>17058608.76948474</v>
      </c>
      <c r="V180" s="2">
        <f>F180-K180-L180-U180</f>
        <v>17809366.218614284</v>
      </c>
      <c r="W180" s="2">
        <v>0</v>
      </c>
      <c r="X180" s="2">
        <v>0</v>
      </c>
      <c r="Y180" s="2">
        <f>W180+X180</f>
        <v>0</v>
      </c>
      <c r="Z180" s="2">
        <v>3.37604433298111E-09</v>
      </c>
      <c r="AA180" s="2">
        <v>0</v>
      </c>
      <c r="AB180" s="2">
        <v>0</v>
      </c>
      <c r="AC180" s="2">
        <v>0</v>
      </c>
      <c r="AD180" s="2">
        <v>-3691671.122944527</v>
      </c>
      <c r="AE180" s="2">
        <v>0</v>
      </c>
      <c r="AF180" s="2">
        <f>F180-H180-L180-U180-AA180-AC180-AD180</f>
        <v>36970052.38783078</v>
      </c>
      <c r="AG180" s="2">
        <f>F180-H180-L180-U180-AA180-AB180-AD180-Y180</f>
        <v>36970052.38783078</v>
      </c>
      <c r="AH180" s="2">
        <f>AH179+AG180</f>
        <v>103456476.79914202</v>
      </c>
      <c r="AI180" s="2">
        <v>52307564.10845421</v>
      </c>
      <c r="AJ180" s="2">
        <f>AH180-AI180</f>
        <v>51148912.690687805</v>
      </c>
      <c r="AK180" s="3">
        <v>0.25</v>
      </c>
    </row>
    <row r="181" spans="1:37">
      <c r="A181" s="2">
        <v>180</v>
      </c>
      <c r="B181" s="2">
        <v>2041</v>
      </c>
      <c r="C181" s="2">
        <v>153</v>
      </c>
      <c r="D181" s="2">
        <v>529391.2778020406</v>
      </c>
      <c r="E181" s="2">
        <v>80996865.50371221</v>
      </c>
      <c r="F181" s="2">
        <f>E181/1.19</f>
        <v>68064592.86026236</v>
      </c>
      <c r="G181" s="2">
        <v>0</v>
      </c>
      <c r="H181" s="2">
        <v>0</v>
      </c>
      <c r="I181" s="2">
        <v>9</v>
      </c>
      <c r="J181" s="2">
        <v>1104929.646162283</v>
      </c>
      <c r="K181" s="2">
        <v>18783803.98475881</v>
      </c>
      <c r="L181" s="2">
        <v>6941104.961383309</v>
      </c>
      <c r="M181" s="2">
        <v>9954731.126702705</v>
      </c>
      <c r="N181" s="3">
        <v>1.5</v>
      </c>
      <c r="O181" s="3">
        <v>2</v>
      </c>
      <c r="P181" s="2">
        <v>287392.0477224712</v>
      </c>
      <c r="Q181" s="2">
        <v>777471.1185755276</v>
      </c>
      <c r="R181" s="2">
        <v>378147.431213778</v>
      </c>
      <c r="S181" s="2">
        <v>423525.1229594313</v>
      </c>
      <c r="T181" s="2">
        <v>5237341.922310825</v>
      </c>
      <c r="U181" s="2">
        <f>M181+P181+Q181+R181+S181+T181</f>
        <v>17058608.76948474</v>
      </c>
      <c r="V181" s="2">
        <f>F181-K181-L181-U181</f>
        <v>25281075.144635502</v>
      </c>
      <c r="W181" s="2">
        <v>0</v>
      </c>
      <c r="X181" s="2">
        <v>0</v>
      </c>
      <c r="Y181" s="2">
        <f>W181+X181</f>
        <v>0</v>
      </c>
      <c r="Z181" s="2">
        <v>3.37604433298111E-09</v>
      </c>
      <c r="AA181" s="2">
        <v>0</v>
      </c>
      <c r="AB181" s="2">
        <v>12313130.43401673</v>
      </c>
      <c r="AC181" s="2">
        <v>12313130.43401673</v>
      </c>
      <c r="AD181" s="2">
        <v>0</v>
      </c>
      <c r="AE181" s="2">
        <v>0</v>
      </c>
      <c r="AF181" s="2">
        <f>F181-H181-L181-U181-AA181-AC181-AD181</f>
        <v>31751748.695377573</v>
      </c>
      <c r="AG181" s="2">
        <f>F181-H181-L181-U181-AA181-AB181-AD181-Y181</f>
        <v>31751748.695377573</v>
      </c>
      <c r="AH181" s="2">
        <f>AH180+AG181</f>
        <v>135208225.4945196</v>
      </c>
      <c r="AI181" s="2">
        <v>52307564.10845421</v>
      </c>
      <c r="AJ181" s="2">
        <f>AH181-AI181</f>
        <v>82900661.38606538</v>
      </c>
      <c r="AK181" s="3">
        <v>0.25</v>
      </c>
    </row>
  </sheetData>
  <autoFilter ref="A1:AK18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O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41" width="20.7109375" customWidth="1"/>
  </cols>
  <sheetData>
    <row r="1" spans="1:41" ht="45" customHeight="1">
      <c r="A1" s="1" t="s">
        <v>122</v>
      </c>
      <c r="B1" s="1" t="s">
        <v>123</v>
      </c>
      <c r="C1" s="1" t="s">
        <v>124</v>
      </c>
      <c r="D1" s="1" t="s">
        <v>125</v>
      </c>
      <c r="E1" s="1" t="s">
        <v>126</v>
      </c>
      <c r="F1" s="1" t="s">
        <v>127</v>
      </c>
      <c r="G1" s="1" t="s">
        <v>128</v>
      </c>
      <c r="H1" s="1" t="s">
        <v>129</v>
      </c>
      <c r="I1" s="1" t="s">
        <v>130</v>
      </c>
      <c r="J1" s="1" t="s">
        <v>131</v>
      </c>
      <c r="K1" s="1" t="s">
        <v>132</v>
      </c>
      <c r="L1" s="1" t="s">
        <v>133</v>
      </c>
      <c r="M1" s="1" t="s">
        <v>134</v>
      </c>
      <c r="N1" s="1" t="s">
        <v>135</v>
      </c>
      <c r="O1" s="1" t="s">
        <v>136</v>
      </c>
      <c r="P1" s="1" t="s">
        <v>137</v>
      </c>
      <c r="Q1" s="1" t="s">
        <v>138</v>
      </c>
      <c r="R1" s="1" t="s">
        <v>139</v>
      </c>
      <c r="S1" s="1" t="s">
        <v>140</v>
      </c>
      <c r="T1" s="1" t="s">
        <v>141</v>
      </c>
      <c r="U1" s="1" t="s">
        <v>142</v>
      </c>
      <c r="V1" s="1" t="s">
        <v>143</v>
      </c>
      <c r="W1" s="1" t="s">
        <v>144</v>
      </c>
      <c r="X1" s="1" t="s">
        <v>145</v>
      </c>
      <c r="Y1" s="1" t="s">
        <v>146</v>
      </c>
      <c r="Z1" s="1" t="s">
        <v>147</v>
      </c>
      <c r="AA1" s="1" t="s">
        <v>148</v>
      </c>
      <c r="AB1" s="1" t="s">
        <v>149</v>
      </c>
      <c r="AC1" s="1" t="s">
        <v>150</v>
      </c>
      <c r="AD1" s="1" t="s">
        <v>151</v>
      </c>
      <c r="AE1" s="1" t="s">
        <v>152</v>
      </c>
      <c r="AF1" s="1" t="s">
        <v>153</v>
      </c>
      <c r="AG1" s="1" t="s">
        <v>154</v>
      </c>
      <c r="AH1" s="1" t="s">
        <v>155</v>
      </c>
      <c r="AI1" s="1" t="s">
        <v>156</v>
      </c>
      <c r="AJ1" s="1" t="s">
        <v>157</v>
      </c>
      <c r="AK1" s="1" t="s">
        <v>158</v>
      </c>
      <c r="AL1" s="1" t="s">
        <v>159</v>
      </c>
      <c r="AM1" s="1" t="s">
        <v>160</v>
      </c>
      <c r="AN1" s="1" t="s">
        <v>161</v>
      </c>
      <c r="AO1" s="1" t="s">
        <v>162</v>
      </c>
    </row>
    <row r="2" spans="1:41">
      <c r="A2" s="2">
        <v>78</v>
      </c>
      <c r="B2" s="2">
        <v>2027</v>
      </c>
      <c r="C2" s="2">
        <f>SUM('Estres_mensual'!C2:C13)</f>
        <v>130</v>
      </c>
      <c r="D2" s="2">
        <v>349990</v>
      </c>
      <c r="E2" s="2">
        <f>SUM('Estres_mensual'!E2:E13)</f>
        <v>45498700.0</v>
      </c>
      <c r="F2" s="2">
        <f>SUM('Estres_mensual'!F2:F13)</f>
        <v>38234201.68067227</v>
      </c>
      <c r="G2" s="2">
        <f>SUM('Estres_mensual'!G2:G13)</f>
        <v>140</v>
      </c>
      <c r="H2" s="2">
        <f>SUM('Estres_mensual'!H2:H13)</f>
        <v>11365741.176470589</v>
      </c>
      <c r="I2" s="2">
        <v>20</v>
      </c>
      <c r="J2" s="2">
        <v>1623677.31092437</v>
      </c>
      <c r="K2" s="2">
        <f>SUM('Estres_mensual'!K2:K13)</f>
        <v>10553902.521008404</v>
      </c>
      <c r="L2" s="2">
        <f>SUM('Estres_mensual'!L2:L13)</f>
        <v>3899247.2016806724</v>
      </c>
      <c r="M2" s="2">
        <f>SUM('Estres_mensual'!M2:M13)</f>
        <v>19440000.0</v>
      </c>
      <c r="N2" s="3">
        <v>0</v>
      </c>
      <c r="O2" s="3">
        <v>0</v>
      </c>
      <c r="P2" s="2">
        <f>SUM('Estres_mensual'!P2:P13)</f>
        <v>1440000.0</v>
      </c>
      <c r="Q2" s="2">
        <f>SUM('Estres_mensual'!Q2:Q13)</f>
        <v>1878000.0</v>
      </c>
      <c r="R2" s="2">
        <f>SUM('Estres_mensual'!R2:R13)</f>
        <v>0</v>
      </c>
      <c r="S2" s="2">
        <f>SUM('Estres_mensual'!S2:S13)</f>
        <v>3360000.0</v>
      </c>
      <c r="T2" s="2">
        <f>SUM('Estres_mensual'!T2:T13)</f>
        <v>6000000.0</v>
      </c>
      <c r="U2" s="2">
        <f>SUM('Estres_mensual'!U2:U13)</f>
        <v>32118000.0</v>
      </c>
      <c r="V2" s="2">
        <f>SUM('Estres_mensual'!V2:V13)</f>
        <v>-8336948.042016806</v>
      </c>
      <c r="W2" s="2">
        <f>SUM('Estres_mensual'!W2:W13)</f>
        <v>3439525.7789251655</v>
      </c>
      <c r="X2" s="2">
        <f>SUM('Estres_mensual'!X2:X13)</f>
        <v>1766509.0889551593</v>
      </c>
      <c r="Y2" s="2">
        <f>SUM('Estres_mensual'!Y2:Y13)</f>
        <v>5206034.867880325</v>
      </c>
      <c r="Z2" s="2">
        <v>29233490.91104484</v>
      </c>
      <c r="AA2" s="2">
        <f>SUM('Estres_mensual'!AA2:AA13)</f>
        <v>0</v>
      </c>
      <c r="AB2" s="2">
        <f>SUM('Estres_mensual'!AB2:AB13)</f>
        <v>0.0</v>
      </c>
      <c r="AC2" s="2">
        <f>SUM('Estres_mensual'!AC2:AC13)</f>
        <v>0.0</v>
      </c>
      <c r="AD2" s="2">
        <f>SUM('Estres_mensual'!AD2:AD13)</f>
        <v>0.0</v>
      </c>
      <c r="AE2" s="2">
        <v>152539.3445378151</v>
      </c>
      <c r="AF2" s="2">
        <f>SUM('Estres_mensual'!AF2:AF13)</f>
        <v>-9148786.697478991</v>
      </c>
      <c r="AG2" s="2">
        <f>SUM('Estres_mensual'!AG2:AG13)</f>
        <v>-14354821.565359315</v>
      </c>
      <c r="AH2" s="2">
        <v>13707800.43464069</v>
      </c>
      <c r="AI2" s="2">
        <v>10462746.51697008</v>
      </c>
      <c r="AJ2" s="2">
        <v>3245053.917670604</v>
      </c>
      <c r="AK2" s="3">
        <v>0.125</v>
      </c>
      <c r="AL2" s="3">
        <v>-1.757342570624001</v>
      </c>
      <c r="AM2" s="2">
        <v>372262.9838859532</v>
      </c>
      <c r="AN2" s="2">
        <v>176</v>
      </c>
      <c r="AO2" s="2">
        <v>205</v>
      </c>
    </row>
    <row r="3" spans="1:41">
      <c r="A3" s="2">
        <v>222</v>
      </c>
      <c r="B3" s="2">
        <v>2028</v>
      </c>
      <c r="C3" s="2">
        <f>SUM('Estres_mensual'!C14:C25)</f>
        <v>228</v>
      </c>
      <c r="D3" s="2">
        <v>360489.7</v>
      </c>
      <c r="E3" s="2">
        <f>SUM('Estres_mensual'!E14:E25)</f>
        <v>82191651.60000001</v>
      </c>
      <c r="F3" s="2">
        <f>SUM('Estres_mensual'!F14:F25)</f>
        <v>69068614.78991598</v>
      </c>
      <c r="G3" s="2">
        <f>SUM('Estres_mensual'!G14:G25)</f>
        <v>230</v>
      </c>
      <c r="H3" s="2">
        <f>SUM('Estres_mensual'!H14:H25)</f>
        <v>19232457.74789916</v>
      </c>
      <c r="I3" s="2">
        <v>22</v>
      </c>
      <c r="J3" s="2">
        <v>1839022.854885691</v>
      </c>
      <c r="K3" s="2">
        <f>SUM('Estres_mensual'!K14:K25)</f>
        <v>19017112.20393784</v>
      </c>
      <c r="L3" s="2">
        <f>SUM('Estres_mensual'!L14:L25)</f>
        <v>7039991.556315027</v>
      </c>
      <c r="M3" s="2">
        <f>SUM('Estres_mensual'!M14:M25)</f>
        <v>28783350.0</v>
      </c>
      <c r="N3" s="3">
        <v>0.5</v>
      </c>
      <c r="O3" s="3">
        <v>0</v>
      </c>
      <c r="P3" s="2">
        <f>SUM('Estres_mensual'!P14:P25)</f>
        <v>1606800.0</v>
      </c>
      <c r="Q3" s="2">
        <f>SUM('Estres_mensual'!Q14:Q25)</f>
        <v>2155584.0</v>
      </c>
      <c r="R3" s="2">
        <f>SUM('Estres_mensual'!R14:R25)</f>
        <v>0</v>
      </c>
      <c r="S3" s="2">
        <f>SUM('Estres_mensual'!S14:S25)</f>
        <v>3460800.0</v>
      </c>
      <c r="T3" s="2">
        <f>SUM('Estres_mensual'!T14:T25)</f>
        <v>10815000.0</v>
      </c>
      <c r="U3" s="2">
        <f>SUM('Estres_mensual'!U14:U25)</f>
        <v>46821534.0</v>
      </c>
      <c r="V3" s="2">
        <f>SUM('Estres_mensual'!V14:V25)</f>
        <v>-3810022.9703368973</v>
      </c>
      <c r="W3" s="2">
        <f>SUM('Estres_mensual'!W14:W25)</f>
        <v>3227544.688250545</v>
      </c>
      <c r="X3" s="2">
        <f>SUM('Estres_mensual'!X14:X25)</f>
        <v>1978490.1796297797</v>
      </c>
      <c r="Y3" s="2">
        <f>SUM('Estres_mensual'!Y14:Y25)</f>
        <v>5206034.867880325</v>
      </c>
      <c r="Z3" s="2">
        <v>27255000.73141507</v>
      </c>
      <c r="AA3" s="2">
        <f>SUM('Estres_mensual'!AA14:AA25)</f>
        <v>0</v>
      </c>
      <c r="AB3" s="2">
        <f>SUM('Estres_mensual'!AB14:AB25)</f>
        <v>0.0</v>
      </c>
      <c r="AC3" s="2">
        <f>SUM('Estres_mensual'!AC14:AC25)</f>
        <v>0.0</v>
      </c>
      <c r="AD3" s="2">
        <f>SUM('Estres_mensual'!AD14:AD25)</f>
        <v>4576.18033613445</v>
      </c>
      <c r="AE3" s="2">
        <v>157115.5248739496</v>
      </c>
      <c r="AF3" s="2">
        <f>SUM('Estres_mensual'!AF14:AF25)</f>
        <v>-4029944.694634349</v>
      </c>
      <c r="AG3" s="2">
        <f>SUM('Estres_mensual'!AG14:AG25)</f>
        <v>-9235979.562514674</v>
      </c>
      <c r="AH3" s="2">
        <v>4471820.872126009</v>
      </c>
      <c r="AI3" s="2">
        <v>14138630.01697008</v>
      </c>
      <c r="AJ3" s="2">
        <v>-9666809.144844074</v>
      </c>
      <c r="AK3" s="3">
        <v>0.15</v>
      </c>
      <c r="AL3" s="3">
        <v>-0.774090991879041</v>
      </c>
      <c r="AM3" s="2">
        <v>-19433131.25250342</v>
      </c>
      <c r="AN3" s="2">
        <v>249</v>
      </c>
      <c r="AO3" s="2">
        <v>276</v>
      </c>
    </row>
    <row r="4" spans="1:41">
      <c r="A4" s="2">
        <v>366</v>
      </c>
      <c r="B4" s="2">
        <v>2029</v>
      </c>
      <c r="C4" s="2">
        <f>SUM('Estres_mensual'!C26:C37)</f>
        <v>325</v>
      </c>
      <c r="D4" s="2">
        <v>371304.391</v>
      </c>
      <c r="E4" s="2">
        <f>SUM('Estres_mensual'!E26:E37)</f>
        <v>120673927.07499999</v>
      </c>
      <c r="F4" s="2">
        <f>SUM('Estres_mensual'!F26:F37)</f>
        <v>101406661.40756303</v>
      </c>
      <c r="G4" s="2">
        <f>SUM('Estres_mensual'!G26:G37)</f>
        <v>330</v>
      </c>
      <c r="H4" s="2">
        <f>SUM('Estres_mensual'!H26:H37)</f>
        <v>28422227.776134454</v>
      </c>
      <c r="I4" s="2">
        <v>27</v>
      </c>
      <c r="J4" s="2">
        <v>2324871.621994779</v>
      </c>
      <c r="K4" s="2">
        <f>SUM('Estres_mensual'!K26:K37)</f>
        <v>27936379.009025365</v>
      </c>
      <c r="L4" s="2">
        <f>SUM('Estres_mensual'!L26:L37)</f>
        <v>10337361.674472028</v>
      </c>
      <c r="M4" s="2">
        <f>SUM('Estres_mensual'!M26:M37)</f>
        <v>41247792.0</v>
      </c>
      <c r="N4" s="3">
        <v>0.5</v>
      </c>
      <c r="O4" s="3">
        <v>0.5</v>
      </c>
      <c r="P4" s="2">
        <f>SUM('Estres_mensual'!P26:P37)</f>
        <v>1782312.0</v>
      </c>
      <c r="Q4" s="2">
        <f>SUM('Estres_mensual'!Q26:Q37)</f>
        <v>2572258.14</v>
      </c>
      <c r="R4" s="2">
        <f>SUM('Estres_mensual'!R26:R37)</f>
        <v>0</v>
      </c>
      <c r="S4" s="2">
        <f>SUM('Estres_mensual'!S26:S37)</f>
        <v>3564624.0</v>
      </c>
      <c r="T4" s="2">
        <f>SUM('Estres_mensual'!T26:T37)</f>
        <v>15913500.0</v>
      </c>
      <c r="U4" s="2">
        <f>SUM('Estres_mensual'!U26:U37)</f>
        <v>65080486.14000001</v>
      </c>
      <c r="V4" s="2">
        <f>SUM('Estres_mensual'!V26:V37)</f>
        <v>-1947565.4159343806</v>
      </c>
      <c r="W4" s="2">
        <f>SUM('Estres_mensual'!W26:W37)</f>
        <v>2990125.8666949696</v>
      </c>
      <c r="X4" s="2">
        <f>SUM('Estres_mensual'!X26:X37)</f>
        <v>2215909.001185355</v>
      </c>
      <c r="Y4" s="2">
        <f>SUM('Estres_mensual'!Y26:Y37)</f>
        <v>5206034.867880325</v>
      </c>
      <c r="Z4" s="2">
        <v>25039091.73022971</v>
      </c>
      <c r="AA4" s="2">
        <f>SUM('Estres_mensual'!AA26:AA37)</f>
        <v>0</v>
      </c>
      <c r="AB4" s="2">
        <f>SUM('Estres_mensual'!AB26:AB37)</f>
        <v>0.0</v>
      </c>
      <c r="AC4" s="2">
        <f>SUM('Estres_mensual'!AC26:AC37)</f>
        <v>0.0</v>
      </c>
      <c r="AD4" s="2">
        <f>SUM('Estres_mensual'!AD26:AD37)</f>
        <v>4713.465746218455</v>
      </c>
      <c r="AE4" s="2">
        <v>161828.9906201681</v>
      </c>
      <c r="AF4" s="2">
        <f>SUM('Estres_mensual'!AF26:AF37)</f>
        <v>-2438127.648789684</v>
      </c>
      <c r="AG4" s="2">
        <f>SUM('Estres_mensual'!AG26:AG37)</f>
        <v>-7644162.51667001</v>
      </c>
      <c r="AH4" s="2">
        <v>-3172341.644544</v>
      </c>
      <c r="AI4" s="2">
        <v>18703368.05197008</v>
      </c>
      <c r="AJ4" s="2">
        <v>-21875709.69651408</v>
      </c>
      <c r="AK4" s="3">
        <v>0.25</v>
      </c>
      <c r="AL4" s="3">
        <v>-0.4683271838673622</v>
      </c>
      <c r="AM4" s="2">
        <v>-38472940.50650153</v>
      </c>
      <c r="AN4" s="2">
        <v>336</v>
      </c>
      <c r="AO4" s="2">
        <v>362</v>
      </c>
    </row>
    <row r="5" spans="1:41">
      <c r="A5" s="2">
        <v>510</v>
      </c>
      <c r="B5" s="2">
        <v>2030</v>
      </c>
      <c r="C5" s="2">
        <f>SUM('Estres_mensual'!C38:C49)</f>
        <v>422</v>
      </c>
      <c r="D5" s="2">
        <v>382443.52273</v>
      </c>
      <c r="E5" s="2">
        <f>SUM('Estres_mensual'!E38:E49)</f>
        <v>161391166.59206</v>
      </c>
      <c r="F5" s="2">
        <f>SUM('Estres_mensual'!F38:F49)</f>
        <v>135622829.06895798</v>
      </c>
      <c r="G5" s="2">
        <f>SUM('Estres_mensual'!G38:G49)</f>
        <v>430</v>
      </c>
      <c r="H5" s="2">
        <f>SUM('Estres_mensual'!H38:H49)</f>
        <v>38146074.79409076</v>
      </c>
      <c r="I5" s="2">
        <v>35</v>
      </c>
      <c r="J5" s="2">
        <v>3104203.853883676</v>
      </c>
      <c r="K5" s="2">
        <f>SUM('Estres_mensual'!K38:K49)</f>
        <v>37366742.562201865</v>
      </c>
      <c r="L5" s="2">
        <f>SUM('Estres_mensual'!L38:L49)</f>
        <v>13825682.49857915</v>
      </c>
      <c r="M5" s="2">
        <f>SUM('Estres_mensual'!M38:M49)</f>
        <v>47795878.980000004</v>
      </c>
      <c r="N5" s="3">
        <v>0.5</v>
      </c>
      <c r="O5" s="3">
        <v>0.5</v>
      </c>
      <c r="P5" s="2">
        <f>SUM('Estres_mensual'!P38:P49)</f>
        <v>1835781.3599999999</v>
      </c>
      <c r="Q5" s="2">
        <f>SUM('Estres_mensual'!Q38:Q49)</f>
        <v>3139186.1256</v>
      </c>
      <c r="R5" s="2">
        <f>SUM('Estres_mensual'!R38:R49)</f>
        <v>3278181.0</v>
      </c>
      <c r="S5" s="2">
        <f>SUM('Estres_mensual'!S38:S49)</f>
        <v>3671562.7199999997</v>
      </c>
      <c r="T5" s="2">
        <f>SUM('Estres_mensual'!T38:T49)</f>
        <v>21308176.5</v>
      </c>
      <c r="U5" s="2">
        <f>SUM('Estres_mensual'!U38:U49)</f>
        <v>81028766.6856</v>
      </c>
      <c r="V5" s="2">
        <f>SUM('Estres_mensual'!V38:V49)</f>
        <v>3401637.3225769745</v>
      </c>
      <c r="W5" s="2">
        <f>SUM('Estres_mensual'!W38:W49)</f>
        <v>2724216.786552725</v>
      </c>
      <c r="X5" s="2">
        <f>SUM('Estres_mensual'!X38:X49)</f>
        <v>2481818.0813276</v>
      </c>
      <c r="Y5" s="2">
        <f>SUM('Estres_mensual'!Y38:Y49)</f>
        <v>5206034.867880325</v>
      </c>
      <c r="Z5" s="2">
        <v>22557273.64890211</v>
      </c>
      <c r="AA5" s="2">
        <f>SUM('Estres_mensual'!AA38:AA49)</f>
        <v>1639090.5</v>
      </c>
      <c r="AB5" s="2">
        <f>SUM('Estres_mensual'!AB38:AB49)</f>
        <v>0.0</v>
      </c>
      <c r="AC5" s="2">
        <f>SUM('Estres_mensual'!AC38:AC49)</f>
        <v>0.0</v>
      </c>
      <c r="AD5" s="2">
        <f>SUM('Estres_mensual'!AD38:AD49)</f>
        <v>171538.73005737815</v>
      </c>
      <c r="AE5" s="2">
        <v>333367.7206775462</v>
      </c>
      <c r="AF5" s="2">
        <f>SUM('Estres_mensual'!AF38:AF49)</f>
        <v>811675.8606307004</v>
      </c>
      <c r="AG5" s="2">
        <f>SUM('Estres_mensual'!AG38:AG49)</f>
        <v>-4394359.0072496245</v>
      </c>
      <c r="AH5" s="2">
        <v>-7566700.651793625</v>
      </c>
      <c r="AI5" s="2">
        <v>22690438.18837008</v>
      </c>
      <c r="AJ5" s="2">
        <v>-30257138.84016371</v>
      </c>
      <c r="AK5" s="3">
        <v>0.25</v>
      </c>
      <c r="AL5" s="3">
        <v>0.1559105694121444</v>
      </c>
      <c r="AM5" s="2">
        <v>-54942065.59409261</v>
      </c>
      <c r="AN5" s="2">
        <v>405</v>
      </c>
      <c r="AO5" s="2">
        <v>432</v>
      </c>
    </row>
    <row r="6" spans="1:41">
      <c r="A6" s="2">
        <v>654</v>
      </c>
      <c r="B6" s="2">
        <v>2031</v>
      </c>
      <c r="C6" s="2">
        <f>SUM('Estres_mensual'!C50:C61)</f>
        <v>552</v>
      </c>
      <c r="D6" s="2">
        <v>393916.8284119</v>
      </c>
      <c r="E6" s="2">
        <f>SUM('Estres_mensual'!E50:E61)</f>
        <v>217442089.28336883</v>
      </c>
      <c r="F6" s="2">
        <f>SUM('Estres_mensual'!F50:F61)</f>
        <v>182724444.7759402</v>
      </c>
      <c r="G6" s="2">
        <f>SUM('Estres_mensual'!G50:G61)</f>
        <v>550</v>
      </c>
      <c r="H6" s="2">
        <f>SUM('Estres_mensual'!H50:H61)</f>
        <v>50255235.74616841</v>
      </c>
      <c r="I6" s="2">
        <v>33</v>
      </c>
      <c r="J6" s="2">
        <v>3014625.013219813</v>
      </c>
      <c r="K6" s="2">
        <f>SUM('Estres_mensual'!K50:K61)</f>
        <v>50344814.58683227</v>
      </c>
      <c r="L6" s="2">
        <f>SUM('Estres_mensual'!L50:L61)</f>
        <v>18627374.809835024</v>
      </c>
      <c r="M6" s="2">
        <f>SUM('Estres_mensual'!M50:M61)</f>
        <v>69286322.3436</v>
      </c>
      <c r="N6" s="3">
        <v>1</v>
      </c>
      <c r="O6" s="3">
        <v>1</v>
      </c>
      <c r="P6" s="2">
        <f>SUM('Estres_mensual'!P50:P61)</f>
        <v>2160976.9152</v>
      </c>
      <c r="Q6" s="2">
        <f>SUM('Estres_mensual'!Q50:Q61)</f>
        <v>3891109.0579320006</v>
      </c>
      <c r="R6" s="2">
        <f>SUM('Estres_mensual'!R50:R61)</f>
        <v>3376526.43</v>
      </c>
      <c r="S6" s="2">
        <f>SUM('Estres_mensual'!S50:S61)</f>
        <v>3781709.6016000006</v>
      </c>
      <c r="T6" s="2">
        <f>SUM('Estres_mensual'!T50:T61)</f>
        <v>28700474.655000005</v>
      </c>
      <c r="U6" s="2">
        <f>SUM('Estres_mensual'!U50:U61)</f>
        <v>111197119.003332</v>
      </c>
      <c r="V6" s="2">
        <f>SUM('Estres_mensual'!V50:V61)</f>
        <v>2555136.3759409003</v>
      </c>
      <c r="W6" s="2">
        <f>SUM('Estres_mensual'!W50:W61)</f>
        <v>2426398.6167934104</v>
      </c>
      <c r="X6" s="2">
        <f>SUM('Estres_mensual'!X50:X61)</f>
        <v>2779636.251086914</v>
      </c>
      <c r="Y6" s="2">
        <f>SUM('Estres_mensual'!Y50:Y61)</f>
        <v>5206034.867880325</v>
      </c>
      <c r="Z6" s="2">
        <v>19777637.39781519</v>
      </c>
      <c r="AA6" s="2">
        <f>SUM('Estres_mensual'!AA50:AA61)</f>
        <v>0</v>
      </c>
      <c r="AB6" s="2">
        <f>SUM('Estres_mensual'!AB50:AB61)</f>
        <v>0.0</v>
      </c>
      <c r="AC6" s="2">
        <f>SUM('Estres_mensual'!AC50:AC61)</f>
        <v>0.0</v>
      </c>
      <c r="AD6" s="2">
        <f>SUM('Estres_mensual'!AD50:AD61)</f>
        <v>10001.031620326452</v>
      </c>
      <c r="AE6" s="2">
        <v>343368.7522978727</v>
      </c>
      <c r="AF6" s="2">
        <f>SUM('Estres_mensual'!AF50:AF61)</f>
        <v>2634714.1849844325</v>
      </c>
      <c r="AG6" s="2">
        <f>SUM('Estres_mensual'!AG50:AG61)</f>
        <v>-2571320.682895894</v>
      </c>
      <c r="AH6" s="2">
        <v>-10138021.33468951</v>
      </c>
      <c r="AI6" s="2">
        <v>30232526.26780308</v>
      </c>
      <c r="AJ6" s="2">
        <v>-40370547.6024926</v>
      </c>
      <c r="AK6" s="3">
        <v>0.25</v>
      </c>
      <c r="AL6" s="3">
        <v>0.506088463071931</v>
      </c>
      <c r="AM6" s="2">
        <v>-74603872.88134012</v>
      </c>
      <c r="AN6" s="2">
        <v>540</v>
      </c>
      <c r="AO6" s="2">
        <v>565</v>
      </c>
    </row>
    <row r="7" spans="1:41">
      <c r="A7" s="2">
        <v>798</v>
      </c>
      <c r="B7" s="2">
        <v>2032</v>
      </c>
      <c r="C7" s="2">
        <f>SUM('Estres_mensual'!C62:C73)</f>
        <v>580</v>
      </c>
      <c r="D7" s="2">
        <v>405734.333264257</v>
      </c>
      <c r="E7" s="2">
        <f>SUM('Estres_mensual'!E62:E73)</f>
        <v>235325913.29326907</v>
      </c>
      <c r="F7" s="2">
        <f>SUM('Estres_mensual'!F62:F73)</f>
        <v>197752868.3136715</v>
      </c>
      <c r="G7" s="2">
        <f>SUM('Estres_mensual'!G62:G73)</f>
        <v>580</v>
      </c>
      <c r="H7" s="2">
        <f>SUM('Estres_mensual'!H62:H73)</f>
        <v>54586323.33592911</v>
      </c>
      <c r="I7" s="2">
        <v>33</v>
      </c>
      <c r="J7" s="2">
        <v>3105182.568728551</v>
      </c>
      <c r="K7" s="2">
        <f>SUM('Estres_mensual'!K62:K73)</f>
        <v>54495765.78042037</v>
      </c>
      <c r="L7" s="2">
        <f>SUM('Estres_mensual'!L62:L73)</f>
        <v>20160230.705661085</v>
      </c>
      <c r="M7" s="2">
        <f>SUM('Estres_mensual'!M62:M73)</f>
        <v>71364912.013908</v>
      </c>
      <c r="N7" s="3">
        <v>1</v>
      </c>
      <c r="O7" s="3">
        <v>1</v>
      </c>
      <c r="P7" s="2">
        <f>SUM('Estres_mensual'!P62:P73)</f>
        <v>2225806.222656</v>
      </c>
      <c r="Q7" s="2">
        <f>SUM('Estres_mensual'!Q62:Q73)</f>
        <v>4614374.525343721</v>
      </c>
      <c r="R7" s="2">
        <f>SUM('Estres_mensual'!R62:R73)</f>
        <v>3477822.2229</v>
      </c>
      <c r="S7" s="2">
        <f>SUM('Estres_mensual'!S62:S73)</f>
        <v>3895160.889648</v>
      </c>
      <c r="T7" s="2">
        <f>SUM('Estres_mensual'!T62:T73)</f>
        <v>31022174.228267998</v>
      </c>
      <c r="U7" s="2">
        <f>SUM('Estres_mensual'!U62:U73)</f>
        <v>116600250.10272372</v>
      </c>
      <c r="V7" s="2">
        <f>SUM('Estres_mensual'!V62:V73)</f>
        <v>6496621.724866333</v>
      </c>
      <c r="W7" s="2">
        <f>SUM('Estres_mensual'!W62:W73)</f>
        <v>2092842.266662978</v>
      </c>
      <c r="X7" s="2">
        <f>SUM('Estres_mensual'!X62:X73)</f>
        <v>3113192.6012173463</v>
      </c>
      <c r="Y7" s="2">
        <f>SUM('Estres_mensual'!Y62:Y73)</f>
        <v>5206034.867880325</v>
      </c>
      <c r="Z7" s="2">
        <v>16664444.79659785</v>
      </c>
      <c r="AA7" s="2">
        <f>SUM('Estres_mensual'!AA62:AA73)</f>
        <v>0</v>
      </c>
      <c r="AB7" s="2">
        <f>SUM('Estres_mensual'!AB62:AB73)</f>
        <v>0.0</v>
      </c>
      <c r="AC7" s="2">
        <f>SUM('Estres_mensual'!AC62:AC73)</f>
        <v>0.0</v>
      </c>
      <c r="AD7" s="2">
        <f>SUM('Estres_mensual'!AD62:AD73)</f>
        <v>10301.06256893609</v>
      </c>
      <c r="AE7" s="2">
        <v>353669.8148668088</v>
      </c>
      <c r="AF7" s="2">
        <f>SUM('Estres_mensual'!AF62:AF73)</f>
        <v>6395763.106788658</v>
      </c>
      <c r="AG7" s="2">
        <f>SUM('Estres_mensual'!AG62:AG73)</f>
        <v>1189728.2389083314</v>
      </c>
      <c r="AH7" s="2">
        <v>-8948293.095781181</v>
      </c>
      <c r="AI7" s="2">
        <v>31583309.04265101</v>
      </c>
      <c r="AJ7" s="2">
        <v>-40531602.13843219</v>
      </c>
      <c r="AK7" s="3">
        <v>0.25</v>
      </c>
      <c r="AL7" s="3">
        <v>1.228528672800215</v>
      </c>
      <c r="AM7" s="2">
        <v>-79742507.19769952</v>
      </c>
      <c r="AN7" s="2">
        <v>550</v>
      </c>
      <c r="AO7" s="2">
        <v>574</v>
      </c>
    </row>
    <row r="8" spans="1:41">
      <c r="A8" s="2">
        <v>942</v>
      </c>
      <c r="B8" s="2">
        <v>2033</v>
      </c>
      <c r="C8" s="2">
        <f>SUM('Estres_mensual'!C74:C85)</f>
        <v>609</v>
      </c>
      <c r="D8" s="2">
        <v>417906.3632621848</v>
      </c>
      <c r="E8" s="2">
        <f>SUM('Estres_mensual'!E74:E85)</f>
        <v>254504975.2266705</v>
      </c>
      <c r="F8" s="2">
        <f>SUM('Estres_mensual'!F74:F85)</f>
        <v>213869727.08123574</v>
      </c>
      <c r="G8" s="2">
        <f>SUM('Estres_mensual'!G74:G85)</f>
        <v>610</v>
      </c>
      <c r="H8" s="2">
        <f>SUM('Estres_mensual'!H74:H85)</f>
        <v>59132046.4689039</v>
      </c>
      <c r="I8" s="2">
        <v>34</v>
      </c>
      <c r="J8" s="2">
        <v>3295237.826487215</v>
      </c>
      <c r="K8" s="2">
        <f>SUM('Estres_mensual'!K74:K85)</f>
        <v>58941991.21114524</v>
      </c>
      <c r="L8" s="2">
        <f>SUM('Estres_mensual'!L74:L85)</f>
        <v>21803675.14974211</v>
      </c>
      <c r="M8" s="2">
        <f>SUM('Estres_mensual'!M74:M85)</f>
        <v>80759727.07573892</v>
      </c>
      <c r="N8" s="3">
        <v>1</v>
      </c>
      <c r="O8" s="3">
        <v>1.5</v>
      </c>
      <c r="P8" s="2">
        <f>SUM('Estres_mensual'!P74:P85)</f>
        <v>2435866.6849191603</v>
      </c>
      <c r="Q8" s="2">
        <f>SUM('Estres_mensual'!Q74:Q85)</f>
        <v>5277949.9611174865</v>
      </c>
      <c r="R8" s="2">
        <f>SUM('Estres_mensual'!R74:R85)</f>
        <v>3582156.8895870005</v>
      </c>
      <c r="S8" s="2">
        <f>SUM('Estres_mensual'!S74:S85)</f>
        <v>4012015.7163374405</v>
      </c>
      <c r="T8" s="2">
        <f>SUM('Estres_mensual'!T74:T85)</f>
        <v>33564810.055430196</v>
      </c>
      <c r="U8" s="2">
        <f>SUM('Estres_mensual'!U74:U85)</f>
        <v>129632526.3831302</v>
      </c>
      <c r="V8" s="2">
        <f>SUM('Estres_mensual'!V74:V85)</f>
        <v>3491534.3372181794</v>
      </c>
      <c r="W8" s="2">
        <f>SUM('Estres_mensual'!W74:W85)</f>
        <v>1719259.1545168934</v>
      </c>
      <c r="X8" s="2">
        <f>SUM('Estres_mensual'!X74:X85)</f>
        <v>3486775.713363431</v>
      </c>
      <c r="Y8" s="2">
        <f>SUM('Estres_mensual'!Y74:Y85)</f>
        <v>5206034.867880324</v>
      </c>
      <c r="Z8" s="2">
        <v>13177669.08323442</v>
      </c>
      <c r="AA8" s="2">
        <f>SUM('Estres_mensual'!AA74:AA85)</f>
        <v>1791078.4447935002</v>
      </c>
      <c r="AB8" s="2">
        <f>SUM('Estres_mensual'!AB74:AB85)</f>
        <v>0.0</v>
      </c>
      <c r="AC8" s="2">
        <f>SUM('Estres_mensual'!AC74:AC85)</f>
        <v>0.0</v>
      </c>
      <c r="AD8" s="2">
        <f>SUM('Estres_mensual'!AD74:AD85)</f>
        <v>10610.094446004281</v>
      </c>
      <c r="AE8" s="2">
        <v>364279.9093128131</v>
      </c>
      <c r="AF8" s="2">
        <f>SUM('Estres_mensual'!AF74:AF85)</f>
        <v>1499790.5402200164</v>
      </c>
      <c r="AG8" s="2">
        <f>SUM('Estres_mensual'!AG74:AG85)</f>
        <v>-3706244.327660308</v>
      </c>
      <c r="AH8" s="2">
        <v>-12654537.42344149</v>
      </c>
      <c r="AI8" s="2">
        <v>34841378.11275263</v>
      </c>
      <c r="AJ8" s="2">
        <v>-47495915.53619412</v>
      </c>
      <c r="AK8" s="3">
        <v>0.25</v>
      </c>
      <c r="AL8" s="3">
        <v>0.2880869180253228</v>
      </c>
      <c r="AM8" s="2">
        <v>-87964911.8234953</v>
      </c>
      <c r="AN8" s="2">
        <v>594</v>
      </c>
      <c r="AO8" s="2">
        <v>617</v>
      </c>
    </row>
    <row r="9" spans="1:41">
      <c r="A9" s="2">
        <v>1086</v>
      </c>
      <c r="B9" s="2">
        <v>2034</v>
      </c>
      <c r="C9" s="2">
        <f>SUM('Estres_mensual'!C86:C97)</f>
        <v>639</v>
      </c>
      <c r="D9" s="2">
        <v>430443.5541600503</v>
      </c>
      <c r="E9" s="2">
        <f>SUM('Estres_mensual'!E86:E97)</f>
        <v>275053431.10827214</v>
      </c>
      <c r="F9" s="2">
        <f>SUM('Estres_mensual'!F86:F97)</f>
        <v>231137337.06577492</v>
      </c>
      <c r="G9" s="2">
        <f>SUM('Estres_mensual'!G86:G97)</f>
        <v>640</v>
      </c>
      <c r="H9" s="2">
        <f>SUM('Estres_mensual'!H86:H97)</f>
        <v>63901385.298854835</v>
      </c>
      <c r="I9" s="2">
        <v>35</v>
      </c>
      <c r="J9" s="2">
        <v>3493968.227930123</v>
      </c>
      <c r="K9" s="2">
        <f>SUM('Estres_mensual'!K86:K97)</f>
        <v>63702654.89741193</v>
      </c>
      <c r="L9" s="2">
        <f>SUM('Estres_mensual'!L86:L97)</f>
        <v>23564220.347245514</v>
      </c>
      <c r="M9" s="2">
        <f>SUM('Estres_mensual'!M86:M97)</f>
        <v>83182518.8880111</v>
      </c>
      <c r="N9" s="3">
        <v>1</v>
      </c>
      <c r="O9" s="3">
        <v>1.5</v>
      </c>
      <c r="P9" s="2">
        <f>SUM('Estres_mensual'!P86:P97)</f>
        <v>2508942.685466735</v>
      </c>
      <c r="Q9" s="2">
        <f>SUM('Estres_mensual'!Q86:Q97)</f>
        <v>5877567.202865455</v>
      </c>
      <c r="R9" s="2">
        <f>SUM('Estres_mensual'!R86:R97)</f>
        <v>3689621.5962746106</v>
      </c>
      <c r="S9" s="2">
        <f>SUM('Estres_mensual'!S86:S97)</f>
        <v>4132376.187827564</v>
      </c>
      <c r="T9" s="2">
        <f>SUM('Estres_mensual'!T86:T97)</f>
        <v>36305876.50734217</v>
      </c>
      <c r="U9" s="2">
        <f>SUM('Estres_mensual'!U86:U97)</f>
        <v>135696903.06778765</v>
      </c>
      <c r="V9" s="2">
        <f>SUM('Estres_mensual'!V86:V97)</f>
        <v>8173558.7533298405</v>
      </c>
      <c r="W9" s="2">
        <f>SUM('Estres_mensual'!W86:W97)</f>
        <v>1300846.0689132782</v>
      </c>
      <c r="X9" s="2">
        <f>SUM('Estres_mensual'!X86:X97)</f>
        <v>3905188.7989670467</v>
      </c>
      <c r="Y9" s="2">
        <f>SUM('Estres_mensual'!Y86:Y97)</f>
        <v>5206034.867880325</v>
      </c>
      <c r="Z9" s="2">
        <v>9272480.28426737</v>
      </c>
      <c r="AA9" s="2">
        <f>SUM('Estres_mensual'!AA86:AA97)</f>
        <v>0</v>
      </c>
      <c r="AB9" s="2">
        <f>SUM('Estres_mensual'!AB86:AB97)</f>
        <v>0.0</v>
      </c>
      <c r="AC9" s="2">
        <f>SUM('Estres_mensual'!AC86:AC97)</f>
        <v>0.0</v>
      </c>
      <c r="AD9" s="2">
        <f>SUM('Estres_mensual'!AD86:AD97)</f>
        <v>10928.39727938443</v>
      </c>
      <c r="AE9" s="2">
        <v>375208.3065921975</v>
      </c>
      <c r="AF9" s="2">
        <f>SUM('Estres_mensual'!AF86:AF97)</f>
        <v>7963899.954607554</v>
      </c>
      <c r="AG9" s="2">
        <f>SUM('Estres_mensual'!AG86:AG97)</f>
        <v>2757865.086727226</v>
      </c>
      <c r="AH9" s="2">
        <v>-9896672.336714279</v>
      </c>
      <c r="AI9" s="2">
        <v>36357472.28391699</v>
      </c>
      <c r="AJ9" s="2">
        <v>-46254144.62063128</v>
      </c>
      <c r="AK9" s="3">
        <v>0.25</v>
      </c>
      <c r="AL9" s="3">
        <v>1.529743875466994</v>
      </c>
      <c r="AM9" s="2">
        <v>-92335020.28089485</v>
      </c>
      <c r="AN9" s="2">
        <v>603</v>
      </c>
      <c r="AO9" s="2">
        <v>626</v>
      </c>
    </row>
    <row r="10" spans="1:41">
      <c r="A10" s="2">
        <v>1230</v>
      </c>
      <c r="B10" s="2">
        <v>2035</v>
      </c>
      <c r="C10" s="2">
        <f>SUM('Estres_mensual'!C98:C109)</f>
        <v>671</v>
      </c>
      <c r="D10" s="2">
        <v>443356.8607848518</v>
      </c>
      <c r="E10" s="2">
        <f>SUM('Estres_mensual'!E98:E109)</f>
        <v>297492453.5866356</v>
      </c>
      <c r="F10" s="2">
        <f>SUM('Estres_mensual'!F98:F109)</f>
        <v>249993658.4761644</v>
      </c>
      <c r="G10" s="2">
        <f>SUM('Estres_mensual'!G98:G109)</f>
        <v>680</v>
      </c>
      <c r="H10" s="2">
        <f>SUM('Estres_mensual'!H98:H109)</f>
        <v>69932078.53643426</v>
      </c>
      <c r="I10" s="2">
        <v>44</v>
      </c>
      <c r="J10" s="2">
        <v>4524260.553554213</v>
      </c>
      <c r="K10" s="2">
        <f>SUM('Estres_mensual'!K98:K109)</f>
        <v>68901786.21081017</v>
      </c>
      <c r="L10" s="2">
        <f>SUM('Estres_mensual'!L98:L109)</f>
        <v>25486781.92386314</v>
      </c>
      <c r="M10" s="2">
        <f>SUM('Estres_mensual'!M98:M109)</f>
        <v>85677994.45465143</v>
      </c>
      <c r="N10" s="3">
        <v>1</v>
      </c>
      <c r="O10" s="3">
        <v>1.5</v>
      </c>
      <c r="P10" s="2">
        <f>SUM('Estres_mensual'!P98:P109)</f>
        <v>2584210.9660307374</v>
      </c>
      <c r="Q10" s="2">
        <f>SUM('Estres_mensual'!Q98:Q109)</f>
        <v>6408083.133707397</v>
      </c>
      <c r="R10" s="2">
        <f>SUM('Estres_mensual'!R98:R109)</f>
        <v>3800310.244162849</v>
      </c>
      <c r="S10" s="2">
        <f>SUM('Estres_mensual'!S98:S109)</f>
        <v>4256347.473462391</v>
      </c>
      <c r="T10" s="2">
        <f>SUM('Estres_mensual'!T98:T109)</f>
        <v>39257204.82220223</v>
      </c>
      <c r="U10" s="2">
        <f>SUM('Estres_mensual'!U98:U109)</f>
        <v>141984151.09421703</v>
      </c>
      <c r="V10" s="2">
        <f>SUM('Estres_mensual'!V98:V109)</f>
        <v>13620939.247274049</v>
      </c>
      <c r="W10" s="2">
        <f>SUM('Estres_mensual'!W98:W109)</f>
        <v>832223.413037229</v>
      </c>
      <c r="X10" s="2">
        <f>SUM('Estres_mensual'!X98:X109)</f>
        <v>4373811.4548430955</v>
      </c>
      <c r="Y10" s="2">
        <f>SUM('Estres_mensual'!Y98:Y109)</f>
        <v>5206034.867880325</v>
      </c>
      <c r="Z10" s="2">
        <v>4898668.829424275</v>
      </c>
      <c r="AA10" s="2">
        <f>SUM('Estres_mensual'!AA98:AA109)</f>
        <v>0</v>
      </c>
      <c r="AB10" s="2">
        <f>SUM('Estres_mensual'!AB98:AB109)</f>
        <v>0.0</v>
      </c>
      <c r="AC10" s="2">
        <f>SUM('Estres_mensual'!AC98:AC109)</f>
        <v>1334365.4586426248</v>
      </c>
      <c r="AD10" s="2">
        <f>SUM('Estres_mensual'!AD98:AD109)</f>
        <v>204488.52709274768</v>
      </c>
      <c r="AE10" s="2">
        <v>579696.8336849452</v>
      </c>
      <c r="AF10" s="2">
        <f>SUM('Estres_mensual'!AF98:AF109)</f>
        <v>11051792.935914593</v>
      </c>
      <c r="AG10" s="2">
        <f>SUM('Estres_mensual'!AG98:AG109)</f>
        <v>7180123.5266768895</v>
      </c>
      <c r="AH10" s="2">
        <v>-2716548.810037382</v>
      </c>
      <c r="AI10" s="2">
        <v>37929284.29052433</v>
      </c>
      <c r="AJ10" s="2">
        <v>-40645833.10056172</v>
      </c>
      <c r="AK10" s="3">
        <v>0.25</v>
      </c>
      <c r="AL10" s="3">
        <v>2.379192362113458</v>
      </c>
      <c r="AM10" s="2">
        <v>-92219945.32709733</v>
      </c>
      <c r="AN10" s="2">
        <v>613</v>
      </c>
      <c r="AO10" s="2">
        <v>635</v>
      </c>
    </row>
    <row r="11" spans="1:41">
      <c r="A11" s="2">
        <v>1374</v>
      </c>
      <c r="B11" s="2">
        <v>2036</v>
      </c>
      <c r="C11" s="2">
        <f>SUM('Estres_mensual'!C110:C121)</f>
        <v>705</v>
      </c>
      <c r="D11" s="2">
        <v>456657.5666083974</v>
      </c>
      <c r="E11" s="2">
        <f>SUM('Estres_mensual'!E110:E121)</f>
        <v>321943584.4589202</v>
      </c>
      <c r="F11" s="2">
        <f>SUM('Estres_mensual'!F110:F121)</f>
        <v>270540827.27640355</v>
      </c>
      <c r="G11" s="2">
        <f>SUM('Estres_mensual'!G110:G121)</f>
        <v>700</v>
      </c>
      <c r="H11" s="2">
        <f>SUM('Estres_mensual'!H110:H121)</f>
        <v>74148571.5070134</v>
      </c>
      <c r="I11" s="2">
        <v>39</v>
      </c>
      <c r="J11" s="2">
        <v>4130223.875211893</v>
      </c>
      <c r="K11" s="2">
        <f>SUM('Estres_mensual'!K110:K121)</f>
        <v>74542608.18535571</v>
      </c>
      <c r="L11" s="2">
        <f>SUM('Estres_mensual'!L110:L121)</f>
        <v>27579778.44537217</v>
      </c>
      <c r="M11" s="2">
        <f>SUM('Estres_mensual'!M110:M121)</f>
        <v>88248334.28829098</v>
      </c>
      <c r="N11" s="3">
        <v>1</v>
      </c>
      <c r="O11" s="3">
        <v>1.5</v>
      </c>
      <c r="P11" s="2">
        <f>SUM('Estres_mensual'!P110:P121)</f>
        <v>2661737.2950116596</v>
      </c>
      <c r="Q11" s="2">
        <f>SUM('Estres_mensual'!Q110:Q121)</f>
        <v>6813264.611319551</v>
      </c>
      <c r="R11" s="2">
        <f>SUM('Estres_mensual'!R110:R121)</f>
        <v>3914319.5514877345</v>
      </c>
      <c r="S11" s="2">
        <f>SUM('Estres_mensual'!S110:S121)</f>
        <v>4384037.897666262</v>
      </c>
      <c r="T11" s="2">
        <f>SUM('Estres_mensual'!T110:T121)</f>
        <v>42470367.13364192</v>
      </c>
      <c r="U11" s="2">
        <f>SUM('Estres_mensual'!U110:U121)</f>
        <v>148492060.7774181</v>
      </c>
      <c r="V11" s="2">
        <f>SUM('Estres_mensual'!V110:V121)</f>
        <v>19926379.868257556</v>
      </c>
      <c r="W11" s="2">
        <f>SUM('Estres_mensual'!W110:W121)</f>
        <v>307366.03845605336</v>
      </c>
      <c r="X11" s="2">
        <f>SUM('Estres_mensual'!X110:X121)</f>
        <v>4898668.829424271</v>
      </c>
      <c r="Y11" s="2">
        <f>SUM('Estres_mensual'!Y110:Y121)</f>
        <v>5206034.867880325</v>
      </c>
      <c r="Z11" s="2">
        <v>3.37604433298111E-09</v>
      </c>
      <c r="AA11" s="2">
        <f>SUM('Estres_mensual'!AA110:AA121)</f>
        <v>1957159.7757438673</v>
      </c>
      <c r="AB11" s="2">
        <f>SUM('Estres_mensual'!AB110:AB121)</f>
        <v>660092.4816558082</v>
      </c>
      <c r="AC11" s="2">
        <f>SUM('Estres_mensual'!AC110:AC121)</f>
        <v>4590814.192713999</v>
      </c>
      <c r="AD11" s="2">
        <f>SUM('Estres_mensual'!AD110:AD121)</f>
        <v>-181638.3412212829</v>
      </c>
      <c r="AE11" s="2">
        <v>398058.4924636624</v>
      </c>
      <c r="AF11" s="2">
        <f>SUM('Estres_mensual'!AF110:AF121)</f>
        <v>13954080.91936328</v>
      </c>
      <c r="AG11" s="2">
        <f>SUM('Estres_mensual'!AG110:AG121)</f>
        <v>12678767.762541145</v>
      </c>
      <c r="AH11" s="2">
        <v>9962218.952503767</v>
      </c>
      <c r="AI11" s="2">
        <v>39556261.7113246</v>
      </c>
      <c r="AJ11" s="2">
        <v>-29594042.75882084</v>
      </c>
      <c r="AK11" s="3">
        <v>0.25</v>
      </c>
      <c r="AL11" s="3">
        <v>3.435398164688707</v>
      </c>
      <c r="AM11" s="2">
        <v>-87335951.45107052</v>
      </c>
      <c r="AN11" s="2">
        <v>622</v>
      </c>
      <c r="AO11" s="2">
        <v>644</v>
      </c>
    </row>
    <row r="12" spans="1:41">
      <c r="A12" s="2">
        <v>1518</v>
      </c>
      <c r="B12" s="2">
        <v>2037</v>
      </c>
      <c r="C12" s="2">
        <f>SUM('Estres_mensual'!C122:C133)</f>
        <v>740</v>
      </c>
      <c r="D12" s="2">
        <v>470357.2936066493</v>
      </c>
      <c r="E12" s="2">
        <f>SUM('Estres_mensual'!E122:E133)</f>
        <v>348064397.2689205</v>
      </c>
      <c r="F12" s="2">
        <f>SUM('Estres_mensual'!F122:F133)</f>
        <v>292491090.14195</v>
      </c>
      <c r="G12" s="2">
        <f>SUM('Estres_mensual'!G122:G133)</f>
        <v>740</v>
      </c>
      <c r="H12" s="2">
        <f>SUM('Estres_mensual'!H122:H133)</f>
        <v>80737201.71806514</v>
      </c>
      <c r="I12" s="2">
        <v>39</v>
      </c>
      <c r="J12" s="2">
        <v>4254291.964276372</v>
      </c>
      <c r="K12" s="2">
        <f>SUM('Estres_mensual'!K122:K133)</f>
        <v>80613133.62900068</v>
      </c>
      <c r="L12" s="2">
        <f>SUM('Estres_mensual'!L122:L133)</f>
        <v>29819259.278053984</v>
      </c>
      <c r="M12" s="2">
        <f>SUM('Estres_mensual'!M122:M133)</f>
        <v>90895784.31693971</v>
      </c>
      <c r="N12" s="3">
        <v>1</v>
      </c>
      <c r="O12" s="3">
        <v>1.5</v>
      </c>
      <c r="P12" s="2">
        <f>SUM('Estres_mensual'!P122:P133)</f>
        <v>2741589.413862009</v>
      </c>
      <c r="Q12" s="2">
        <f>SUM('Estres_mensual'!Q122:Q133)</f>
        <v>7247472.250526981</v>
      </c>
      <c r="R12" s="2">
        <f>SUM('Estres_mensual'!R122:R133)</f>
        <v>4031749.1380323665</v>
      </c>
      <c r="S12" s="2">
        <f>SUM('Estres_mensual'!S122:S133)</f>
        <v>4515559.03459625</v>
      </c>
      <c r="T12" s="2">
        <f>SUM('Estres_mensual'!T122:T133)</f>
        <v>45921622.68218866</v>
      </c>
      <c r="U12" s="2">
        <f>SUM('Estres_mensual'!U122:U133)</f>
        <v>155353776.836146</v>
      </c>
      <c r="V12" s="2">
        <f>SUM('Estres_mensual'!V122:V133)</f>
        <v>26704920.39874939</v>
      </c>
      <c r="W12" s="2">
        <f>SUM('Estres_mensual'!W122:W133)</f>
        <v>0</v>
      </c>
      <c r="X12" s="2">
        <f>SUM('Estres_mensual'!X122:X133)</f>
        <v>0</v>
      </c>
      <c r="Y12" s="2">
        <f>SUM('Estres_mensual'!Y122:Y133)</f>
        <v>0</v>
      </c>
      <c r="Z12" s="2">
        <v>3.37604433298111E-09</v>
      </c>
      <c r="AA12" s="2">
        <f>SUM('Estres_mensual'!AA122:AA133)</f>
        <v>0</v>
      </c>
      <c r="AB12" s="2">
        <f>SUM('Estres_mensual'!AB122:AB133)</f>
        <v>6645213.07742123</v>
      </c>
      <c r="AC12" s="2">
        <f>SUM('Estres_mensual'!AC122:AC133)</f>
        <v>6645213.07742123</v>
      </c>
      <c r="AD12" s="2">
        <f>SUM('Estres_mensual'!AD122:AD133)</f>
        <v>11941.754773909954</v>
      </c>
      <c r="AE12" s="2">
        <v>410000.2472375723</v>
      </c>
      <c r="AF12" s="2">
        <f>SUM('Estres_mensual'!AF122:AF133)</f>
        <v>19923697.47748978</v>
      </c>
      <c r="AG12" s="2">
        <f>SUM('Estres_mensual'!AG122:AG133)</f>
        <v>19923697.47748978</v>
      </c>
      <c r="AH12" s="2">
        <v>29885916.42999355</v>
      </c>
      <c r="AI12" s="2">
        <v>39970182.0090365</v>
      </c>
      <c r="AJ12" s="2">
        <v>-10084265.57904295</v>
      </c>
      <c r="AK12" s="3">
        <v>0.25</v>
      </c>
      <c r="AL12" s="3">
        <v>0</v>
      </c>
      <c r="AM12" s="2">
        <v>-71392165.7954638</v>
      </c>
      <c r="AN12" s="2">
        <v>632</v>
      </c>
      <c r="AO12" s="2">
        <v>632</v>
      </c>
    </row>
    <row r="13" spans="1:41">
      <c r="A13" s="2">
        <v>1662</v>
      </c>
      <c r="B13" s="2">
        <v>2038</v>
      </c>
      <c r="C13" s="2">
        <f>SUM('Estres_mensual'!C134:C145)</f>
        <v>777</v>
      </c>
      <c r="D13" s="2">
        <v>484468.0124148488</v>
      </c>
      <c r="E13" s="2">
        <f>SUM('Estres_mensual'!E134:E145)</f>
        <v>376431645.64633757</v>
      </c>
      <c r="F13" s="2">
        <f>SUM('Estres_mensual'!F134:F145)</f>
        <v>316329113.98851895</v>
      </c>
      <c r="G13" s="2">
        <f>SUM('Estres_mensual'!G134:G145)</f>
        <v>780</v>
      </c>
      <c r="H13" s="2">
        <f>SUM('Estres_mensual'!H134:H145)</f>
        <v>87654416.02742371</v>
      </c>
      <c r="I13" s="2">
        <v>42</v>
      </c>
      <c r="J13" s="2">
        <v>4719026.296091611</v>
      </c>
      <c r="K13" s="2">
        <f>SUM('Estres_mensual'!K134:K145)</f>
        <v>87189681.69560848</v>
      </c>
      <c r="L13" s="2">
        <f>SUM('Estres_mensual'!L134:L145)</f>
        <v>32250055.123282924</v>
      </c>
      <c r="M13" s="2">
        <f>SUM('Estres_mensual'!M134:M145)</f>
        <v>102031878.6110989</v>
      </c>
      <c r="N13" s="3">
        <v>1</v>
      </c>
      <c r="O13" s="3">
        <v>2</v>
      </c>
      <c r="P13" s="2">
        <f>SUM('Estres_mensual'!P134:P145)</f>
        <v>2989945.160764803</v>
      </c>
      <c r="Q13" s="2">
        <f>SUM('Estres_mensual'!Q134:Q145)</f>
        <v>7713227.974450758</v>
      </c>
      <c r="R13" s="2">
        <f>SUM('Estres_mensual'!R134:R145)</f>
        <v>4152701.6121733375</v>
      </c>
      <c r="S13" s="2">
        <f>SUM('Estres_mensual'!S134:S145)</f>
        <v>4651025.805634139</v>
      </c>
      <c r="T13" s="2">
        <f>SUM('Estres_mensual'!T134:T145)</f>
        <v>49666311.28159312</v>
      </c>
      <c r="U13" s="2">
        <f>SUM('Estres_mensual'!U134:U145)</f>
        <v>171205090.44571507</v>
      </c>
      <c r="V13" s="2">
        <f>SUM('Estres_mensual'!V134:V145)</f>
        <v>25684286.723912504</v>
      </c>
      <c r="W13" s="2">
        <f>SUM('Estres_mensual'!W134:W145)</f>
        <v>0</v>
      </c>
      <c r="X13" s="2">
        <f>SUM('Estres_mensual'!X134:X145)</f>
        <v>0</v>
      </c>
      <c r="Y13" s="2">
        <f>SUM('Estres_mensual'!Y134:Y145)</f>
        <v>0</v>
      </c>
      <c r="Z13" s="2">
        <v>3.37604433298111E-09</v>
      </c>
      <c r="AA13" s="2">
        <f>SUM('Estres_mensual'!AA134:AA145)</f>
        <v>0</v>
      </c>
      <c r="AB13" s="2">
        <f>SUM('Estres_mensual'!AB134:AB145)</f>
        <v>6304888.098024318</v>
      </c>
      <c r="AC13" s="2">
        <f>SUM('Estres_mensual'!AC134:AC145)</f>
        <v>6304888.098024318</v>
      </c>
      <c r="AD13" s="2">
        <f>SUM('Estres_mensual'!AD134:AD145)</f>
        <v>12300.007417127199</v>
      </c>
      <c r="AE13" s="2">
        <v>422300.2546546995</v>
      </c>
      <c r="AF13" s="2">
        <f>SUM('Estres_mensual'!AF134:AF145)</f>
        <v>18902364.28665583</v>
      </c>
      <c r="AG13" s="2">
        <f>SUM('Estres_mensual'!AG134:AG145)</f>
        <v>18902364.28665583</v>
      </c>
      <c r="AH13" s="2">
        <v>48788280.71664938</v>
      </c>
      <c r="AI13" s="2">
        <v>43933010.41142876</v>
      </c>
      <c r="AJ13" s="2">
        <v>4855270.305220611</v>
      </c>
      <c r="AK13" s="3">
        <v>0.25</v>
      </c>
      <c r="AL13" s="3">
        <v>0</v>
      </c>
      <c r="AM13" s="2">
        <v>-60695569.26746486</v>
      </c>
      <c r="AN13" s="2">
        <v>676</v>
      </c>
      <c r="AO13" s="2">
        <v>676</v>
      </c>
    </row>
    <row r="14" spans="1:41">
      <c r="A14" s="2">
        <v>1806</v>
      </c>
      <c r="B14" s="2">
        <v>2039</v>
      </c>
      <c r="C14" s="2">
        <f>SUM('Estres_mensual'!C146:C157)</f>
        <v>816</v>
      </c>
      <c r="D14" s="2">
        <v>499002.0527872943</v>
      </c>
      <c r="E14" s="2">
        <f>SUM('Estres_mensual'!E146:E157)</f>
        <v>407185675.07443213</v>
      </c>
      <c r="F14" s="2">
        <f>SUM('Estres_mensual'!F146:F157)</f>
        <v>342172836.1970018</v>
      </c>
      <c r="G14" s="2">
        <f>SUM('Estres_mensual'!G146:G157)</f>
        <v>820</v>
      </c>
      <c r="H14" s="2">
        <f>SUM('Estres_mensual'!H146:H157)</f>
        <v>94913999.71379751</v>
      </c>
      <c r="I14" s="2">
        <v>46</v>
      </c>
      <c r="J14" s="2">
        <v>5323454.520533117</v>
      </c>
      <c r="K14" s="2">
        <f>SUM('Estres_mensual'!K146:K157)</f>
        <v>94309571.48935601</v>
      </c>
      <c r="L14" s="2">
        <f>SUM('Estres_mensual'!L146:L157)</f>
        <v>34884574.77486898</v>
      </c>
      <c r="M14" s="2">
        <f>SUM('Estres_mensual'!M146:M157)</f>
        <v>105092834.96943188</v>
      </c>
      <c r="N14" s="3">
        <v>1</v>
      </c>
      <c r="O14" s="3">
        <v>2</v>
      </c>
      <c r="P14" s="2">
        <f>SUM('Estres_mensual'!P146:P157)</f>
        <v>3079643.515587747</v>
      </c>
      <c r="Q14" s="2">
        <f>SUM('Estres_mensual'!Q146:Q157)</f>
        <v>8214093.621298209</v>
      </c>
      <c r="R14" s="2">
        <f>SUM('Estres_mensual'!R146:R157)</f>
        <v>4277282.660538538</v>
      </c>
      <c r="S14" s="2">
        <f>SUM('Estres_mensual'!S146:S157)</f>
        <v>4790556.579803162</v>
      </c>
      <c r="T14" s="2">
        <f>SUM('Estres_mensual'!T146:T157)</f>
        <v>53722670.21636404</v>
      </c>
      <c r="U14" s="2">
        <f>SUM('Estres_mensual'!U146:U157)</f>
        <v>179177081.56302354</v>
      </c>
      <c r="V14" s="2">
        <f>SUM('Estres_mensual'!V146:V157)</f>
        <v>33801608.369753286</v>
      </c>
      <c r="W14" s="2">
        <f>SUM('Estres_mensual'!W146:W157)</f>
        <v>0</v>
      </c>
      <c r="X14" s="2">
        <f>SUM('Estres_mensual'!X146:X157)</f>
        <v>0</v>
      </c>
      <c r="Y14" s="2">
        <f>SUM('Estres_mensual'!Y146:Y157)</f>
        <v>0</v>
      </c>
      <c r="Z14" s="2">
        <v>3.37604433298111E-09</v>
      </c>
      <c r="AA14" s="2">
        <f>SUM('Estres_mensual'!AA146:AA157)</f>
        <v>2138641.330269269</v>
      </c>
      <c r="AB14" s="2">
        <f>SUM('Estres_mensual'!AB146:AB157)</f>
        <v>7764634.703760627</v>
      </c>
      <c r="AC14" s="2">
        <f>SUM('Estres_mensual'!AC146:AC157)</f>
        <v>7764634.703760627</v>
      </c>
      <c r="AD14" s="2">
        <f>SUM('Estres_mensual'!AD146:AD157)</f>
        <v>12669.007639640942</v>
      </c>
      <c r="AE14" s="2">
        <v>434969.2622943405</v>
      </c>
      <c r="AF14" s="2">
        <f>SUM('Estres_mensual'!AF146:AF157)</f>
        <v>23281235.10364223</v>
      </c>
      <c r="AG14" s="2">
        <f>SUM('Estres_mensual'!AG146:AG157)</f>
        <v>23281235.10364223</v>
      </c>
      <c r="AH14" s="2">
        <v>72069515.82029161</v>
      </c>
      <c r="AI14" s="2">
        <v>45926008.19075588</v>
      </c>
      <c r="AJ14" s="2">
        <v>26143507.62953573</v>
      </c>
      <c r="AK14" s="3">
        <v>0.25</v>
      </c>
      <c r="AL14" s="3">
        <v>0</v>
      </c>
      <c r="AM14" s="2">
        <v>-46614982.62004716</v>
      </c>
      <c r="AN14" s="2">
        <v>687</v>
      </c>
      <c r="AO14" s="2">
        <v>687</v>
      </c>
    </row>
    <row r="15" spans="1:41">
      <c r="A15" s="2">
        <v>1950</v>
      </c>
      <c r="B15" s="2">
        <v>2040</v>
      </c>
      <c r="C15" s="2">
        <f>SUM('Estres_mensual'!C158:C169)</f>
        <v>857</v>
      </c>
      <c r="D15" s="2">
        <v>513972.1143709132</v>
      </c>
      <c r="E15" s="2">
        <f>SUM('Estres_mensual'!E158:E169)</f>
        <v>440474102.0158726</v>
      </c>
      <c r="F15" s="2">
        <f>SUM('Estres_mensual'!F158:F169)</f>
        <v>370146304.215019</v>
      </c>
      <c r="G15" s="2">
        <f>SUM('Estres_mensual'!G158:G169)</f>
        <v>860</v>
      </c>
      <c r="H15" s="2">
        <f>SUM('Estres_mensual'!H158:H169)</f>
        <v>102530269.44692908</v>
      </c>
      <c r="I15" s="2">
        <v>49</v>
      </c>
      <c r="J15" s="2">
        <v>5840770.690989222</v>
      </c>
      <c r="K15" s="2">
        <f>SUM('Estres_mensual'!K158:K169)</f>
        <v>102012953.27647299</v>
      </c>
      <c r="L15" s="2">
        <f>SUM('Estres_mensual'!L158:L169)</f>
        <v>37735941.717479415</v>
      </c>
      <c r="M15" s="2">
        <f>SUM('Estres_mensual'!M158:M169)</f>
        <v>115977450.01983732</v>
      </c>
      <c r="N15" s="3">
        <v>1.5</v>
      </c>
      <c r="O15" s="3">
        <v>2</v>
      </c>
      <c r="P15" s="2">
        <f>SUM('Estres_mensual'!P158:P169)</f>
        <v>3348256.8666695682</v>
      </c>
      <c r="Q15" s="2">
        <f>SUM('Estres_mensual'!Q158:Q169)</f>
        <v>8752167.225428635</v>
      </c>
      <c r="R15" s="2">
        <f>SUM('Estres_mensual'!R158:R169)</f>
        <v>4405601.140354695</v>
      </c>
      <c r="S15" s="2">
        <f>SUM('Estres_mensual'!S158:S169)</f>
        <v>4934273.277197258</v>
      </c>
      <c r="T15" s="2">
        <f>SUM('Estres_mensual'!T158:T169)</f>
        <v>58109879.04127842</v>
      </c>
      <c r="U15" s="2">
        <f>SUM('Estres_mensual'!U158:U169)</f>
        <v>195527627.5707659</v>
      </c>
      <c r="V15" s="2">
        <f>SUM('Estres_mensual'!V158:V169)</f>
        <v>34869781.650300704</v>
      </c>
      <c r="W15" s="2">
        <f>SUM('Estres_mensual'!W158:W169)</f>
        <v>0</v>
      </c>
      <c r="X15" s="2">
        <f>SUM('Estres_mensual'!X158:X169)</f>
        <v>0</v>
      </c>
      <c r="Y15" s="2">
        <f>SUM('Estres_mensual'!Y158:Y169)</f>
        <v>0</v>
      </c>
      <c r="Z15" s="2">
        <v>3.37604433298111E-09</v>
      </c>
      <c r="AA15" s="2">
        <f>SUM('Estres_mensual'!AA158:AA169)</f>
        <v>0</v>
      </c>
      <c r="AB15" s="2">
        <f>SUM('Estres_mensual'!AB158:AB169)</f>
        <v>8588116.369961146</v>
      </c>
      <c r="AC15" s="2">
        <f>SUM('Estres_mensual'!AC158:AC169)</f>
        <v>8588116.369961146</v>
      </c>
      <c r="AD15" s="2">
        <f>SUM('Estres_mensual'!AD158:AD169)</f>
        <v>237058.24795041536</v>
      </c>
      <c r="AE15" s="2">
        <v>672027.510244756</v>
      </c>
      <c r="AF15" s="2">
        <f>SUM('Estres_mensual'!AF158:AF169)</f>
        <v>25527290.861933026</v>
      </c>
      <c r="AG15" s="2">
        <f>SUM('Estres_mensual'!AG158:AG169)</f>
        <v>25527290.861933026</v>
      </c>
      <c r="AH15" s="2">
        <v>97596806.68222463</v>
      </c>
      <c r="AI15" s="2">
        <v>50013644.69269148</v>
      </c>
      <c r="AJ15" s="2">
        <v>47583161.98953316</v>
      </c>
      <c r="AK15" s="3">
        <v>0.25</v>
      </c>
      <c r="AL15" s="3">
        <v>0</v>
      </c>
      <c r="AM15" s="2">
        <v>-29894601.88072841</v>
      </c>
      <c r="AN15" s="2">
        <v>728</v>
      </c>
      <c r="AO15" s="2">
        <v>728</v>
      </c>
    </row>
    <row r="16" spans="1:41">
      <c r="A16" s="2">
        <v>2094</v>
      </c>
      <c r="B16" s="2">
        <v>2041</v>
      </c>
      <c r="C16" s="2">
        <f>SUM('Estres_mensual'!C170:C181)</f>
        <v>900</v>
      </c>
      <c r="D16" s="2">
        <v>529391.2778020406</v>
      </c>
      <c r="E16" s="2">
        <f>SUM('Estres_mensual'!E170:E181)</f>
        <v>476452150.0218365</v>
      </c>
      <c r="F16" s="2">
        <f>SUM('Estres_mensual'!F170:F181)</f>
        <v>400379958.00154334</v>
      </c>
      <c r="G16" s="2">
        <f>SUM('Estres_mensual'!G170:G181)</f>
        <v>860</v>
      </c>
      <c r="H16" s="2">
        <f>SUM('Estres_mensual'!H170:H181)</f>
        <v>105606177.53033698</v>
      </c>
      <c r="I16" s="2">
        <v>9</v>
      </c>
      <c r="J16" s="2">
        <v>1104929.646162283</v>
      </c>
      <c r="K16" s="2">
        <f>SUM('Estres_mensual'!K170:K181)</f>
        <v>110342018.57516392</v>
      </c>
      <c r="L16" s="2">
        <f>SUM('Estres_mensual'!L170:L181)</f>
        <v>40817953.501322545</v>
      </c>
      <c r="M16" s="2">
        <f>SUM('Estres_mensual'!M170:M181)</f>
        <v>119456773.52043247</v>
      </c>
      <c r="N16" s="3">
        <v>1.5</v>
      </c>
      <c r="O16" s="3">
        <v>2</v>
      </c>
      <c r="P16" s="2">
        <f>SUM('Estres_mensual'!P170:P181)</f>
        <v>3448704.572669655</v>
      </c>
      <c r="Q16" s="2">
        <f>SUM('Estres_mensual'!Q170:Q181)</f>
        <v>9329653.422906332</v>
      </c>
      <c r="R16" s="2">
        <f>SUM('Estres_mensual'!R170:R181)</f>
        <v>4537769.174565336</v>
      </c>
      <c r="S16" s="2">
        <f>SUM('Estres_mensual'!S170:S181)</f>
        <v>5082301.475513176</v>
      </c>
      <c r="T16" s="2">
        <f>SUM('Estres_mensual'!T170:T181)</f>
        <v>62848103.06772989</v>
      </c>
      <c r="U16" s="2">
        <f>SUM('Estres_mensual'!U170:U181)</f>
        <v>204703305.23381686</v>
      </c>
      <c r="V16" s="2">
        <f>SUM('Estres_mensual'!V170:V181)</f>
        <v>44516680.69124001</v>
      </c>
      <c r="W16" s="2">
        <f>SUM('Estres_mensual'!W170:W181)</f>
        <v>0</v>
      </c>
      <c r="X16" s="2">
        <f>SUM('Estres_mensual'!X170:X181)</f>
        <v>0</v>
      </c>
      <c r="Y16" s="2">
        <f>SUM('Estres_mensual'!Y170:Y181)</f>
        <v>0</v>
      </c>
      <c r="Z16" s="2">
        <v>3.37604433298111E-09</v>
      </c>
      <c r="AA16" s="2">
        <f>SUM('Estres_mensual'!AA170:AA181)</f>
        <v>0</v>
      </c>
      <c r="AB16" s="2">
        <f>SUM('Estres_mensual'!AB170:AB181)</f>
        <v>12313130.434016734</v>
      </c>
      <c r="AC16" s="2">
        <f>SUM('Estres_mensual'!AC170:AC181)</f>
        <v>12313130.434016734</v>
      </c>
      <c r="AD16" s="2">
        <f>SUM('Estres_mensual'!AD170:AD181)</f>
        <v>-672027.510244756</v>
      </c>
      <c r="AE16" s="2">
        <v>0</v>
      </c>
      <c r="AF16" s="2">
        <f>SUM('Estres_mensual'!AF170:AF181)</f>
        <v>37611418.81229496</v>
      </c>
      <c r="AG16" s="2">
        <f>SUM('Estres_mensual'!AG170:AG181)</f>
        <v>37611418.81229496</v>
      </c>
      <c r="AH16" s="2">
        <v>135208225.4945196</v>
      </c>
      <c r="AI16" s="2">
        <v>52307564.10845421</v>
      </c>
      <c r="AJ16" s="2">
        <v>82900661.38606538</v>
      </c>
      <c r="AK16" s="3">
        <v>0.25</v>
      </c>
      <c r="AL16" s="3">
        <v>0</v>
      </c>
      <c r="AM16" s="2">
        <v>-6389213.88890668</v>
      </c>
      <c r="AN16" s="2">
        <v>740</v>
      </c>
      <c r="AO16" s="2">
        <v>740</v>
      </c>
    </row>
  </sheetData>
  <autoFilter ref="A1:AO16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K18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37" width="20.7109375" customWidth="1"/>
  </cols>
  <sheetData>
    <row r="1" spans="1:37" ht="45" customHeight="1">
      <c r="A1" s="1" t="s">
        <v>122</v>
      </c>
      <c r="B1" s="1" t="s">
        <v>123</v>
      </c>
      <c r="C1" s="1" t="s">
        <v>124</v>
      </c>
      <c r="D1" s="1" t="s">
        <v>125</v>
      </c>
      <c r="E1" s="1" t="s">
        <v>126</v>
      </c>
      <c r="F1" s="1" t="s">
        <v>127</v>
      </c>
      <c r="G1" s="1" t="s">
        <v>128</v>
      </c>
      <c r="H1" s="1" t="s">
        <v>129</v>
      </c>
      <c r="I1" s="1" t="s">
        <v>130</v>
      </c>
      <c r="J1" s="1" t="s">
        <v>131</v>
      </c>
      <c r="K1" s="1" t="s">
        <v>132</v>
      </c>
      <c r="L1" s="1" t="s">
        <v>133</v>
      </c>
      <c r="M1" s="1" t="s">
        <v>134</v>
      </c>
      <c r="N1" s="1" t="s">
        <v>135</v>
      </c>
      <c r="O1" s="1" t="s">
        <v>136</v>
      </c>
      <c r="P1" s="1" t="s">
        <v>137</v>
      </c>
      <c r="Q1" s="1" t="s">
        <v>138</v>
      </c>
      <c r="R1" s="1" t="s">
        <v>139</v>
      </c>
      <c r="S1" s="1" t="s">
        <v>140</v>
      </c>
      <c r="T1" s="1" t="s">
        <v>141</v>
      </c>
      <c r="U1" s="1" t="s">
        <v>142</v>
      </c>
      <c r="V1" s="1" t="s">
        <v>143</v>
      </c>
      <c r="W1" s="1" t="s">
        <v>144</v>
      </c>
      <c r="X1" s="1" t="s">
        <v>145</v>
      </c>
      <c r="Y1" s="1" t="s">
        <v>146</v>
      </c>
      <c r="Z1" s="1" t="s">
        <v>147</v>
      </c>
      <c r="AA1" s="1" t="s">
        <v>148</v>
      </c>
      <c r="AB1" s="1" t="s">
        <v>149</v>
      </c>
      <c r="AC1" s="1" t="s">
        <v>150</v>
      </c>
      <c r="AD1" s="1" t="s">
        <v>151</v>
      </c>
      <c r="AE1" s="1" t="s">
        <v>152</v>
      </c>
      <c r="AF1" s="1" t="s">
        <v>153</v>
      </c>
      <c r="AG1" s="1" t="s">
        <v>154</v>
      </c>
      <c r="AH1" s="1" t="s">
        <v>155</v>
      </c>
      <c r="AI1" s="1" t="s">
        <v>156</v>
      </c>
      <c r="AJ1" s="1" t="s">
        <v>157</v>
      </c>
      <c r="AK1" s="1" t="s">
        <v>158</v>
      </c>
    </row>
    <row r="2" spans="1:37">
      <c r="A2" s="2">
        <v>1</v>
      </c>
      <c r="B2" s="2">
        <v>2027</v>
      </c>
      <c r="C2" s="2">
        <v>6</v>
      </c>
      <c r="D2" s="2">
        <v>349990</v>
      </c>
      <c r="E2" s="2">
        <v>2099940</v>
      </c>
      <c r="F2" s="2">
        <f>E2/1.19</f>
        <v>1764655.462184874</v>
      </c>
      <c r="G2" s="2">
        <v>10</v>
      </c>
      <c r="H2" s="2">
        <v>811838.6554621849</v>
      </c>
      <c r="I2" s="2">
        <v>24</v>
      </c>
      <c r="J2" s="2">
        <v>1948412.773109244</v>
      </c>
      <c r="K2" s="2">
        <v>487103.193277311</v>
      </c>
      <c r="L2" s="2">
        <v>179965.2554621849</v>
      </c>
      <c r="M2" s="2">
        <v>2058750</v>
      </c>
      <c r="N2" s="3">
        <v>0.5</v>
      </c>
      <c r="O2" s="3">
        <v>0</v>
      </c>
      <c r="P2" s="2">
        <v>130000</v>
      </c>
      <c r="Q2" s="2">
        <v>165000</v>
      </c>
      <c r="R2" s="2">
        <v>0</v>
      </c>
      <c r="S2" s="2">
        <v>280000</v>
      </c>
      <c r="T2" s="2">
        <v>750000</v>
      </c>
      <c r="U2" s="2">
        <f>M2+P2+Q2+R2+S2+T2</f>
        <v>3383750.0</v>
      </c>
      <c r="V2" s="2">
        <f>F2-K2-L2-U2</f>
        <v>-2286162.9865546217</v>
      </c>
      <c r="W2" s="2">
        <v>294152.5809720744</v>
      </c>
      <c r="X2" s="2">
        <v>139683.6580179526</v>
      </c>
      <c r="Y2" s="2">
        <f>W2+X2</f>
        <v>433836.23899002705</v>
      </c>
      <c r="Z2" s="2">
        <v>30860316.34198205</v>
      </c>
      <c r="AA2" s="2">
        <v>0</v>
      </c>
      <c r="AB2" s="2">
        <v>0</v>
      </c>
      <c r="AC2" s="2">
        <v>0</v>
      </c>
      <c r="AD2" s="2">
        <v>-152539.3445378151</v>
      </c>
      <c r="AE2" s="2">
        <v>152539.3445378151</v>
      </c>
      <c r="AF2" s="2">
        <f>F2-H2-L2-U2-AA2-AC2-AD2</f>
        <v>-2458359.1042016805</v>
      </c>
      <c r="AG2" s="2">
        <f>F2-H2-L2-U2-AA2-AB2-AD2-Y2</f>
        <v>-2892195.3431917075</v>
      </c>
      <c r="AH2" s="2">
        <f>27098244.0+AG2</f>
        <v>24206048.656808294</v>
      </c>
      <c r="AI2" s="2">
        <v>12680934.31697008</v>
      </c>
      <c r="AJ2" s="2">
        <f>AH2-AI2</f>
        <v>11525114.339838214</v>
      </c>
      <c r="AK2" s="3">
        <v>0.125</v>
      </c>
    </row>
    <row r="3" spans="1:37">
      <c r="A3" s="2">
        <v>2</v>
      </c>
      <c r="B3" s="2">
        <v>2027</v>
      </c>
      <c r="C3" s="2">
        <v>9</v>
      </c>
      <c r="D3" s="2">
        <v>349990</v>
      </c>
      <c r="E3" s="2">
        <v>3149910</v>
      </c>
      <c r="F3" s="2">
        <f>E3/1.19</f>
        <v>2646983.193277311</v>
      </c>
      <c r="G3" s="2">
        <v>20</v>
      </c>
      <c r="H3" s="2">
        <v>1623677.31092437</v>
      </c>
      <c r="I3" s="2">
        <v>35</v>
      </c>
      <c r="J3" s="2">
        <v>2841435.294117647</v>
      </c>
      <c r="K3" s="2">
        <v>730654.7899159663</v>
      </c>
      <c r="L3" s="2">
        <v>269947.8831932773</v>
      </c>
      <c r="M3" s="2">
        <v>2058750</v>
      </c>
      <c r="N3" s="3">
        <v>0.5</v>
      </c>
      <c r="O3" s="3">
        <v>0</v>
      </c>
      <c r="P3" s="2">
        <v>130000</v>
      </c>
      <c r="Q3" s="2">
        <v>165000</v>
      </c>
      <c r="R3" s="2">
        <v>0</v>
      </c>
      <c r="S3" s="2">
        <v>280000</v>
      </c>
      <c r="T3" s="2">
        <v>750000</v>
      </c>
      <c r="U3" s="2">
        <f>M3+P3+Q3+R3+S3+T3</f>
        <v>3383750.0</v>
      </c>
      <c r="V3" s="2">
        <f>F3-K3-L3-U3</f>
        <v>-1737369.4798319326</v>
      </c>
      <c r="W3" s="2">
        <v>292827.151664797</v>
      </c>
      <c r="X3" s="2">
        <v>141009.0873252301</v>
      </c>
      <c r="Y3" s="2">
        <f>W3+X3</f>
        <v>433836.23899002705</v>
      </c>
      <c r="Z3" s="2">
        <v>30719307.25465682</v>
      </c>
      <c r="AA3" s="2">
        <v>0</v>
      </c>
      <c r="AB3" s="2">
        <v>0</v>
      </c>
      <c r="AC3" s="2">
        <v>0</v>
      </c>
      <c r="AD3" s="2">
        <v>152539.3445378151</v>
      </c>
      <c r="AE3" s="2">
        <v>305078.6890756303</v>
      </c>
      <c r="AF3" s="2">
        <f>F3-H3-L3-U3-AA3-AC3-AD3</f>
        <v>-2782931.345378151</v>
      </c>
      <c r="AG3" s="2">
        <f>F3-H3-L3-U3-AA3-AB3-AD3-Y3</f>
        <v>-3216767.584368178</v>
      </c>
      <c r="AH3" s="2">
        <f>AH2+AG3</f>
        <v>20989281.072440118</v>
      </c>
      <c r="AI3" s="2">
        <v>12680934.31697008</v>
      </c>
      <c r="AJ3" s="2">
        <f>AH3-AI3</f>
        <v>8308346.755470037</v>
      </c>
      <c r="AK3" s="3">
        <v>0.125</v>
      </c>
    </row>
    <row r="4" spans="1:37">
      <c r="A4" s="2">
        <v>3</v>
      </c>
      <c r="B4" s="2">
        <v>2027</v>
      </c>
      <c r="C4" s="2">
        <v>12</v>
      </c>
      <c r="D4" s="2">
        <v>349990</v>
      </c>
      <c r="E4" s="2">
        <v>4199880</v>
      </c>
      <c r="F4" s="2">
        <f>E4/1.19</f>
        <v>3529310.924369748</v>
      </c>
      <c r="G4" s="2">
        <v>10</v>
      </c>
      <c r="H4" s="2">
        <v>811838.6554621849</v>
      </c>
      <c r="I4" s="2">
        <v>33</v>
      </c>
      <c r="J4" s="2">
        <v>2679067.56302521</v>
      </c>
      <c r="K4" s="2">
        <v>974206.386554622</v>
      </c>
      <c r="L4" s="2">
        <v>359930.5109243698</v>
      </c>
      <c r="M4" s="2">
        <v>2058750</v>
      </c>
      <c r="N4" s="3">
        <v>0.5</v>
      </c>
      <c r="O4" s="3">
        <v>0</v>
      </c>
      <c r="P4" s="2">
        <v>130000</v>
      </c>
      <c r="Q4" s="2">
        <v>165000</v>
      </c>
      <c r="R4" s="2">
        <v>0</v>
      </c>
      <c r="S4" s="2">
        <v>280000</v>
      </c>
      <c r="T4" s="2">
        <v>750000</v>
      </c>
      <c r="U4" s="2">
        <f>M4+P4+Q4+R4+S4+T4</f>
        <v>3383750.0</v>
      </c>
      <c r="V4" s="2">
        <f>F4-K4-L4-U4</f>
        <v>-1188575.9731092434</v>
      </c>
      <c r="W4" s="2">
        <v>291489.1456332733</v>
      </c>
      <c r="X4" s="2">
        <v>142347.0933567538</v>
      </c>
      <c r="Y4" s="2">
        <f>W4+X4</f>
        <v>433836.23899002705</v>
      </c>
      <c r="Z4" s="2">
        <v>30576960.16130006</v>
      </c>
      <c r="AA4" s="2">
        <v>0</v>
      </c>
      <c r="AB4" s="2">
        <v>0</v>
      </c>
      <c r="AC4" s="2">
        <v>0</v>
      </c>
      <c r="AD4" s="2">
        <v>-152539.3445378151</v>
      </c>
      <c r="AE4" s="2">
        <v>152539.3445378151</v>
      </c>
      <c r="AF4" s="2">
        <f>F4-H4-L4-U4-AA4-AC4-AD4</f>
        <v>-873668.8974789912</v>
      </c>
      <c r="AG4" s="2">
        <f>F4-H4-L4-U4-AA4-AB4-AD4-Y4</f>
        <v>-1307505.1364690182</v>
      </c>
      <c r="AH4" s="2">
        <f>AH3+AG4</f>
        <v>19681775.9359711</v>
      </c>
      <c r="AI4" s="2">
        <v>12680934.31697008</v>
      </c>
      <c r="AJ4" s="2">
        <f>AH4-AI4</f>
        <v>7000841.61900102</v>
      </c>
      <c r="AK4" s="3">
        <v>0.125</v>
      </c>
    </row>
    <row r="5" spans="1:37">
      <c r="A5" s="2">
        <v>4</v>
      </c>
      <c r="B5" s="2">
        <v>2027</v>
      </c>
      <c r="C5" s="2">
        <v>15</v>
      </c>
      <c r="D5" s="2">
        <v>349990</v>
      </c>
      <c r="E5" s="2">
        <v>5249850</v>
      </c>
      <c r="F5" s="2">
        <f>E5/1.19</f>
        <v>4411638.655462185</v>
      </c>
      <c r="G5" s="2">
        <v>30</v>
      </c>
      <c r="H5" s="2">
        <v>2435515.966386555</v>
      </c>
      <c r="I5" s="2">
        <v>48</v>
      </c>
      <c r="J5" s="2">
        <v>3896825.546218487</v>
      </c>
      <c r="K5" s="2">
        <v>1217757.983193277</v>
      </c>
      <c r="L5" s="2">
        <v>449913.1386554622</v>
      </c>
      <c r="M5" s="2">
        <v>2058750</v>
      </c>
      <c r="N5" s="3">
        <v>0.5</v>
      </c>
      <c r="O5" s="3">
        <v>0</v>
      </c>
      <c r="P5" s="2">
        <v>130000</v>
      </c>
      <c r="Q5" s="2">
        <v>165000</v>
      </c>
      <c r="R5" s="2">
        <v>0</v>
      </c>
      <c r="S5" s="2">
        <v>280000</v>
      </c>
      <c r="T5" s="2">
        <v>750000</v>
      </c>
      <c r="U5" s="2">
        <f>M5+P5+Q5+R5+S5+T5</f>
        <v>3383750.0</v>
      </c>
      <c r="V5" s="2">
        <f>F5-K5-L5-U5</f>
        <v>-639782.4663865548</v>
      </c>
      <c r="W5" s="2">
        <v>290138.4435395713</v>
      </c>
      <c r="X5" s="2">
        <v>143697.7954504557</v>
      </c>
      <c r="Y5" s="2">
        <f>W5+X5</f>
        <v>433836.23899002705</v>
      </c>
      <c r="Z5" s="2">
        <v>30433262.36584961</v>
      </c>
      <c r="AA5" s="2">
        <v>0</v>
      </c>
      <c r="AB5" s="2">
        <v>0</v>
      </c>
      <c r="AC5" s="2">
        <v>0</v>
      </c>
      <c r="AD5" s="2">
        <v>305078.6890756303</v>
      </c>
      <c r="AE5" s="2">
        <v>457618.0336134454</v>
      </c>
      <c r="AF5" s="2">
        <f>F5-H5-L5-U5-AA5-AC5-AD5</f>
        <v>-2162619.1386554623</v>
      </c>
      <c r="AG5" s="2">
        <f>F5-H5-L5-U5-AA5-AB5-AD5-Y5</f>
        <v>-2596455.3776454893</v>
      </c>
      <c r="AH5" s="2">
        <f>AH4+AG5</f>
        <v>17085320.55832561</v>
      </c>
      <c r="AI5" s="2">
        <v>12680934.31697008</v>
      </c>
      <c r="AJ5" s="2">
        <f>AH5-AI5</f>
        <v>4404386.241355531</v>
      </c>
      <c r="AK5" s="3">
        <v>0.125</v>
      </c>
    </row>
    <row r="6" spans="1:37">
      <c r="A6" s="2">
        <v>5</v>
      </c>
      <c r="B6" s="2">
        <v>2027</v>
      </c>
      <c r="C6" s="2">
        <v>18</v>
      </c>
      <c r="D6" s="2">
        <v>349990</v>
      </c>
      <c r="E6" s="2">
        <v>6299820</v>
      </c>
      <c r="F6" s="2">
        <f>E6/1.19</f>
        <v>5293966.386554622</v>
      </c>
      <c r="G6" s="2">
        <v>20</v>
      </c>
      <c r="H6" s="2">
        <v>1623677.31092437</v>
      </c>
      <c r="I6" s="2">
        <v>50</v>
      </c>
      <c r="J6" s="2">
        <v>4059193.277310925</v>
      </c>
      <c r="K6" s="2">
        <v>1461309.579831933</v>
      </c>
      <c r="L6" s="2">
        <v>539895.7663865546</v>
      </c>
      <c r="M6" s="2">
        <v>2058750</v>
      </c>
      <c r="N6" s="3">
        <v>0.5</v>
      </c>
      <c r="O6" s="3">
        <v>0</v>
      </c>
      <c r="P6" s="2">
        <v>130000</v>
      </c>
      <c r="Q6" s="2">
        <v>165000</v>
      </c>
      <c r="R6" s="2">
        <v>0</v>
      </c>
      <c r="S6" s="2">
        <v>280000</v>
      </c>
      <c r="T6" s="2">
        <v>750000</v>
      </c>
      <c r="U6" s="2">
        <f>M6+P6+Q6+R6+S6+T6</f>
        <v>3383750.0</v>
      </c>
      <c r="V6" s="2">
        <f>F6-K6-L6-U6</f>
        <v>-90988.95966386516</v>
      </c>
      <c r="W6" s="2">
        <v>288774.9249133859</v>
      </c>
      <c r="X6" s="2">
        <v>145061.3140766412</v>
      </c>
      <c r="Y6" s="2">
        <f>W6+X6</f>
        <v>433836.23899002705</v>
      </c>
      <c r="Z6" s="2">
        <v>30288201.05177297</v>
      </c>
      <c r="AA6" s="2">
        <v>0</v>
      </c>
      <c r="AB6" s="2">
        <v>0</v>
      </c>
      <c r="AC6" s="2">
        <v>0</v>
      </c>
      <c r="AD6" s="2">
        <v>-152539.3445378151</v>
      </c>
      <c r="AE6" s="2">
        <v>305078.6890756303</v>
      </c>
      <c r="AF6" s="2">
        <f>F6-H6-L6-U6-AA6-AC6-AD6</f>
        <v>-100817.34621848719</v>
      </c>
      <c r="AG6" s="2">
        <f>F6-H6-L6-U6-AA6-AB6-AD6-Y6</f>
        <v>-534653.5852085142</v>
      </c>
      <c r="AH6" s="2">
        <f>AH5+AG6</f>
        <v>16550666.973117096</v>
      </c>
      <c r="AI6" s="2">
        <v>12680934.31697008</v>
      </c>
      <c r="AJ6" s="2">
        <f>AH6-AI6</f>
        <v>3869732.656147016</v>
      </c>
      <c r="AK6" s="3">
        <v>0.125</v>
      </c>
    </row>
    <row r="7" spans="1:37">
      <c r="A7" s="2">
        <v>6</v>
      </c>
      <c r="B7" s="2">
        <v>2027</v>
      </c>
      <c r="C7" s="2">
        <v>21</v>
      </c>
      <c r="D7" s="2">
        <v>349990</v>
      </c>
      <c r="E7" s="2">
        <v>7349790</v>
      </c>
      <c r="F7" s="2">
        <f>E7/1.19</f>
        <v>6176294.117647059</v>
      </c>
      <c r="G7" s="2">
        <v>30</v>
      </c>
      <c r="H7" s="2">
        <v>2435515.966386555</v>
      </c>
      <c r="I7" s="2">
        <v>59</v>
      </c>
      <c r="J7" s="2">
        <v>4789848.06722689</v>
      </c>
      <c r="K7" s="2">
        <v>1704861.176470588</v>
      </c>
      <c r="L7" s="2">
        <v>629878.3941176471</v>
      </c>
      <c r="M7" s="2">
        <v>2058750</v>
      </c>
      <c r="N7" s="3">
        <v>0.5</v>
      </c>
      <c r="O7" s="3">
        <v>0</v>
      </c>
      <c r="P7" s="2">
        <v>130000</v>
      </c>
      <c r="Q7" s="2">
        <v>165000</v>
      </c>
      <c r="R7" s="2">
        <v>0</v>
      </c>
      <c r="S7" s="2">
        <v>280000</v>
      </c>
      <c r="T7" s="2">
        <v>750000</v>
      </c>
      <c r="U7" s="2">
        <f>M7+P7+Q7+R7+S7+T7</f>
        <v>3383750.0</v>
      </c>
      <c r="V7" s="2">
        <f>F7-K7-L7-U7</f>
        <v>457804.5470588235</v>
      </c>
      <c r="W7" s="2">
        <v>287398.4681412941</v>
      </c>
      <c r="X7" s="2">
        <v>146437.770848733</v>
      </c>
      <c r="Y7" s="2">
        <f>W7+X7</f>
        <v>433836.23899002705</v>
      </c>
      <c r="Z7" s="2">
        <v>30141763.28092423</v>
      </c>
      <c r="AA7" s="2">
        <v>0</v>
      </c>
      <c r="AB7" s="2">
        <v>0</v>
      </c>
      <c r="AC7" s="2">
        <v>0</v>
      </c>
      <c r="AD7" s="2">
        <v>152539.3445378151</v>
      </c>
      <c r="AE7" s="2">
        <v>457618.0336134454</v>
      </c>
      <c r="AF7" s="2">
        <f>F7-H7-L7-U7-AA7-AC7-AD7</f>
        <v>-425389.5873949575</v>
      </c>
      <c r="AG7" s="2">
        <f>F7-H7-L7-U7-AA7-AB7-AD7-Y7</f>
        <v>-859225.8263849845</v>
      </c>
      <c r="AH7" s="2">
        <f>AH6+AG7</f>
        <v>15691441.146732112</v>
      </c>
      <c r="AI7" s="2">
        <v>12680934.31697008</v>
      </c>
      <c r="AJ7" s="2">
        <f>AH7-AI7</f>
        <v>3010506.8297620323</v>
      </c>
      <c r="AK7" s="3">
        <v>0.125</v>
      </c>
    </row>
    <row r="8" spans="1:37">
      <c r="A8" s="2">
        <v>7</v>
      </c>
      <c r="B8" s="2">
        <v>2027</v>
      </c>
      <c r="C8" s="2">
        <v>24</v>
      </c>
      <c r="D8" s="2">
        <v>349990</v>
      </c>
      <c r="E8" s="2">
        <v>8399760</v>
      </c>
      <c r="F8" s="2">
        <f>E8/1.19</f>
        <v>7058621.848739496</v>
      </c>
      <c r="G8" s="2">
        <v>30</v>
      </c>
      <c r="H8" s="2">
        <v>2435515.966386555</v>
      </c>
      <c r="I8" s="2">
        <v>65</v>
      </c>
      <c r="J8" s="2">
        <v>5276951.260504201</v>
      </c>
      <c r="K8" s="2">
        <v>1948412.773109244</v>
      </c>
      <c r="L8" s="2">
        <v>719861.0218487395</v>
      </c>
      <c r="M8" s="2">
        <v>2058750</v>
      </c>
      <c r="N8" s="3">
        <v>0.5</v>
      </c>
      <c r="O8" s="3">
        <v>0</v>
      </c>
      <c r="P8" s="2">
        <v>130000</v>
      </c>
      <c r="Q8" s="2">
        <v>165000</v>
      </c>
      <c r="R8" s="2">
        <v>0</v>
      </c>
      <c r="S8" s="2">
        <v>280000</v>
      </c>
      <c r="T8" s="2">
        <v>750000</v>
      </c>
      <c r="U8" s="2">
        <f>M8+P8+Q8+R8+S8+T8</f>
        <v>3383750.0</v>
      </c>
      <c r="V8" s="2">
        <f>F8-K8-L8-U8</f>
        <v>1006598.053781514</v>
      </c>
      <c r="W8" s="2">
        <v>286008.9504559085</v>
      </c>
      <c r="X8" s="2">
        <v>147827.2885341185</v>
      </c>
      <c r="Y8" s="2">
        <f>W8+X8</f>
        <v>433836.23899002705</v>
      </c>
      <c r="Z8" s="2">
        <v>29993935.99239011</v>
      </c>
      <c r="AA8" s="2">
        <v>0</v>
      </c>
      <c r="AB8" s="2">
        <v>0</v>
      </c>
      <c r="AC8" s="2">
        <v>0</v>
      </c>
      <c r="AD8" s="2">
        <v>0</v>
      </c>
      <c r="AE8" s="2">
        <v>457618.0336134454</v>
      </c>
      <c r="AF8" s="2">
        <f>F8-H8-L8-U8-AA8-AC8-AD8</f>
        <v>519494.8605042021</v>
      </c>
      <c r="AG8" s="2">
        <f>F8-H8-L8-U8-AA8-AB8-AD8-Y8</f>
        <v>85658.62151417503</v>
      </c>
      <c r="AH8" s="2">
        <f>AH7+AG8</f>
        <v>15777099.768246287</v>
      </c>
      <c r="AI8" s="2">
        <v>12680934.31697008</v>
      </c>
      <c r="AJ8" s="2">
        <f>AH8-AI8</f>
        <v>3096165.4512762073</v>
      </c>
      <c r="AK8" s="3">
        <v>0.125</v>
      </c>
    </row>
    <row r="9" spans="1:37">
      <c r="A9" s="2">
        <v>8</v>
      </c>
      <c r="B9" s="2">
        <v>2027</v>
      </c>
      <c r="C9" s="2">
        <v>30</v>
      </c>
      <c r="D9" s="2">
        <v>349990</v>
      </c>
      <c r="E9" s="2">
        <v>10499700</v>
      </c>
      <c r="F9" s="2">
        <f>E9/1.19</f>
        <v>8823277.31092437</v>
      </c>
      <c r="G9" s="2">
        <v>40</v>
      </c>
      <c r="H9" s="2">
        <v>3247354.62184874</v>
      </c>
      <c r="I9" s="2">
        <v>75</v>
      </c>
      <c r="J9" s="2">
        <v>6088789.915966386</v>
      </c>
      <c r="K9" s="2">
        <v>2435515.966386554</v>
      </c>
      <c r="L9" s="2">
        <v>899826.2773109244</v>
      </c>
      <c r="M9" s="2">
        <v>2058750</v>
      </c>
      <c r="N9" s="3">
        <v>0.5</v>
      </c>
      <c r="O9" s="3">
        <v>0</v>
      </c>
      <c r="P9" s="2">
        <v>130000</v>
      </c>
      <c r="Q9" s="2">
        <v>165000</v>
      </c>
      <c r="R9" s="2">
        <v>0</v>
      </c>
      <c r="S9" s="2">
        <v>280000</v>
      </c>
      <c r="T9" s="2">
        <v>750000</v>
      </c>
      <c r="U9" s="2">
        <f>M9+P9+Q9+R9+S9+T9</f>
        <v>3383750.0</v>
      </c>
      <c r="V9" s="2">
        <f>F9-K9-L9-U9</f>
        <v>2104185.0672268905</v>
      </c>
      <c r="W9" s="2">
        <v>284606.2479249274</v>
      </c>
      <c r="X9" s="2">
        <v>149229.9910650996</v>
      </c>
      <c r="Y9" s="2">
        <f>W9+X9</f>
        <v>433836.23899002705</v>
      </c>
      <c r="Z9" s="2">
        <v>29844706.00132501</v>
      </c>
      <c r="AA9" s="2">
        <v>0</v>
      </c>
      <c r="AB9" s="2">
        <v>0</v>
      </c>
      <c r="AC9" s="2">
        <v>0</v>
      </c>
      <c r="AD9" s="2">
        <v>152539.3445378151</v>
      </c>
      <c r="AE9" s="2">
        <v>610157.3781512605</v>
      </c>
      <c r="AF9" s="2">
        <f>F9-H9-L9-U9-AA9-AC9-AD9</f>
        <v>1139807.0672268905</v>
      </c>
      <c r="AG9" s="2">
        <f>F9-H9-L9-U9-AA9-AB9-AD9-Y9</f>
        <v>705970.8282368635</v>
      </c>
      <c r="AH9" s="2">
        <f>AH8+AG9</f>
        <v>16483070.59648315</v>
      </c>
      <c r="AI9" s="2">
        <v>12680934.31697008</v>
      </c>
      <c r="AJ9" s="2">
        <f>AH9-AI9</f>
        <v>3802136.2795130704</v>
      </c>
      <c r="AK9" s="3">
        <v>0.125</v>
      </c>
    </row>
    <row r="10" spans="1:37">
      <c r="A10" s="2">
        <v>9</v>
      </c>
      <c r="B10" s="2">
        <v>2027</v>
      </c>
      <c r="C10" s="2">
        <v>33</v>
      </c>
      <c r="D10" s="2">
        <v>349990</v>
      </c>
      <c r="E10" s="2">
        <v>11549670</v>
      </c>
      <c r="F10" s="2">
        <f>E10/1.19</f>
        <v>9705605.042016808</v>
      </c>
      <c r="G10" s="2">
        <v>40</v>
      </c>
      <c r="H10" s="2">
        <v>3247354.62184874</v>
      </c>
      <c r="I10" s="2">
        <v>82</v>
      </c>
      <c r="J10" s="2">
        <v>6657076.974789916</v>
      </c>
      <c r="K10" s="2">
        <v>2679067.56302521</v>
      </c>
      <c r="L10" s="2">
        <v>989808.9050420169</v>
      </c>
      <c r="M10" s="2">
        <v>2058750</v>
      </c>
      <c r="N10" s="3">
        <v>0.5</v>
      </c>
      <c r="O10" s="3">
        <v>0</v>
      </c>
      <c r="P10" s="2">
        <v>130000</v>
      </c>
      <c r="Q10" s="2">
        <v>165000</v>
      </c>
      <c r="R10" s="2">
        <v>0</v>
      </c>
      <c r="S10" s="2">
        <v>280000</v>
      </c>
      <c r="T10" s="2">
        <v>750000</v>
      </c>
      <c r="U10" s="2">
        <f>M10+P10+Q10+R10+S10+T10</f>
        <v>3383750.0</v>
      </c>
      <c r="V10" s="2">
        <f>F10-K10-L10-U10</f>
        <v>2652978.573949581</v>
      </c>
      <c r="W10" s="2">
        <v>283190.235440081</v>
      </c>
      <c r="X10" s="2">
        <v>150646.003549946</v>
      </c>
      <c r="Y10" s="2">
        <f>W10+X10</f>
        <v>433836.23899002705</v>
      </c>
      <c r="Z10" s="2">
        <v>29694059.99777507</v>
      </c>
      <c r="AA10" s="2">
        <v>0</v>
      </c>
      <c r="AB10" s="2">
        <v>0</v>
      </c>
      <c r="AC10" s="2">
        <v>0</v>
      </c>
      <c r="AD10" s="2">
        <v>0</v>
      </c>
      <c r="AE10" s="2">
        <v>610157.3781512605</v>
      </c>
      <c r="AF10" s="2">
        <f>F10-H10-L10-U10-AA10-AC10-AD10</f>
        <v>2084691.5151260514</v>
      </c>
      <c r="AG10" s="2">
        <f>F10-H10-L10-U10-AA10-AB10-AD10-Y10</f>
        <v>1650855.2761360244</v>
      </c>
      <c r="AH10" s="2">
        <f>AH9+AG10</f>
        <v>18133925.872619174</v>
      </c>
      <c r="AI10" s="2">
        <v>12680934.31697008</v>
      </c>
      <c r="AJ10" s="2">
        <f>AH10-AI10</f>
        <v>5452991.555649094</v>
      </c>
      <c r="AK10" s="3">
        <v>0.125</v>
      </c>
    </row>
    <row r="11" spans="1:37">
      <c r="A11" s="2">
        <v>10</v>
      </c>
      <c r="B11" s="2">
        <v>2027</v>
      </c>
      <c r="C11" s="2">
        <v>39</v>
      </c>
      <c r="D11" s="2">
        <v>349990</v>
      </c>
      <c r="E11" s="2">
        <v>13649610</v>
      </c>
      <c r="F11" s="2">
        <f>E11/1.19</f>
        <v>11470260.50420168</v>
      </c>
      <c r="G11" s="2">
        <v>50</v>
      </c>
      <c r="H11" s="2">
        <v>4059193.277310925</v>
      </c>
      <c r="I11" s="2">
        <v>93</v>
      </c>
      <c r="J11" s="2">
        <v>7550099.49579832</v>
      </c>
      <c r="K11" s="2">
        <v>3166170.756302521</v>
      </c>
      <c r="L11" s="2">
        <v>1169774.160504202</v>
      </c>
      <c r="M11" s="2">
        <v>2058750</v>
      </c>
      <c r="N11" s="3">
        <v>0.5</v>
      </c>
      <c r="O11" s="3">
        <v>0</v>
      </c>
      <c r="P11" s="2">
        <v>130000</v>
      </c>
      <c r="Q11" s="2">
        <v>165000</v>
      </c>
      <c r="R11" s="2">
        <v>0</v>
      </c>
      <c r="S11" s="2">
        <v>280000</v>
      </c>
      <c r="T11" s="2">
        <v>750000</v>
      </c>
      <c r="U11" s="2">
        <f>M11+P11+Q11+R11+S11+T11</f>
        <v>3383750.0</v>
      </c>
      <c r="V11" s="2">
        <f>F11-K11-L11-U11</f>
        <v>3750565.5873949584</v>
      </c>
      <c r="W11" s="2">
        <v>281760.7867059732</v>
      </c>
      <c r="X11" s="2">
        <v>152075.4522840539</v>
      </c>
      <c r="Y11" s="2">
        <f>W11+X11</f>
        <v>433836.23899002705</v>
      </c>
      <c r="Z11" s="2">
        <v>29541984.54549102</v>
      </c>
      <c r="AA11" s="2">
        <v>0</v>
      </c>
      <c r="AB11" s="2">
        <v>0</v>
      </c>
      <c r="AC11" s="2">
        <v>0</v>
      </c>
      <c r="AD11" s="2">
        <v>152539.3445378152</v>
      </c>
      <c r="AE11" s="2">
        <v>762696.7226890757</v>
      </c>
      <c r="AF11" s="2">
        <f>F11-H11-L11-U11-AA11-AC11-AD11</f>
        <v>2705003.7218487393</v>
      </c>
      <c r="AG11" s="2">
        <f>F11-H11-L11-U11-AA11-AB11-AD11-Y11</f>
        <v>2271167.4828587123</v>
      </c>
      <c r="AH11" s="2">
        <f>AH10+AG11</f>
        <v>20405093.355477888</v>
      </c>
      <c r="AI11" s="2">
        <v>12680934.31697008</v>
      </c>
      <c r="AJ11" s="2">
        <f>AH11-AI11</f>
        <v>7724159.038507808</v>
      </c>
      <c r="AK11" s="3">
        <v>0.125</v>
      </c>
    </row>
    <row r="12" spans="1:37">
      <c r="A12" s="2">
        <v>11</v>
      </c>
      <c r="B12" s="2">
        <v>2027</v>
      </c>
      <c r="C12" s="2">
        <v>42</v>
      </c>
      <c r="D12" s="2">
        <v>349990</v>
      </c>
      <c r="E12" s="2">
        <v>14699580</v>
      </c>
      <c r="F12" s="2">
        <f>E12/1.19</f>
        <v>12352588.235294119</v>
      </c>
      <c r="G12" s="2">
        <v>20</v>
      </c>
      <c r="H12" s="2">
        <v>1623677.31092437</v>
      </c>
      <c r="I12" s="2">
        <v>71</v>
      </c>
      <c r="J12" s="2">
        <v>5764054.453781513</v>
      </c>
      <c r="K12" s="2">
        <v>3409722.352941176</v>
      </c>
      <c r="L12" s="2">
        <v>1259756.788235294</v>
      </c>
      <c r="M12" s="2">
        <v>2058750</v>
      </c>
      <c r="N12" s="3">
        <v>0.5</v>
      </c>
      <c r="O12" s="3">
        <v>0</v>
      </c>
      <c r="P12" s="2">
        <v>130000</v>
      </c>
      <c r="Q12" s="2">
        <v>165000</v>
      </c>
      <c r="R12" s="2">
        <v>0</v>
      </c>
      <c r="S12" s="2">
        <v>280000</v>
      </c>
      <c r="T12" s="2">
        <v>750000</v>
      </c>
      <c r="U12" s="2">
        <f>M12+P12+Q12+R12+S12+T12</f>
        <v>3383750.0</v>
      </c>
      <c r="V12" s="2">
        <f>F12-K12-L12-U12</f>
        <v>4299359.094117649</v>
      </c>
      <c r="W12" s="2">
        <v>280317.7742288167</v>
      </c>
      <c r="X12" s="2">
        <v>153518.4647612104</v>
      </c>
      <c r="Y12" s="2">
        <f>W12+X12</f>
        <v>433836.23899002705</v>
      </c>
      <c r="Z12" s="2">
        <v>29388466.08072981</v>
      </c>
      <c r="AA12" s="2">
        <v>0</v>
      </c>
      <c r="AB12" s="2">
        <v>0</v>
      </c>
      <c r="AC12" s="2">
        <v>0</v>
      </c>
      <c r="AD12" s="2">
        <v>-457618.0336134455</v>
      </c>
      <c r="AE12" s="2">
        <v>305078.6890756303</v>
      </c>
      <c r="AF12" s="2">
        <f>F12-H12-L12-U12-AA12-AC12-AD12</f>
        <v>6543022.1697479</v>
      </c>
      <c r="AG12" s="2">
        <f>F12-H12-L12-U12-AA12-AB12-AD12-Y12</f>
        <v>6109185.930757873</v>
      </c>
      <c r="AH12" s="2">
        <f>AH11+AG12</f>
        <v>26514279.28623576</v>
      </c>
      <c r="AI12" s="2">
        <v>12680934.31697008</v>
      </c>
      <c r="AJ12" s="2">
        <f>AH12-AI12</f>
        <v>13833344.96926568</v>
      </c>
      <c r="AK12" s="3">
        <v>0.125</v>
      </c>
    </row>
    <row r="13" spans="1:37">
      <c r="A13" s="2">
        <v>12</v>
      </c>
      <c r="B13" s="2">
        <v>2027</v>
      </c>
      <c r="C13" s="2">
        <v>51</v>
      </c>
      <c r="D13" s="2">
        <v>349990</v>
      </c>
      <c r="E13" s="2">
        <v>17849490</v>
      </c>
      <c r="F13" s="2">
        <f>E13/1.19</f>
        <v>14999571.42857143</v>
      </c>
      <c r="G13" s="2">
        <v>10</v>
      </c>
      <c r="H13" s="2">
        <v>811838.6554621849</v>
      </c>
      <c r="I13" s="2">
        <v>30</v>
      </c>
      <c r="J13" s="2">
        <v>2435515.966386555</v>
      </c>
      <c r="K13" s="2">
        <v>4140377.142857143</v>
      </c>
      <c r="L13" s="2">
        <v>1529704.671428571</v>
      </c>
      <c r="M13" s="2">
        <v>2058750</v>
      </c>
      <c r="N13" s="3">
        <v>0.5</v>
      </c>
      <c r="O13" s="3">
        <v>0</v>
      </c>
      <c r="P13" s="2">
        <v>130000</v>
      </c>
      <c r="Q13" s="2">
        <v>165000</v>
      </c>
      <c r="R13" s="2">
        <v>0</v>
      </c>
      <c r="S13" s="2">
        <v>280000</v>
      </c>
      <c r="T13" s="2">
        <v>750000</v>
      </c>
      <c r="U13" s="2">
        <f>M13+P13+Q13+R13+S13+T13</f>
        <v>3383750.0</v>
      </c>
      <c r="V13" s="2">
        <f>F13-K13-L13-U13</f>
        <v>5945739.614285715</v>
      </c>
      <c r="W13" s="2">
        <v>278861.0693050625</v>
      </c>
      <c r="X13" s="2">
        <v>154975.1696849645</v>
      </c>
      <c r="Y13" s="2">
        <f>W13+X13</f>
        <v>433836.23899002705</v>
      </c>
      <c r="Z13" s="2">
        <v>29233490.91104484</v>
      </c>
      <c r="AA13" s="2">
        <v>0</v>
      </c>
      <c r="AB13" s="2">
        <v>0</v>
      </c>
      <c r="AC13" s="2">
        <v>185729.3382352944</v>
      </c>
      <c r="AD13" s="2">
        <v>-152539.3445378151</v>
      </c>
      <c r="AE13" s="2">
        <v>152539.3445378151</v>
      </c>
      <c r="AF13" s="2">
        <f>F13-H13-L13-U13-AA13-AC13-AD13</f>
        <v>9241088.107983194</v>
      </c>
      <c r="AG13" s="2">
        <f>F13-H13-L13-U13-AA13-AB13-AD13-Y13</f>
        <v>8992981.207228461</v>
      </c>
      <c r="AH13" s="2">
        <f>AH12+AG13</f>
        <v>35507260.493464224</v>
      </c>
      <c r="AI13" s="2">
        <v>12680934.31697008</v>
      </c>
      <c r="AJ13" s="2">
        <f>AH13-AI13</f>
        <v>22826326.176494144</v>
      </c>
      <c r="AK13" s="3">
        <v>0.125</v>
      </c>
    </row>
    <row r="14" spans="1:37">
      <c r="A14" s="2">
        <v>13</v>
      </c>
      <c r="B14" s="2">
        <v>2028</v>
      </c>
      <c r="C14" s="2">
        <v>11</v>
      </c>
      <c r="D14" s="2">
        <v>360489.7</v>
      </c>
      <c r="E14" s="2">
        <v>3965386.7</v>
      </c>
      <c r="F14" s="2">
        <f>E14/1.19</f>
        <v>3332257.731092437</v>
      </c>
      <c r="G14" s="2">
        <v>20</v>
      </c>
      <c r="H14" s="2">
        <v>1672387.630252101</v>
      </c>
      <c r="I14" s="2">
        <v>39</v>
      </c>
      <c r="J14" s="2">
        <v>3204164.805378152</v>
      </c>
      <c r="K14" s="2">
        <v>903738.7912605043</v>
      </c>
      <c r="L14" s="2">
        <v>338548.4383008404</v>
      </c>
      <c r="M14" s="2">
        <v>2920050</v>
      </c>
      <c r="N14" s="3">
        <v>0.5</v>
      </c>
      <c r="O14" s="3">
        <v>0.5</v>
      </c>
      <c r="P14" s="2">
        <v>144200</v>
      </c>
      <c r="Q14" s="2">
        <v>212437.5</v>
      </c>
      <c r="R14" s="2">
        <v>0</v>
      </c>
      <c r="S14" s="2">
        <v>288400</v>
      </c>
      <c r="T14" s="2">
        <v>1351875</v>
      </c>
      <c r="U14" s="2">
        <f>M14+P14+Q14+R14+S14+T14</f>
        <v>4916962.5</v>
      </c>
      <c r="V14" s="2">
        <f>F14-K14-L14-U14</f>
        <v>-2826991.9984689075</v>
      </c>
      <c r="W14" s="2">
        <v>277390.54200992</v>
      </c>
      <c r="X14" s="2">
        <v>156445.6969801071</v>
      </c>
      <c r="Y14" s="2">
        <f>W14+X14</f>
        <v>433836.23899002705</v>
      </c>
      <c r="Z14" s="2">
        <v>29077045.21406474</v>
      </c>
      <c r="AA14" s="2">
        <v>0</v>
      </c>
      <c r="AB14" s="2">
        <v>0</v>
      </c>
      <c r="AC14" s="2">
        <v>0</v>
      </c>
      <c r="AD14" s="2">
        <v>161691.705210084</v>
      </c>
      <c r="AE14" s="2">
        <v>314231.0497478992</v>
      </c>
      <c r="AF14" s="2">
        <f>F14-H14-L14-U14-AA14-AC14-AD14</f>
        <v>-3757332.542670588</v>
      </c>
      <c r="AG14" s="2">
        <f>F14-H14-L14-U14-AA14-AB14-AD14-Y14</f>
        <v>-4191168.781660615</v>
      </c>
      <c r="AH14" s="2">
        <f>AH13+AG14</f>
        <v>31316091.711803608</v>
      </c>
      <c r="AI14" s="2">
        <v>17280571.81697008</v>
      </c>
      <c r="AJ14" s="2">
        <f>AH14-AI14</f>
        <v>14035519.894833524</v>
      </c>
      <c r="AK14" s="3">
        <v>0.15</v>
      </c>
    </row>
    <row r="15" spans="1:37">
      <c r="A15" s="2">
        <v>14</v>
      </c>
      <c r="B15" s="2">
        <v>2028</v>
      </c>
      <c r="C15" s="2">
        <v>16</v>
      </c>
      <c r="D15" s="2">
        <v>360489.7</v>
      </c>
      <c r="E15" s="2">
        <v>5767835.2</v>
      </c>
      <c r="F15" s="2">
        <f>E15/1.19</f>
        <v>4846920.336134454</v>
      </c>
      <c r="G15" s="2">
        <v>30</v>
      </c>
      <c r="H15" s="2">
        <v>2508581.445378151</v>
      </c>
      <c r="I15" s="2">
        <v>53</v>
      </c>
      <c r="J15" s="2">
        <v>4388051.467972233</v>
      </c>
      <c r="K15" s="2">
        <v>1324694.78278407</v>
      </c>
      <c r="L15" s="2">
        <v>493247.3426227256</v>
      </c>
      <c r="M15" s="2">
        <v>2920050</v>
      </c>
      <c r="N15" s="3">
        <v>0.5</v>
      </c>
      <c r="O15" s="3">
        <v>0.5</v>
      </c>
      <c r="P15" s="2">
        <v>144200</v>
      </c>
      <c r="Q15" s="2">
        <v>212437.5</v>
      </c>
      <c r="R15" s="2">
        <v>0</v>
      </c>
      <c r="S15" s="2">
        <v>288400</v>
      </c>
      <c r="T15" s="2">
        <v>1351875</v>
      </c>
      <c r="U15" s="2">
        <f>M15+P15+Q15+R15+S15+T15</f>
        <v>4916962.5</v>
      </c>
      <c r="V15" s="2">
        <f>F15-K15-L15-U15</f>
        <v>-1887984.2892723414</v>
      </c>
      <c r="W15" s="2">
        <v>275906.0611857692</v>
      </c>
      <c r="X15" s="2">
        <v>157930.1778042578</v>
      </c>
      <c r="Y15" s="2">
        <f>W15+X15</f>
        <v>433836.23899002705</v>
      </c>
      <c r="Z15" s="2">
        <v>28919115.03626048</v>
      </c>
      <c r="AA15" s="2">
        <v>0</v>
      </c>
      <c r="AB15" s="2">
        <v>0</v>
      </c>
      <c r="AC15" s="2">
        <v>0</v>
      </c>
      <c r="AD15" s="2">
        <v>157115.5248739496</v>
      </c>
      <c r="AE15" s="2">
        <v>471346.5746218488</v>
      </c>
      <c r="AF15" s="2">
        <f>F15-H15-L15-U15-AA15-AC15-AD15</f>
        <v>-3228986.4767403724</v>
      </c>
      <c r="AG15" s="2">
        <f>F15-H15-L15-U15-AA15-AB15-AD15-Y15</f>
        <v>-3662822.7157303994</v>
      </c>
      <c r="AH15" s="2">
        <f>AH14+AG15</f>
        <v>27653268.99607321</v>
      </c>
      <c r="AI15" s="2">
        <v>17280571.81697008</v>
      </c>
      <c r="AJ15" s="2">
        <f>AH15-AI15</f>
        <v>10372697.179103125</v>
      </c>
      <c r="AK15" s="3">
        <v>0.15</v>
      </c>
    </row>
    <row r="16" spans="1:37">
      <c r="A16" s="2">
        <v>15</v>
      </c>
      <c r="B16" s="2">
        <v>2028</v>
      </c>
      <c r="C16" s="2">
        <v>21</v>
      </c>
      <c r="D16" s="2">
        <v>360489.7</v>
      </c>
      <c r="E16" s="2">
        <v>7570283.7</v>
      </c>
      <c r="F16" s="2">
        <f>E16/1.19</f>
        <v>6361582.941176471</v>
      </c>
      <c r="G16" s="2">
        <v>30</v>
      </c>
      <c r="H16" s="2">
        <v>2508581.445378151</v>
      </c>
      <c r="I16" s="2">
        <v>62</v>
      </c>
      <c r="J16" s="2">
        <v>5151701.694309926</v>
      </c>
      <c r="K16" s="2">
        <v>1744931.219040459</v>
      </c>
      <c r="L16" s="2">
        <v>647888.6825232367</v>
      </c>
      <c r="M16" s="2">
        <v>2920050</v>
      </c>
      <c r="N16" s="3">
        <v>0.5</v>
      </c>
      <c r="O16" s="3">
        <v>0.5</v>
      </c>
      <c r="P16" s="2">
        <v>144200</v>
      </c>
      <c r="Q16" s="2">
        <v>212437.5</v>
      </c>
      <c r="R16" s="2">
        <v>0</v>
      </c>
      <c r="S16" s="2">
        <v>288400</v>
      </c>
      <c r="T16" s="2">
        <v>1351875</v>
      </c>
      <c r="U16" s="2">
        <f>M16+P16+Q16+R16+S16+T16</f>
        <v>4916962.5</v>
      </c>
      <c r="V16" s="2">
        <f>F16-K16-L16-U16</f>
        <v>-948199.4603872243</v>
      </c>
      <c r="W16" s="2">
        <v>274407.4944304628</v>
      </c>
      <c r="X16" s="2">
        <v>159428.7445595643</v>
      </c>
      <c r="Y16" s="2">
        <f>W16+X16</f>
        <v>433836.23899002705</v>
      </c>
      <c r="Z16" s="2">
        <v>28759686.29170091</v>
      </c>
      <c r="AA16" s="2">
        <v>0</v>
      </c>
      <c r="AB16" s="2">
        <v>0</v>
      </c>
      <c r="AC16" s="2">
        <v>0</v>
      </c>
      <c r="AD16" s="2">
        <v>0</v>
      </c>
      <c r="AE16" s="2">
        <v>471346.5746218488</v>
      </c>
      <c r="AF16" s="2">
        <f>F16-H16-L16-U16-AA16-AC16-AD16</f>
        <v>-1711849.6867249166</v>
      </c>
      <c r="AG16" s="2">
        <f>F16-H16-L16-U16-AA16-AB16-AD16-Y16</f>
        <v>-2145685.9257149436</v>
      </c>
      <c r="AH16" s="2">
        <f>AH15+AG16</f>
        <v>25507583.070358265</v>
      </c>
      <c r="AI16" s="2">
        <v>17280571.81697008</v>
      </c>
      <c r="AJ16" s="2">
        <f>AH16-AI16</f>
        <v>8227011.253388181</v>
      </c>
      <c r="AK16" s="3">
        <v>0.15</v>
      </c>
    </row>
    <row r="17" spans="1:37">
      <c r="A17" s="2">
        <v>16</v>
      </c>
      <c r="B17" s="2">
        <v>2028</v>
      </c>
      <c r="C17" s="2">
        <v>26</v>
      </c>
      <c r="D17" s="2">
        <v>360489.7</v>
      </c>
      <c r="E17" s="2">
        <v>9372732.200000001</v>
      </c>
      <c r="F17" s="2">
        <f>E17/1.19</f>
        <v>7876245.546218488</v>
      </c>
      <c r="G17" s="2">
        <v>40</v>
      </c>
      <c r="H17" s="2">
        <v>3344775.260504202</v>
      </c>
      <c r="I17" s="2">
        <v>76</v>
      </c>
      <c r="J17" s="2">
        <v>6330708.319273272</v>
      </c>
      <c r="K17" s="2">
        <v>2165768.635540856</v>
      </c>
      <c r="L17" s="2">
        <v>802578.1008432686</v>
      </c>
      <c r="M17" s="2">
        <v>2920050</v>
      </c>
      <c r="N17" s="3">
        <v>0.5</v>
      </c>
      <c r="O17" s="3">
        <v>0.5</v>
      </c>
      <c r="P17" s="2">
        <v>144200</v>
      </c>
      <c r="Q17" s="2">
        <v>212437.5</v>
      </c>
      <c r="R17" s="2">
        <v>0</v>
      </c>
      <c r="S17" s="2">
        <v>288400</v>
      </c>
      <c r="T17" s="2">
        <v>1351875</v>
      </c>
      <c r="U17" s="2">
        <f>M17+P17+Q17+R17+S17+T17</f>
        <v>4916962.5</v>
      </c>
      <c r="V17" s="2">
        <f>F17-K17-L17-U17</f>
        <v>-9063.69016563613</v>
      </c>
      <c r="W17" s="2">
        <v>272894.7080855165</v>
      </c>
      <c r="X17" s="2">
        <v>160941.5309045105</v>
      </c>
      <c r="Y17" s="2">
        <f>W17+X17</f>
        <v>433836.23899002705</v>
      </c>
      <c r="Z17" s="2">
        <v>28598744.76079641</v>
      </c>
      <c r="AA17" s="2">
        <v>0</v>
      </c>
      <c r="AB17" s="2">
        <v>0</v>
      </c>
      <c r="AC17" s="2">
        <v>0</v>
      </c>
      <c r="AD17" s="2">
        <v>157115.5248739496</v>
      </c>
      <c r="AE17" s="2">
        <v>628462.0994957983</v>
      </c>
      <c r="AF17" s="2">
        <f>F17-H17-L17-U17-AA17-AC17-AD17</f>
        <v>-1345185.8400029317</v>
      </c>
      <c r="AG17" s="2">
        <f>F17-H17-L17-U17-AA17-AB17-AD17-Y17</f>
        <v>-1779022.0789929586</v>
      </c>
      <c r="AH17" s="2">
        <f>AH16+AG17</f>
        <v>23728560.991365306</v>
      </c>
      <c r="AI17" s="2">
        <v>17280571.81697008</v>
      </c>
      <c r="AJ17" s="2">
        <f>AH17-AI17</f>
        <v>6447989.174395222</v>
      </c>
      <c r="AK17" s="3">
        <v>0.15</v>
      </c>
    </row>
    <row r="18" spans="1:37">
      <c r="A18" s="2">
        <v>17</v>
      </c>
      <c r="B18" s="2">
        <v>2028</v>
      </c>
      <c r="C18" s="2">
        <v>32</v>
      </c>
      <c r="D18" s="2">
        <v>360489.7</v>
      </c>
      <c r="E18" s="2">
        <v>11535670.4</v>
      </c>
      <c r="F18" s="2">
        <f>E18/1.19</f>
        <v>9693840.672268908</v>
      </c>
      <c r="G18" s="2">
        <v>40</v>
      </c>
      <c r="H18" s="2">
        <v>3344775.260504202</v>
      </c>
      <c r="I18" s="2">
        <v>84</v>
      </c>
      <c r="J18" s="2">
        <v>7006384.66121817</v>
      </c>
      <c r="K18" s="2">
        <v>2669098.918559303</v>
      </c>
      <c r="L18" s="2">
        <v>988071.4334847443</v>
      </c>
      <c r="M18" s="2">
        <v>2920050</v>
      </c>
      <c r="N18" s="3">
        <v>0.5</v>
      </c>
      <c r="O18" s="3">
        <v>0.5</v>
      </c>
      <c r="P18" s="2">
        <v>144200</v>
      </c>
      <c r="Q18" s="2">
        <v>212437.5</v>
      </c>
      <c r="R18" s="2">
        <v>0</v>
      </c>
      <c r="S18" s="2">
        <v>288400</v>
      </c>
      <c r="T18" s="2">
        <v>1351875</v>
      </c>
      <c r="U18" s="2">
        <f>M18+P18+Q18+R18+S18+T18</f>
        <v>4916962.5</v>
      </c>
      <c r="V18" s="2">
        <f>F18-K18-L18-U18</f>
        <v>1119707.8202248607</v>
      </c>
      <c r="W18" s="2">
        <v>271367.5672241888</v>
      </c>
      <c r="X18" s="2">
        <v>162468.6717658382</v>
      </c>
      <c r="Y18" s="2">
        <f>W18+X18</f>
        <v>433836.23899002705</v>
      </c>
      <c r="Z18" s="2">
        <v>28436276.08903057</v>
      </c>
      <c r="AA18" s="2">
        <v>0</v>
      </c>
      <c r="AB18" s="2">
        <v>0</v>
      </c>
      <c r="AC18" s="2">
        <v>0</v>
      </c>
      <c r="AD18" s="2">
        <v>0</v>
      </c>
      <c r="AE18" s="2">
        <v>628462.0994957983</v>
      </c>
      <c r="AF18" s="2">
        <f>F18-H18-L18-U18-AA18-AC18-AD18</f>
        <v>444031.4782799622</v>
      </c>
      <c r="AG18" s="2">
        <f>F18-H18-L18-U18-AA18-AB18-AD18-Y18</f>
        <v>10195.239289935154</v>
      </c>
      <c r="AH18" s="2">
        <f>AH17+AG18</f>
        <v>23738756.23065524</v>
      </c>
      <c r="AI18" s="2">
        <v>17280571.81697008</v>
      </c>
      <c r="AJ18" s="2">
        <f>AH18-AI18</f>
        <v>6458184.413685158</v>
      </c>
      <c r="AK18" s="3">
        <v>0.15</v>
      </c>
    </row>
    <row r="19" spans="1:37">
      <c r="A19" s="2">
        <v>18</v>
      </c>
      <c r="B19" s="2">
        <v>2028</v>
      </c>
      <c r="C19" s="2">
        <v>37</v>
      </c>
      <c r="D19" s="2">
        <v>360489.7</v>
      </c>
      <c r="E19" s="2">
        <v>13338118.9</v>
      </c>
      <c r="F19" s="2">
        <f>E19/1.19</f>
        <v>11208503.277310925</v>
      </c>
      <c r="G19" s="2">
        <v>50</v>
      </c>
      <c r="H19" s="2">
        <v>4180969.075630253</v>
      </c>
      <c r="I19" s="2">
        <v>97</v>
      </c>
      <c r="J19" s="2">
        <v>8098308.302046992</v>
      </c>
      <c r="K19" s="2">
        <v>3089045.43480143</v>
      </c>
      <c r="L19" s="2">
        <v>1142689.579784114</v>
      </c>
      <c r="M19" s="2">
        <v>2920050</v>
      </c>
      <c r="N19" s="3">
        <v>0.5</v>
      </c>
      <c r="O19" s="3">
        <v>0.5</v>
      </c>
      <c r="P19" s="2">
        <v>144200</v>
      </c>
      <c r="Q19" s="2">
        <v>212437.5</v>
      </c>
      <c r="R19" s="2">
        <v>0</v>
      </c>
      <c r="S19" s="2">
        <v>288400</v>
      </c>
      <c r="T19" s="2">
        <v>1351875</v>
      </c>
      <c r="U19" s="2">
        <f>M19+P19+Q19+R19+S19+T19</f>
        <v>4916962.5</v>
      </c>
      <c r="V19" s="2">
        <f>F19-K19-L19-U19</f>
        <v>2059805.7627253793</v>
      </c>
      <c r="W19" s="2">
        <v>269825.9356394461</v>
      </c>
      <c r="X19" s="2">
        <v>164010.303350581</v>
      </c>
      <c r="Y19" s="2">
        <f>W19+X19</f>
        <v>433836.23899002705</v>
      </c>
      <c r="Z19" s="2">
        <v>28272265.78567998</v>
      </c>
      <c r="AA19" s="2">
        <v>0</v>
      </c>
      <c r="AB19" s="2">
        <v>0</v>
      </c>
      <c r="AC19" s="2">
        <v>0</v>
      </c>
      <c r="AD19" s="2">
        <v>157115.5248739497</v>
      </c>
      <c r="AE19" s="2">
        <v>785577.6243697481</v>
      </c>
      <c r="AF19" s="2">
        <f>F19-H19-L19-U19-AA19-AC19-AD19</f>
        <v>810766.5970226078</v>
      </c>
      <c r="AG19" s="2">
        <f>F19-H19-L19-U19-AA19-AB19-AD19-Y19</f>
        <v>376930.35803258076</v>
      </c>
      <c r="AH19" s="2">
        <f>AH18+AG19</f>
        <v>24115686.588687822</v>
      </c>
      <c r="AI19" s="2">
        <v>17280571.81697008</v>
      </c>
      <c r="AJ19" s="2">
        <f>AH19-AI19</f>
        <v>6835114.771717738</v>
      </c>
      <c r="AK19" s="3">
        <v>0.15</v>
      </c>
    </row>
    <row r="20" spans="1:37">
      <c r="A20" s="2">
        <v>19</v>
      </c>
      <c r="B20" s="2">
        <v>2028</v>
      </c>
      <c r="C20" s="2">
        <v>42</v>
      </c>
      <c r="D20" s="2">
        <v>360489.7</v>
      </c>
      <c r="E20" s="2">
        <v>15140567.4</v>
      </c>
      <c r="F20" s="2">
        <f>E20/1.19</f>
        <v>12723165.882352943</v>
      </c>
      <c r="G20" s="2">
        <v>60</v>
      </c>
      <c r="H20" s="2">
        <v>5017162.890756303</v>
      </c>
      <c r="I20" s="2">
        <v>115</v>
      </c>
      <c r="J20" s="2">
        <v>9606873.803645726</v>
      </c>
      <c r="K20" s="2">
        <v>3508597.389157569</v>
      </c>
      <c r="L20" s="2">
        <v>1297276.161132606</v>
      </c>
      <c r="M20" s="2">
        <v>2920050</v>
      </c>
      <c r="N20" s="3">
        <v>0.5</v>
      </c>
      <c r="O20" s="3">
        <v>0.5</v>
      </c>
      <c r="P20" s="2">
        <v>144200</v>
      </c>
      <c r="Q20" s="2">
        <v>212437.5</v>
      </c>
      <c r="R20" s="2">
        <v>0</v>
      </c>
      <c r="S20" s="2">
        <v>288400</v>
      </c>
      <c r="T20" s="2">
        <v>1351875</v>
      </c>
      <c r="U20" s="2">
        <f>M20+P20+Q20+R20+S20+T20</f>
        <v>4916962.5</v>
      </c>
      <c r="V20" s="2">
        <f>F20-K20-L20-U20</f>
        <v>3000329.832062768</v>
      </c>
      <c r="W20" s="2">
        <v>268269.6758318142</v>
      </c>
      <c r="X20" s="2">
        <v>165566.5631582128</v>
      </c>
      <c r="Y20" s="2">
        <f>W20+X20</f>
        <v>433836.23899002705</v>
      </c>
      <c r="Z20" s="2">
        <v>28106699.22252177</v>
      </c>
      <c r="AA20" s="2">
        <v>0</v>
      </c>
      <c r="AB20" s="2">
        <v>0</v>
      </c>
      <c r="AC20" s="2">
        <v>0</v>
      </c>
      <c r="AD20" s="2">
        <v>157115.5248739495</v>
      </c>
      <c r="AE20" s="2">
        <v>942693.1492436975</v>
      </c>
      <c r="AF20" s="2">
        <f>F20-H20-L20-U20-AA20-AC20-AD20</f>
        <v>1334648.8055900848</v>
      </c>
      <c r="AG20" s="2">
        <f>F20-H20-L20-U20-AA20-AB20-AD20-Y20</f>
        <v>900812.5666000578</v>
      </c>
      <c r="AH20" s="2">
        <f>AH19+AG20</f>
        <v>25016499.15528788</v>
      </c>
      <c r="AI20" s="2">
        <v>17280571.81697008</v>
      </c>
      <c r="AJ20" s="2">
        <f>AH20-AI20</f>
        <v>7735927.338317797</v>
      </c>
      <c r="AK20" s="3">
        <v>0.15</v>
      </c>
    </row>
    <row r="21" spans="1:37">
      <c r="A21" s="2">
        <v>20</v>
      </c>
      <c r="B21" s="2">
        <v>2028</v>
      </c>
      <c r="C21" s="2">
        <v>52</v>
      </c>
      <c r="D21" s="2">
        <v>360489.7</v>
      </c>
      <c r="E21" s="2">
        <v>18745464.4</v>
      </c>
      <c r="F21" s="2">
        <f>E21/1.19</f>
        <v>15752491.092436977</v>
      </c>
      <c r="G21" s="2">
        <v>70</v>
      </c>
      <c r="H21" s="2">
        <v>5853356.705882354</v>
      </c>
      <c r="I21" s="2">
        <v>133</v>
      </c>
      <c r="J21" s="2">
        <v>11114652.20414721</v>
      </c>
      <c r="K21" s="2">
        <v>4345578.305380866</v>
      </c>
      <c r="L21" s="2">
        <v>1606279.48443047</v>
      </c>
      <c r="M21" s="2">
        <v>2920050</v>
      </c>
      <c r="N21" s="3">
        <v>0.5</v>
      </c>
      <c r="O21" s="3">
        <v>0.5</v>
      </c>
      <c r="P21" s="2">
        <v>144200</v>
      </c>
      <c r="Q21" s="2">
        <v>212437.5</v>
      </c>
      <c r="R21" s="2">
        <v>0</v>
      </c>
      <c r="S21" s="2">
        <v>288400</v>
      </c>
      <c r="T21" s="2">
        <v>1351875</v>
      </c>
      <c r="U21" s="2">
        <f>M21+P21+Q21+R21+S21+T21</f>
        <v>4916962.5</v>
      </c>
      <c r="V21" s="2">
        <f>F21-K21-L21-U21</f>
        <v>4883670.802625641</v>
      </c>
      <c r="W21" s="2">
        <v>266698.6489971154</v>
      </c>
      <c r="X21" s="2">
        <v>167137.5899929117</v>
      </c>
      <c r="Y21" s="2">
        <f>W21+X21</f>
        <v>433836.23899002705</v>
      </c>
      <c r="Z21" s="2">
        <v>27939561.63252886</v>
      </c>
      <c r="AA21" s="2">
        <v>0</v>
      </c>
      <c r="AB21" s="2">
        <v>0</v>
      </c>
      <c r="AC21" s="2">
        <v>0</v>
      </c>
      <c r="AD21" s="2">
        <v>157115.5248739496</v>
      </c>
      <c r="AE21" s="2">
        <v>1099808.674117647</v>
      </c>
      <c r="AF21" s="2">
        <f>F21-H21-L21-U21-AA21-AC21-AD21</f>
        <v>3218776.877250204</v>
      </c>
      <c r="AG21" s="2">
        <f>F21-H21-L21-U21-AA21-AB21-AD21-Y21</f>
        <v>2784940.638260177</v>
      </c>
      <c r="AH21" s="2">
        <f>AH20+AG21</f>
        <v>27801439.79354806</v>
      </c>
      <c r="AI21" s="2">
        <v>17280571.81697008</v>
      </c>
      <c r="AJ21" s="2">
        <f>AH21-AI21</f>
        <v>10520867.976577975</v>
      </c>
      <c r="AK21" s="3">
        <v>0.15</v>
      </c>
    </row>
    <row r="22" spans="1:37">
      <c r="A22" s="2">
        <v>21</v>
      </c>
      <c r="B22" s="2">
        <v>2028</v>
      </c>
      <c r="C22" s="2">
        <v>58</v>
      </c>
      <c r="D22" s="2">
        <v>360489.7</v>
      </c>
      <c r="E22" s="2">
        <v>20908402.6</v>
      </c>
      <c r="F22" s="2">
        <f>E22/1.19</f>
        <v>17570086.218487397</v>
      </c>
      <c r="G22" s="2">
        <v>70</v>
      </c>
      <c r="H22" s="2">
        <v>5853356.705882354</v>
      </c>
      <c r="I22" s="2">
        <v>145</v>
      </c>
      <c r="J22" s="2">
        <v>12120006.36430683</v>
      </c>
      <c r="K22" s="2">
        <v>4848002.545722734</v>
      </c>
      <c r="L22" s="2">
        <v>1791700.333657819</v>
      </c>
      <c r="M22" s="2">
        <v>2920050</v>
      </c>
      <c r="N22" s="3">
        <v>0.5</v>
      </c>
      <c r="O22" s="3">
        <v>0.5</v>
      </c>
      <c r="P22" s="2">
        <v>144200</v>
      </c>
      <c r="Q22" s="2">
        <v>212437.5</v>
      </c>
      <c r="R22" s="2">
        <v>0</v>
      </c>
      <c r="S22" s="2">
        <v>288400</v>
      </c>
      <c r="T22" s="2">
        <v>1351875</v>
      </c>
      <c r="U22" s="2">
        <f>M22+P22+Q22+R22+S22+T22</f>
        <v>4916962.5</v>
      </c>
      <c r="V22" s="2">
        <f>F22-K22-L22-U22</f>
        <v>6013420.839106843</v>
      </c>
      <c r="W22" s="2">
        <v>265112.7150140874</v>
      </c>
      <c r="X22" s="2">
        <v>168723.5239759397</v>
      </c>
      <c r="Y22" s="2">
        <f>W22+X22</f>
        <v>433836.23899002705</v>
      </c>
      <c r="Z22" s="2">
        <v>27770838.10855292</v>
      </c>
      <c r="AA22" s="2">
        <v>0</v>
      </c>
      <c r="AB22" s="2">
        <v>0</v>
      </c>
      <c r="AC22" s="2">
        <v>0</v>
      </c>
      <c r="AD22" s="2">
        <v>0</v>
      </c>
      <c r="AE22" s="2">
        <v>1099808.674117647</v>
      </c>
      <c r="AF22" s="2">
        <f>F22-H22-L22-U22-AA22-AC22-AD22</f>
        <v>5008066.678947225</v>
      </c>
      <c r="AG22" s="2">
        <f>F22-H22-L22-U22-AA22-AB22-AD22-Y22</f>
        <v>4574230.439957198</v>
      </c>
      <c r="AH22" s="2">
        <f>AH21+AG22</f>
        <v>32375670.233505256</v>
      </c>
      <c r="AI22" s="2">
        <v>17280571.81697008</v>
      </c>
      <c r="AJ22" s="2">
        <f>AH22-AI22</f>
        <v>15095098.416535173</v>
      </c>
      <c r="AK22" s="3">
        <v>0.15</v>
      </c>
    </row>
    <row r="23" spans="1:37">
      <c r="A23" s="2">
        <v>22</v>
      </c>
      <c r="B23" s="2">
        <v>2028</v>
      </c>
      <c r="C23" s="2">
        <v>68</v>
      </c>
      <c r="D23" s="2">
        <v>360489.7</v>
      </c>
      <c r="E23" s="2">
        <v>24513299.6</v>
      </c>
      <c r="F23" s="2">
        <f>E23/1.19</f>
        <v>20599411.42857143</v>
      </c>
      <c r="G23" s="2">
        <v>90</v>
      </c>
      <c r="H23" s="2">
        <v>7525744.336134455</v>
      </c>
      <c r="I23" s="2">
        <v>167</v>
      </c>
      <c r="J23" s="2">
        <v>13961022.83818594</v>
      </c>
      <c r="K23" s="2">
        <v>5684727.862255352</v>
      </c>
      <c r="L23" s="2">
        <v>2100683.208980428</v>
      </c>
      <c r="M23" s="2">
        <v>2920050</v>
      </c>
      <c r="N23" s="3">
        <v>0.5</v>
      </c>
      <c r="O23" s="3">
        <v>0.5</v>
      </c>
      <c r="P23" s="2">
        <v>144200</v>
      </c>
      <c r="Q23" s="2">
        <v>212437.5</v>
      </c>
      <c r="R23" s="2">
        <v>0</v>
      </c>
      <c r="S23" s="2">
        <v>288400</v>
      </c>
      <c r="T23" s="2">
        <v>1351875</v>
      </c>
      <c r="U23" s="2">
        <f>M23+P23+Q23+R23+S23+T23</f>
        <v>4916962.5</v>
      </c>
      <c r="V23" s="2">
        <f>F23-K23-L23-U23</f>
        <v>7897037.857335649</v>
      </c>
      <c r="W23" s="2">
        <v>263511.7324318865</v>
      </c>
      <c r="X23" s="2">
        <v>170324.5065581405</v>
      </c>
      <c r="Y23" s="2">
        <f>W23+X23</f>
        <v>433836.23899002705</v>
      </c>
      <c r="Z23" s="2">
        <v>27600513.60199478</v>
      </c>
      <c r="AA23" s="2">
        <v>0</v>
      </c>
      <c r="AB23" s="2">
        <v>0</v>
      </c>
      <c r="AC23" s="2">
        <v>0</v>
      </c>
      <c r="AD23" s="2">
        <v>314231.0497478994</v>
      </c>
      <c r="AE23" s="2">
        <v>1414039.723865547</v>
      </c>
      <c r="AF23" s="2">
        <f>F23-H23-L23-U23-AA23-AC23-AD23</f>
        <v>5741790.333708646</v>
      </c>
      <c r="AG23" s="2">
        <f>F23-H23-L23-U23-AA23-AB23-AD23-Y23</f>
        <v>5307954.094718618</v>
      </c>
      <c r="AH23" s="2">
        <f>AH22+AG23</f>
        <v>37683624.32822388</v>
      </c>
      <c r="AI23" s="2">
        <v>17280571.81697008</v>
      </c>
      <c r="AJ23" s="2">
        <f>AH23-AI23</f>
        <v>20403052.511253793</v>
      </c>
      <c r="AK23" s="3">
        <v>0.15</v>
      </c>
    </row>
    <row r="24" spans="1:37">
      <c r="A24" s="2">
        <v>23</v>
      </c>
      <c r="B24" s="2">
        <v>2028</v>
      </c>
      <c r="C24" s="2">
        <v>73</v>
      </c>
      <c r="D24" s="2">
        <v>360489.7</v>
      </c>
      <c r="E24" s="2">
        <v>26315748.1</v>
      </c>
      <c r="F24" s="2">
        <f>E24/1.19</f>
        <v>22114074.033613447</v>
      </c>
      <c r="G24" s="2">
        <v>10</v>
      </c>
      <c r="H24" s="2">
        <v>836193.8151260505</v>
      </c>
      <c r="I24" s="2">
        <v>104</v>
      </c>
      <c r="J24" s="2">
        <v>8694409.784996875</v>
      </c>
      <c r="K24" s="2">
        <v>6102806.868315113</v>
      </c>
      <c r="L24" s="2">
        <v>2255151.95446521</v>
      </c>
      <c r="M24" s="2">
        <v>2920050</v>
      </c>
      <c r="N24" s="3">
        <v>0.5</v>
      </c>
      <c r="O24" s="3">
        <v>0.5</v>
      </c>
      <c r="P24" s="2">
        <v>144200</v>
      </c>
      <c r="Q24" s="2">
        <v>212437.5</v>
      </c>
      <c r="R24" s="2">
        <v>0</v>
      </c>
      <c r="S24" s="2">
        <v>288400</v>
      </c>
      <c r="T24" s="2">
        <v>1351875</v>
      </c>
      <c r="U24" s="2">
        <f>M24+P24+Q24+R24+S24+T24</f>
        <v>4916962.5</v>
      </c>
      <c r="V24" s="2">
        <f>F24-K24-L24-U24</f>
        <v>8839152.710833125</v>
      </c>
      <c r="W24" s="2">
        <v>261895.5584574713</v>
      </c>
      <c r="X24" s="2">
        <v>171940.6805325557</v>
      </c>
      <c r="Y24" s="2">
        <f>W24+X24</f>
        <v>433836.23899002705</v>
      </c>
      <c r="Z24" s="2">
        <v>27428572.92146223</v>
      </c>
      <c r="AA24" s="2">
        <v>0</v>
      </c>
      <c r="AB24" s="2">
        <v>0</v>
      </c>
      <c r="AC24" s="2">
        <v>0</v>
      </c>
      <c r="AD24" s="2">
        <v>-1256924.198991597</v>
      </c>
      <c r="AE24" s="2">
        <v>157115.5248739496</v>
      </c>
      <c r="AF24" s="2">
        <f>F24-H24-L24-U24-AA24-AC24-AD24</f>
        <v>15362689.963013783</v>
      </c>
      <c r="AG24" s="2">
        <f>F24-H24-L24-U24-AA24-AB24-AD24-Y24</f>
        <v>14928853.724023756</v>
      </c>
      <c r="AH24" s="2">
        <f>AH23+AG24</f>
        <v>52612478.05224763</v>
      </c>
      <c r="AI24" s="2">
        <v>17280571.81697008</v>
      </c>
      <c r="AJ24" s="2">
        <f>AH24-AI24</f>
        <v>35331906.23527755</v>
      </c>
      <c r="AK24" s="3">
        <v>0.15</v>
      </c>
    </row>
    <row r="25" spans="1:37">
      <c r="A25" s="2">
        <v>24</v>
      </c>
      <c r="B25" s="2">
        <v>2028</v>
      </c>
      <c r="C25" s="2">
        <v>89</v>
      </c>
      <c r="D25" s="2">
        <v>360489.7</v>
      </c>
      <c r="E25" s="2">
        <v>32083583.3</v>
      </c>
      <c r="F25" s="2">
        <f>E25/1.19</f>
        <v>26960994.3697479</v>
      </c>
      <c r="G25" s="2">
        <v>30</v>
      </c>
      <c r="H25" s="2">
        <v>2508581.445378151</v>
      </c>
      <c r="I25" s="2">
        <v>45</v>
      </c>
      <c r="J25" s="2">
        <v>3762198.547514003</v>
      </c>
      <c r="K25" s="2">
        <v>7440792.682861024</v>
      </c>
      <c r="L25" s="2">
        <v>2749462.579628882</v>
      </c>
      <c r="M25" s="2">
        <v>2920050</v>
      </c>
      <c r="N25" s="3">
        <v>0.5</v>
      </c>
      <c r="O25" s="3">
        <v>0.5</v>
      </c>
      <c r="P25" s="2">
        <v>144200</v>
      </c>
      <c r="Q25" s="2">
        <v>212437.5</v>
      </c>
      <c r="R25" s="2">
        <v>0</v>
      </c>
      <c r="S25" s="2">
        <v>288400</v>
      </c>
      <c r="T25" s="2">
        <v>1351875</v>
      </c>
      <c r="U25" s="2">
        <f>M25+P25+Q25+R25+S25+T25</f>
        <v>4916962.5</v>
      </c>
      <c r="V25" s="2">
        <f>F25-K25-L25-U25</f>
        <v>11853776.607257996</v>
      </c>
      <c r="W25" s="2">
        <v>260264.0489428666</v>
      </c>
      <c r="X25" s="2">
        <v>173572.1900471604</v>
      </c>
      <c r="Y25" s="2">
        <f>W25+X25</f>
        <v>433836.23899002705</v>
      </c>
      <c r="Z25" s="2">
        <v>27255000.73141507</v>
      </c>
      <c r="AA25" s="2">
        <v>0</v>
      </c>
      <c r="AB25" s="2">
        <v>5023011.667718603</v>
      </c>
      <c r="AC25" s="2">
        <v>5800197.031912605</v>
      </c>
      <c r="AD25" s="2">
        <v>314231.0497478992</v>
      </c>
      <c r="AE25" s="2">
        <v>471346.5746218488</v>
      </c>
      <c r="AF25" s="2">
        <f>F25-H25-L25-U25-AA25-AC25-AD25</f>
        <v>10671559.763080362</v>
      </c>
      <c r="AG25" s="2">
        <f>F25-H25-L25-U25-AA25-AB25-AD25-Y25</f>
        <v>11014908.888284337</v>
      </c>
      <c r="AH25" s="2">
        <f>AH24+AG25</f>
        <v>63627386.94053197</v>
      </c>
      <c r="AI25" s="2">
        <v>17280571.81697008</v>
      </c>
      <c r="AJ25" s="2">
        <f>AH25-AI25</f>
        <v>46346815.12356189</v>
      </c>
      <c r="AK25" s="3">
        <v>0.15</v>
      </c>
    </row>
    <row r="26" spans="1:37">
      <c r="A26" s="2">
        <v>25</v>
      </c>
      <c r="B26" s="2">
        <v>2029</v>
      </c>
      <c r="C26" s="2">
        <v>15</v>
      </c>
      <c r="D26" s="2">
        <v>371304.391</v>
      </c>
      <c r="E26" s="2">
        <v>5569565.865</v>
      </c>
      <c r="F26" s="2">
        <f>E26/1.19</f>
        <v>4680307.449579832</v>
      </c>
      <c r="G26" s="2">
        <v>30</v>
      </c>
      <c r="H26" s="2">
        <v>2583838.888739496</v>
      </c>
      <c r="I26" s="2">
        <v>60</v>
      </c>
      <c r="J26" s="2">
        <v>5076829.949002799</v>
      </c>
      <c r="K26" s="2">
        <v>1269207.4872507</v>
      </c>
      <c r="L26" s="2">
        <v>475495.892230056</v>
      </c>
      <c r="M26" s="2">
        <v>4439866.5</v>
      </c>
      <c r="N26" s="3">
        <v>1</v>
      </c>
      <c r="O26" s="3">
        <v>1</v>
      </c>
      <c r="P26" s="2">
        <v>169744</v>
      </c>
      <c r="Q26" s="2">
        <v>286443</v>
      </c>
      <c r="R26" s="2">
        <v>265225</v>
      </c>
      <c r="S26" s="2">
        <v>297052</v>
      </c>
      <c r="T26" s="2">
        <v>1989187.5</v>
      </c>
      <c r="U26" s="2">
        <f>M26+P26+Q26+R26+S26+T26</f>
        <v>7447518.0</v>
      </c>
      <c r="V26" s="2">
        <f>F26-K26-L26-U26</f>
        <v>-4511913.929900924</v>
      </c>
      <c r="W26" s="2">
        <v>258617.058372307</v>
      </c>
      <c r="X26" s="2">
        <v>175219.18061772</v>
      </c>
      <c r="Y26" s="2">
        <f>W26+X26</f>
        <v>433836.23899002705</v>
      </c>
      <c r="Z26" s="2">
        <v>27079781.55079735</v>
      </c>
      <c r="AA26" s="2">
        <v>0</v>
      </c>
      <c r="AB26" s="2">
        <v>0</v>
      </c>
      <c r="AC26" s="2">
        <v>0</v>
      </c>
      <c r="AD26" s="2">
        <v>14140.39723865542</v>
      </c>
      <c r="AE26" s="2">
        <v>485486.9718605042</v>
      </c>
      <c r="AF26" s="2">
        <f>F26-H26-L26-U26-AA26-AC26-AD26</f>
        <v>-5840685.728628375</v>
      </c>
      <c r="AG26" s="2">
        <f>F26-H26-L26-U26-AA26-AB26-AD26-Y26</f>
        <v>-6274521.967618402</v>
      </c>
      <c r="AH26" s="2">
        <f>AH25+AG26</f>
        <v>57352864.97291356</v>
      </c>
      <c r="AI26" s="2">
        <v>24872238.31697008</v>
      </c>
      <c r="AJ26" s="2">
        <f>AH26-AI26</f>
        <v>32480626.65594348</v>
      </c>
      <c r="AK26" s="3">
        <v>0.25</v>
      </c>
    </row>
    <row r="27" spans="1:37">
      <c r="A27" s="2">
        <v>26</v>
      </c>
      <c r="B27" s="2">
        <v>2029</v>
      </c>
      <c r="C27" s="2">
        <v>23</v>
      </c>
      <c r="D27" s="2">
        <v>371304.391</v>
      </c>
      <c r="E27" s="2">
        <v>8540000.992999999</v>
      </c>
      <c r="F27" s="2">
        <f>E27/1.19</f>
        <v>7176471.422689075</v>
      </c>
      <c r="G27" s="2">
        <v>40</v>
      </c>
      <c r="H27" s="2">
        <v>3445118.518319328</v>
      </c>
      <c r="I27" s="2">
        <v>77</v>
      </c>
      <c r="J27" s="2">
        <v>6561900.319838038</v>
      </c>
      <c r="K27" s="2">
        <v>1960048.147484089</v>
      </c>
      <c r="L27" s="2">
        <v>730208.1014487271</v>
      </c>
      <c r="M27" s="2">
        <v>4439866.5</v>
      </c>
      <c r="N27" s="3">
        <v>1</v>
      </c>
      <c r="O27" s="3">
        <v>1</v>
      </c>
      <c r="P27" s="2">
        <v>169744</v>
      </c>
      <c r="Q27" s="2">
        <v>286443</v>
      </c>
      <c r="R27" s="2">
        <v>265225</v>
      </c>
      <c r="S27" s="2">
        <v>297052</v>
      </c>
      <c r="T27" s="2">
        <v>1989187.5</v>
      </c>
      <c r="U27" s="2">
        <f>M27+P27+Q27+R27+S27+T27</f>
        <v>7447518.0</v>
      </c>
      <c r="V27" s="2">
        <f>F27-K27-L27-U27</f>
        <v>-2961302.8262437414</v>
      </c>
      <c r="W27" s="2">
        <v>256954.4398492582</v>
      </c>
      <c r="X27" s="2">
        <v>176881.7991407689</v>
      </c>
      <c r="Y27" s="2">
        <f>W27+X27</f>
        <v>433836.23899002705</v>
      </c>
      <c r="Z27" s="2">
        <v>26902899.75165658</v>
      </c>
      <c r="AA27" s="2">
        <v>0</v>
      </c>
      <c r="AB27" s="2">
        <v>0</v>
      </c>
      <c r="AC27" s="2">
        <v>0</v>
      </c>
      <c r="AD27" s="2">
        <v>161828.9906201681</v>
      </c>
      <c r="AE27" s="2">
        <v>647315.9624806723</v>
      </c>
      <c r="AF27" s="2">
        <f>F27-H27-L27-U27-AA27-AC27-AD27</f>
        <v>-4608202.187699148</v>
      </c>
      <c r="AG27" s="2">
        <f>F27-H27-L27-U27-AA27-AB27-AD27-Y27</f>
        <v>-5042038.426689176</v>
      </c>
      <c r="AH27" s="2">
        <f>AH26+AG27</f>
        <v>52310826.546224385</v>
      </c>
      <c r="AI27" s="2">
        <v>24872238.31697008</v>
      </c>
      <c r="AJ27" s="2">
        <f>AH27-AI27</f>
        <v>27438588.2292543</v>
      </c>
      <c r="AK27" s="3">
        <v>0.25</v>
      </c>
    </row>
    <row r="28" spans="1:37">
      <c r="A28" s="2">
        <v>27</v>
      </c>
      <c r="B28" s="2">
        <v>2029</v>
      </c>
      <c r="C28" s="2">
        <v>30</v>
      </c>
      <c r="D28" s="2">
        <v>371304.391</v>
      </c>
      <c r="E28" s="2">
        <v>11139131.73</v>
      </c>
      <c r="F28" s="2">
        <f>E28/1.19</f>
        <v>9360614.899159664</v>
      </c>
      <c r="G28" s="2">
        <v>40</v>
      </c>
      <c r="H28" s="2">
        <v>3445118.518319328</v>
      </c>
      <c r="I28" s="2">
        <v>87</v>
      </c>
      <c r="J28" s="2">
        <v>7441116.57196317</v>
      </c>
      <c r="K28" s="2">
        <v>2565902.266194196</v>
      </c>
      <c r="L28" s="2">
        <v>953190.7677955357</v>
      </c>
      <c r="M28" s="2">
        <v>4439866.5</v>
      </c>
      <c r="N28" s="3">
        <v>1</v>
      </c>
      <c r="O28" s="3">
        <v>1</v>
      </c>
      <c r="P28" s="2">
        <v>169744</v>
      </c>
      <c r="Q28" s="2">
        <v>286443</v>
      </c>
      <c r="R28" s="2">
        <v>265225</v>
      </c>
      <c r="S28" s="2">
        <v>297052</v>
      </c>
      <c r="T28" s="2">
        <v>1989187.5</v>
      </c>
      <c r="U28" s="2">
        <f>M28+P28+Q28+R28+S28+T28</f>
        <v>7447518.0</v>
      </c>
      <c r="V28" s="2">
        <f>F28-K28-L28-U28</f>
        <v>-1605996.1348300679</v>
      </c>
      <c r="W28" s="2">
        <v>255276.0450833149</v>
      </c>
      <c r="X28" s="2">
        <v>178560.1939067121</v>
      </c>
      <c r="Y28" s="2">
        <f>W28+X28</f>
        <v>433836.23899002705</v>
      </c>
      <c r="Z28" s="2">
        <v>26724339.55774986</v>
      </c>
      <c r="AA28" s="2">
        <v>0</v>
      </c>
      <c r="AB28" s="2">
        <v>0</v>
      </c>
      <c r="AC28" s="2">
        <v>0</v>
      </c>
      <c r="AD28" s="2">
        <v>0</v>
      </c>
      <c r="AE28" s="2">
        <v>647315.9624806723</v>
      </c>
      <c r="AF28" s="2">
        <f>F28-H28-L28-U28-AA28-AC28-AD28</f>
        <v>-2485212.386955199</v>
      </c>
      <c r="AG28" s="2">
        <f>F28-H28-L28-U28-AA28-AB28-AD28-Y28</f>
        <v>-2919048.625945226</v>
      </c>
      <c r="AH28" s="2">
        <f>AH27+AG28</f>
        <v>49391777.92027916</v>
      </c>
      <c r="AI28" s="2">
        <v>24872238.31697008</v>
      </c>
      <c r="AJ28" s="2">
        <f>AH28-AI28</f>
        <v>24519539.603309076</v>
      </c>
      <c r="AK28" s="3">
        <v>0.25</v>
      </c>
    </row>
    <row r="29" spans="1:37">
      <c r="A29" s="2">
        <v>28</v>
      </c>
      <c r="B29" s="2">
        <v>2029</v>
      </c>
      <c r="C29" s="2">
        <v>38</v>
      </c>
      <c r="D29" s="2">
        <v>371304.391</v>
      </c>
      <c r="E29" s="2">
        <v>14109566.858</v>
      </c>
      <c r="F29" s="2">
        <f>E29/1.19</f>
        <v>11856778.872268908</v>
      </c>
      <c r="G29" s="2">
        <v>50</v>
      </c>
      <c r="H29" s="2">
        <v>4306398.14789916</v>
      </c>
      <c r="I29" s="2">
        <v>99</v>
      </c>
      <c r="J29" s="2">
        <v>8489079.980046501</v>
      </c>
      <c r="K29" s="2">
        <v>3258434.739815829</v>
      </c>
      <c r="L29" s="2">
        <v>1208038.322085266</v>
      </c>
      <c r="M29" s="2">
        <v>4439866.5</v>
      </c>
      <c r="N29" s="3">
        <v>1</v>
      </c>
      <c r="O29" s="3">
        <v>1</v>
      </c>
      <c r="P29" s="2">
        <v>169744</v>
      </c>
      <c r="Q29" s="2">
        <v>286443</v>
      </c>
      <c r="R29" s="2">
        <v>265225</v>
      </c>
      <c r="S29" s="2">
        <v>297052</v>
      </c>
      <c r="T29" s="2">
        <v>1989187.5</v>
      </c>
      <c r="U29" s="2">
        <f>M29+P29+Q29+R29+S29+T29</f>
        <v>7447518.0</v>
      </c>
      <c r="V29" s="2">
        <f>F29-K29-L29-U29</f>
        <v>-57212.18963218853</v>
      </c>
      <c r="W29" s="2">
        <v>253581.7243769751</v>
      </c>
      <c r="X29" s="2">
        <v>180254.514613052</v>
      </c>
      <c r="Y29" s="2">
        <f>W29+X29</f>
        <v>433836.23899002705</v>
      </c>
      <c r="Z29" s="2">
        <v>26544085.04313681</v>
      </c>
      <c r="AA29" s="2">
        <v>0</v>
      </c>
      <c r="AB29" s="2">
        <v>0</v>
      </c>
      <c r="AC29" s="2">
        <v>0</v>
      </c>
      <c r="AD29" s="2">
        <v>161828.9906201682</v>
      </c>
      <c r="AE29" s="2">
        <v>809144.9531008404</v>
      </c>
      <c r="AF29" s="2">
        <f>F29-H29-L29-U29-AA29-AC29-AD29</f>
        <v>-1267004.5883356875</v>
      </c>
      <c r="AG29" s="2">
        <f>F29-H29-L29-U29-AA29-AB29-AD29-Y29</f>
        <v>-1700840.8273257145</v>
      </c>
      <c r="AH29" s="2">
        <f>AH28+AG29</f>
        <v>47690937.09295344</v>
      </c>
      <c r="AI29" s="2">
        <v>24872238.31697008</v>
      </c>
      <c r="AJ29" s="2">
        <f>AH29-AI29</f>
        <v>22818698.77598336</v>
      </c>
      <c r="AK29" s="3">
        <v>0.25</v>
      </c>
    </row>
    <row r="30" spans="1:37">
      <c r="A30" s="2">
        <v>29</v>
      </c>
      <c r="B30" s="2">
        <v>2029</v>
      </c>
      <c r="C30" s="2">
        <v>45</v>
      </c>
      <c r="D30" s="2">
        <v>371304.391</v>
      </c>
      <c r="E30" s="2">
        <v>16708697.595</v>
      </c>
      <c r="F30" s="2">
        <f>E30/1.19</f>
        <v>14040922.348739496</v>
      </c>
      <c r="G30" s="2">
        <v>60</v>
      </c>
      <c r="H30" s="2">
        <v>5167677.777478992</v>
      </c>
      <c r="I30" s="2">
        <v>114</v>
      </c>
      <c r="J30" s="2">
        <v>9791637.63747111</v>
      </c>
      <c r="K30" s="2">
        <v>3865120.120054385</v>
      </c>
      <c r="L30" s="2">
        <v>1431087.489354351</v>
      </c>
      <c r="M30" s="2">
        <v>4439866.5</v>
      </c>
      <c r="N30" s="3">
        <v>1</v>
      </c>
      <c r="O30" s="3">
        <v>1</v>
      </c>
      <c r="P30" s="2">
        <v>169744</v>
      </c>
      <c r="Q30" s="2">
        <v>286443</v>
      </c>
      <c r="R30" s="2">
        <v>265225</v>
      </c>
      <c r="S30" s="2">
        <v>297052</v>
      </c>
      <c r="T30" s="2">
        <v>1989187.5</v>
      </c>
      <c r="U30" s="2">
        <f>M30+P30+Q30+R30+S30+T30</f>
        <v>7447518.0</v>
      </c>
      <c r="V30" s="2">
        <f>F30-K30-L30-U30</f>
        <v>1297196.7393307611</v>
      </c>
      <c r="W30" s="2">
        <v>251871.3266122881</v>
      </c>
      <c r="X30" s="2">
        <v>181964.9123777389</v>
      </c>
      <c r="Y30" s="2">
        <f>W30+X30</f>
        <v>433836.23899002705</v>
      </c>
      <c r="Z30" s="2">
        <v>26362120.13075908</v>
      </c>
      <c r="AA30" s="2">
        <v>0</v>
      </c>
      <c r="AB30" s="2">
        <v>0</v>
      </c>
      <c r="AC30" s="2">
        <v>0</v>
      </c>
      <c r="AD30" s="2">
        <v>161828.9906201679</v>
      </c>
      <c r="AE30" s="2">
        <v>970973.9437210084</v>
      </c>
      <c r="AF30" s="2">
        <f>F30-H30-L30-U30-AA30-AC30-AD30</f>
        <v>-167189.9087140141</v>
      </c>
      <c r="AG30" s="2">
        <f>F30-H30-L30-U30-AA30-AB30-AD30-Y30</f>
        <v>-601026.1477040411</v>
      </c>
      <c r="AH30" s="2">
        <f>AH29+AG30</f>
        <v>47089910.9452494</v>
      </c>
      <c r="AI30" s="2">
        <v>24872238.31697008</v>
      </c>
      <c r="AJ30" s="2">
        <f>AH30-AI30</f>
        <v>22217672.628279317</v>
      </c>
      <c r="AK30" s="3">
        <v>0.25</v>
      </c>
    </row>
    <row r="31" spans="1:37">
      <c r="A31" s="2">
        <v>30</v>
      </c>
      <c r="B31" s="2">
        <v>2029</v>
      </c>
      <c r="C31" s="2">
        <v>53</v>
      </c>
      <c r="D31" s="2">
        <v>371304.391</v>
      </c>
      <c r="E31" s="2">
        <v>19679132.723</v>
      </c>
      <c r="F31" s="2">
        <f>E31/1.19</f>
        <v>16537086.321848739</v>
      </c>
      <c r="G31" s="2">
        <v>80</v>
      </c>
      <c r="H31" s="2">
        <v>6890237.036638656</v>
      </c>
      <c r="I31" s="2">
        <v>141</v>
      </c>
      <c r="J31" s="2">
        <v>12124455.30437875</v>
      </c>
      <c r="K31" s="2">
        <v>4557419.369731018</v>
      </c>
      <c r="L31" s="2">
        <v>1685916.385728481</v>
      </c>
      <c r="M31" s="2">
        <v>4439866.5</v>
      </c>
      <c r="N31" s="3">
        <v>1</v>
      </c>
      <c r="O31" s="3">
        <v>1</v>
      </c>
      <c r="P31" s="2">
        <v>169744</v>
      </c>
      <c r="Q31" s="2">
        <v>286443</v>
      </c>
      <c r="R31" s="2">
        <v>265225</v>
      </c>
      <c r="S31" s="2">
        <v>297052</v>
      </c>
      <c r="T31" s="2">
        <v>1989187.5</v>
      </c>
      <c r="U31" s="2">
        <f>M31+P31+Q31+R31+S31+T31</f>
        <v>7447518.0</v>
      </c>
      <c r="V31" s="2">
        <f>F31-K31-L31-U31</f>
        <v>2846232.5663892385</v>
      </c>
      <c r="W31" s="2">
        <v>250144.6992373762</v>
      </c>
      <c r="X31" s="2">
        <v>183691.5397526509</v>
      </c>
      <c r="Y31" s="2">
        <f>W31+X31</f>
        <v>433836.23899002705</v>
      </c>
      <c r="Z31" s="2">
        <v>26178428.59100642</v>
      </c>
      <c r="AA31" s="2">
        <v>0</v>
      </c>
      <c r="AB31" s="2">
        <v>0</v>
      </c>
      <c r="AC31" s="2">
        <v>0</v>
      </c>
      <c r="AD31" s="2">
        <v>323657.9812403362</v>
      </c>
      <c r="AE31" s="2">
        <v>1294631.924961345</v>
      </c>
      <c r="AF31" s="2">
        <f>F31-H31-L31-U31-AA31-AC31-AD31</f>
        <v>189756.91824126674</v>
      </c>
      <c r="AG31" s="2">
        <f>F31-H31-L31-U31-AA31-AB31-AD31-Y31</f>
        <v>-244079.3207487603</v>
      </c>
      <c r="AH31" s="2">
        <f>AH30+AG31</f>
        <v>46845831.62450064</v>
      </c>
      <c r="AI31" s="2">
        <v>24872238.31697008</v>
      </c>
      <c r="AJ31" s="2">
        <f>AH31-AI31</f>
        <v>21973593.307530556</v>
      </c>
      <c r="AK31" s="3">
        <v>0.25</v>
      </c>
    </row>
    <row r="32" spans="1:37">
      <c r="A32" s="2">
        <v>31</v>
      </c>
      <c r="B32" s="2">
        <v>2029</v>
      </c>
      <c r="C32" s="2">
        <v>60</v>
      </c>
      <c r="D32" s="2">
        <v>371304.391</v>
      </c>
      <c r="E32" s="2">
        <v>22278263.46</v>
      </c>
      <c r="F32" s="2">
        <f>E32/1.19</f>
        <v>18721229.79831933</v>
      </c>
      <c r="G32" s="2">
        <v>80</v>
      </c>
      <c r="H32" s="2">
        <v>6890237.036638656</v>
      </c>
      <c r="I32" s="2">
        <v>161</v>
      </c>
      <c r="J32" s="2">
        <v>13852332.42942897</v>
      </c>
      <c r="K32" s="2">
        <v>5162359.911588435</v>
      </c>
      <c r="L32" s="2">
        <v>1908825.965927075</v>
      </c>
      <c r="M32" s="2">
        <v>4439866.5</v>
      </c>
      <c r="N32" s="3">
        <v>1</v>
      </c>
      <c r="O32" s="3">
        <v>1</v>
      </c>
      <c r="P32" s="2">
        <v>169744</v>
      </c>
      <c r="Q32" s="2">
        <v>286443</v>
      </c>
      <c r="R32" s="2">
        <v>265225</v>
      </c>
      <c r="S32" s="2">
        <v>297052</v>
      </c>
      <c r="T32" s="2">
        <v>1989187.5</v>
      </c>
      <c r="U32" s="2">
        <f>M32+P32+Q32+R32+S32+T32</f>
        <v>7447518.0</v>
      </c>
      <c r="V32" s="2">
        <f>F32-K32-L32-U32</f>
        <v>4202525.920803819</v>
      </c>
      <c r="W32" s="2">
        <v>248401.6882528285</v>
      </c>
      <c r="X32" s="2">
        <v>185434.5507371985</v>
      </c>
      <c r="Y32" s="2">
        <f>W32+X32</f>
        <v>433836.23899002705</v>
      </c>
      <c r="Z32" s="2">
        <v>25992994.04026923</v>
      </c>
      <c r="AA32" s="2">
        <v>0</v>
      </c>
      <c r="AB32" s="2">
        <v>0</v>
      </c>
      <c r="AC32" s="2">
        <v>0</v>
      </c>
      <c r="AD32" s="2">
        <v>0</v>
      </c>
      <c r="AE32" s="2">
        <v>1294631.924961345</v>
      </c>
      <c r="AF32" s="2">
        <f>F32-H32-L32-U32-AA32-AC32-AD32</f>
        <v>2474648.795753598</v>
      </c>
      <c r="AG32" s="2">
        <f>F32-H32-L32-U32-AA32-AB32-AD32-Y32</f>
        <v>2040812.5567635712</v>
      </c>
      <c r="AH32" s="2">
        <f>AH31+AG32</f>
        <v>48886644.181264214</v>
      </c>
      <c r="AI32" s="2">
        <v>24872238.31697008</v>
      </c>
      <c r="AJ32" s="2">
        <f>AH32-AI32</f>
        <v>24014405.86429413</v>
      </c>
      <c r="AK32" s="3">
        <v>0.25</v>
      </c>
    </row>
    <row r="33" spans="1:37">
      <c r="A33" s="2">
        <v>32</v>
      </c>
      <c r="B33" s="2">
        <v>2029</v>
      </c>
      <c r="C33" s="2">
        <v>75</v>
      </c>
      <c r="D33" s="2">
        <v>371304.391</v>
      </c>
      <c r="E33" s="2">
        <v>27847829.325</v>
      </c>
      <c r="F33" s="2">
        <f>E33/1.19</f>
        <v>23401537.24789916</v>
      </c>
      <c r="G33" s="2">
        <v>100</v>
      </c>
      <c r="H33" s="2">
        <v>8612796.29579832</v>
      </c>
      <c r="I33" s="2">
        <v>186</v>
      </c>
      <c r="J33" s="2">
        <v>16009631.96510451</v>
      </c>
      <c r="K33" s="2">
        <v>6455496.760122784</v>
      </c>
      <c r="L33" s="2">
        <v>2386236.207059823</v>
      </c>
      <c r="M33" s="2">
        <v>4439866.5</v>
      </c>
      <c r="N33" s="3">
        <v>1</v>
      </c>
      <c r="O33" s="3">
        <v>1</v>
      </c>
      <c r="P33" s="2">
        <v>169744</v>
      </c>
      <c r="Q33" s="2">
        <v>286443</v>
      </c>
      <c r="R33" s="2">
        <v>265225</v>
      </c>
      <c r="S33" s="2">
        <v>297052</v>
      </c>
      <c r="T33" s="2">
        <v>1989187.5</v>
      </c>
      <c r="U33" s="2">
        <f>M33+P33+Q33+R33+S33+T33</f>
        <v>7447518.0</v>
      </c>
      <c r="V33" s="2">
        <f>F33-K33-L33-U33</f>
        <v>7112286.280716553</v>
      </c>
      <c r="W33" s="2">
        <v>246642.1381979658</v>
      </c>
      <c r="X33" s="2">
        <v>187194.1007920612</v>
      </c>
      <c r="Y33" s="2">
        <f>W33+X33</f>
        <v>433836.23899002705</v>
      </c>
      <c r="Z33" s="2">
        <v>25805799.93947716</v>
      </c>
      <c r="AA33" s="2">
        <v>0</v>
      </c>
      <c r="AB33" s="2">
        <v>0</v>
      </c>
      <c r="AC33" s="2">
        <v>0</v>
      </c>
      <c r="AD33" s="2">
        <v>323657.9812403363</v>
      </c>
      <c r="AE33" s="2">
        <v>1618289.906201681</v>
      </c>
      <c r="AF33" s="2">
        <f>F33-H33-L33-U33-AA33-AC33-AD33</f>
        <v>4631328.763800681</v>
      </c>
      <c r="AG33" s="2">
        <f>F33-H33-L33-U33-AA33-AB33-AD33-Y33</f>
        <v>4197492.524810653</v>
      </c>
      <c r="AH33" s="2">
        <f>AH32+AG33</f>
        <v>53084136.70607486</v>
      </c>
      <c r="AI33" s="2">
        <v>24872238.31697008</v>
      </c>
      <c r="AJ33" s="2">
        <f>AH33-AI33</f>
        <v>28211898.38910478</v>
      </c>
      <c r="AK33" s="3">
        <v>0.25</v>
      </c>
    </row>
    <row r="34" spans="1:37">
      <c r="A34" s="2">
        <v>33</v>
      </c>
      <c r="B34" s="2">
        <v>2029</v>
      </c>
      <c r="C34" s="2">
        <v>82</v>
      </c>
      <c r="D34" s="2">
        <v>371304.391</v>
      </c>
      <c r="E34" s="2">
        <v>30446960.062</v>
      </c>
      <c r="F34" s="2">
        <f>E34/1.19</f>
        <v>25585680.72436975</v>
      </c>
      <c r="G34" s="2">
        <v>100</v>
      </c>
      <c r="H34" s="2">
        <v>8612796.29579832</v>
      </c>
      <c r="I34" s="2">
        <v>204</v>
      </c>
      <c r="J34" s="2">
        <v>17562850.92735726</v>
      </c>
      <c r="K34" s="2">
        <v>7059577.333545566</v>
      </c>
      <c r="L34" s="2">
        <v>2609076.989783646</v>
      </c>
      <c r="M34" s="2">
        <v>4439866.5</v>
      </c>
      <c r="N34" s="3">
        <v>1</v>
      </c>
      <c r="O34" s="3">
        <v>1</v>
      </c>
      <c r="P34" s="2">
        <v>169744</v>
      </c>
      <c r="Q34" s="2">
        <v>286443</v>
      </c>
      <c r="R34" s="2">
        <v>265225</v>
      </c>
      <c r="S34" s="2">
        <v>297052</v>
      </c>
      <c r="T34" s="2">
        <v>1989187.5</v>
      </c>
      <c r="U34" s="2">
        <f>M34+P34+Q34+R34+S34+T34</f>
        <v>7447518.0</v>
      </c>
      <c r="V34" s="2">
        <f>F34-K34-L34-U34</f>
        <v>8469508.40104054</v>
      </c>
      <c r="W34" s="2">
        <v>244865.8921369745</v>
      </c>
      <c r="X34" s="2">
        <v>188970.3468530526</v>
      </c>
      <c r="Y34" s="2">
        <f>W34+X34</f>
        <v>433836.23899002705</v>
      </c>
      <c r="Z34" s="2">
        <v>25616829.59262411</v>
      </c>
      <c r="AA34" s="2">
        <v>0</v>
      </c>
      <c r="AB34" s="2">
        <v>0</v>
      </c>
      <c r="AC34" s="2">
        <v>0</v>
      </c>
      <c r="AD34" s="2">
        <v>0</v>
      </c>
      <c r="AE34" s="2">
        <v>1618289.906201681</v>
      </c>
      <c r="AF34" s="2">
        <f>F34-H34-L34-U34-AA34-AC34-AD34</f>
        <v>6916289.438787784</v>
      </c>
      <c r="AG34" s="2">
        <f>F34-H34-L34-U34-AA34-AB34-AD34-Y34</f>
        <v>6482453.199797757</v>
      </c>
      <c r="AH34" s="2">
        <f>AH33+AG34</f>
        <v>59566589.90587262</v>
      </c>
      <c r="AI34" s="2">
        <v>24872238.31697008</v>
      </c>
      <c r="AJ34" s="2">
        <f>AH34-AI34</f>
        <v>34694351.58890253</v>
      </c>
      <c r="AK34" s="3">
        <v>0.25</v>
      </c>
    </row>
    <row r="35" spans="1:37">
      <c r="A35" s="2">
        <v>34</v>
      </c>
      <c r="B35" s="2">
        <v>2029</v>
      </c>
      <c r="C35" s="2">
        <v>97</v>
      </c>
      <c r="D35" s="2">
        <v>371304.391</v>
      </c>
      <c r="E35" s="2">
        <v>36016525.927</v>
      </c>
      <c r="F35" s="2">
        <f>E35/1.19</f>
        <v>30265988.17394958</v>
      </c>
      <c r="G35" s="2">
        <v>130</v>
      </c>
      <c r="H35" s="2">
        <v>11196635.18453781</v>
      </c>
      <c r="I35" s="2">
        <v>237</v>
      </c>
      <c r="J35" s="2">
        <v>20407180.26502734</v>
      </c>
      <c r="K35" s="2">
        <v>8352305.846867733</v>
      </c>
      <c r="L35" s="2">
        <v>3086454.564099419</v>
      </c>
      <c r="M35" s="2">
        <v>4439866.5</v>
      </c>
      <c r="N35" s="3">
        <v>1</v>
      </c>
      <c r="O35" s="3">
        <v>1</v>
      </c>
      <c r="P35" s="2">
        <v>169744</v>
      </c>
      <c r="Q35" s="2">
        <v>286443</v>
      </c>
      <c r="R35" s="2">
        <v>265225</v>
      </c>
      <c r="S35" s="2">
        <v>297052</v>
      </c>
      <c r="T35" s="2">
        <v>1989187.5</v>
      </c>
      <c r="U35" s="2">
        <f>M35+P35+Q35+R35+S35+T35</f>
        <v>7447518.0</v>
      </c>
      <c r="V35" s="2">
        <f>F35-K35-L35-U35</f>
        <v>11379709.762982428</v>
      </c>
      <c r="W35" s="2">
        <v>243072.7916449096</v>
      </c>
      <c r="X35" s="2">
        <v>190763.4473451175</v>
      </c>
      <c r="Y35" s="2">
        <f>W35+X35</f>
        <v>433836.23899002705</v>
      </c>
      <c r="Z35" s="2">
        <v>25426066.14527899</v>
      </c>
      <c r="AA35" s="2">
        <v>0</v>
      </c>
      <c r="AB35" s="2">
        <v>0</v>
      </c>
      <c r="AC35" s="2">
        <v>0</v>
      </c>
      <c r="AD35" s="2">
        <v>485486.971860504</v>
      </c>
      <c r="AE35" s="2">
        <v>2103776.878062185</v>
      </c>
      <c r="AF35" s="2">
        <f>F35-H35-L35-U35-AA35-AC35-AD35</f>
        <v>8049893.45345184</v>
      </c>
      <c r="AG35" s="2">
        <f>F35-H35-L35-U35-AA35-AB35-AD35-Y35</f>
        <v>7616057.214461813</v>
      </c>
      <c r="AH35" s="2">
        <f>AH34+AG35</f>
        <v>67182647.12033443</v>
      </c>
      <c r="AI35" s="2">
        <v>24872238.31697008</v>
      </c>
      <c r="AJ35" s="2">
        <f>AH35-AI35</f>
        <v>42310408.80336435</v>
      </c>
      <c r="AK35" s="3">
        <v>0.25</v>
      </c>
    </row>
    <row r="36" spans="1:37">
      <c r="A36" s="2">
        <v>35</v>
      </c>
      <c r="B36" s="2">
        <v>2029</v>
      </c>
      <c r="C36" s="2">
        <v>105</v>
      </c>
      <c r="D36" s="2">
        <v>371304.391</v>
      </c>
      <c r="E36" s="2">
        <v>38986961.055</v>
      </c>
      <c r="F36" s="2">
        <f>E36/1.19</f>
        <v>32762152.147058826</v>
      </c>
      <c r="G36" s="2">
        <v>20</v>
      </c>
      <c r="H36" s="2">
        <v>1722559.259159664</v>
      </c>
      <c r="I36" s="2">
        <v>152</v>
      </c>
      <c r="J36" s="2">
        <v>13088406.25555029</v>
      </c>
      <c r="K36" s="2">
        <v>9041333.268636717</v>
      </c>
      <c r="L36" s="2">
        <v>3341021.714240937</v>
      </c>
      <c r="M36" s="2">
        <v>4439866.5</v>
      </c>
      <c r="N36" s="3">
        <v>1</v>
      </c>
      <c r="O36" s="3">
        <v>1</v>
      </c>
      <c r="P36" s="2">
        <v>169744</v>
      </c>
      <c r="Q36" s="2">
        <v>286443</v>
      </c>
      <c r="R36" s="2">
        <v>265225</v>
      </c>
      <c r="S36" s="2">
        <v>297052</v>
      </c>
      <c r="T36" s="2">
        <v>1989187.5</v>
      </c>
      <c r="U36" s="2">
        <f>M36+P36+Q36+R36+S36+T36</f>
        <v>7447518.0</v>
      </c>
      <c r="V36" s="2">
        <f>F36-K36-L36-U36</f>
        <v>12932279.164181173</v>
      </c>
      <c r="W36" s="2">
        <v>241262.6767935645</v>
      </c>
      <c r="X36" s="2">
        <v>192573.5621964626</v>
      </c>
      <c r="Y36" s="2">
        <f>W36+X36</f>
        <v>433836.23899002705</v>
      </c>
      <c r="Z36" s="2">
        <v>25233492.58308253</v>
      </c>
      <c r="AA36" s="2">
        <v>0</v>
      </c>
      <c r="AB36" s="2">
        <v>0</v>
      </c>
      <c r="AC36" s="2">
        <v>0</v>
      </c>
      <c r="AD36" s="2">
        <v>-1780118.896821849</v>
      </c>
      <c r="AE36" s="2">
        <v>323657.9812403361</v>
      </c>
      <c r="AF36" s="2">
        <f>F36-H36-L36-U36-AA36-AC36-AD36</f>
        <v>22031172.07048007</v>
      </c>
      <c r="AG36" s="2">
        <f>F36-H36-L36-U36-AA36-AB36-AD36-Y36</f>
        <v>21597335.831490044</v>
      </c>
      <c r="AH36" s="2">
        <f>AH35+AG36</f>
        <v>88779982.95182447</v>
      </c>
      <c r="AI36" s="2">
        <v>24872238.31697008</v>
      </c>
      <c r="AJ36" s="2">
        <f>AH36-AI36</f>
        <v>63907744.63485439</v>
      </c>
      <c r="AK36" s="3">
        <v>0.25</v>
      </c>
    </row>
    <row r="37" spans="1:37">
      <c r="A37" s="2">
        <v>36</v>
      </c>
      <c r="B37" s="2">
        <v>2029</v>
      </c>
      <c r="C37" s="2">
        <v>127</v>
      </c>
      <c r="D37" s="2">
        <v>371304.391</v>
      </c>
      <c r="E37" s="2">
        <v>47155657.657</v>
      </c>
      <c r="F37" s="2">
        <f>E37/1.19</f>
        <v>39626603.07310925</v>
      </c>
      <c r="G37" s="2">
        <v>30</v>
      </c>
      <c r="H37" s="2">
        <v>2583838.888739496</v>
      </c>
      <c r="I37" s="2">
        <v>55</v>
      </c>
      <c r="J37" s="2">
        <v>4736118.03810955</v>
      </c>
      <c r="K37" s="2">
        <v>10936127.10618024</v>
      </c>
      <c r="L37" s="2">
        <v>4041078.851344419</v>
      </c>
      <c r="M37" s="2">
        <v>4439866.5</v>
      </c>
      <c r="N37" s="3">
        <v>1</v>
      </c>
      <c r="O37" s="3">
        <v>1</v>
      </c>
      <c r="P37" s="2">
        <v>169744</v>
      </c>
      <c r="Q37" s="2">
        <v>286443</v>
      </c>
      <c r="R37" s="2">
        <v>265225</v>
      </c>
      <c r="S37" s="2">
        <v>297052</v>
      </c>
      <c r="T37" s="2">
        <v>1989187.5</v>
      </c>
      <c r="U37" s="2">
        <f>M37+P37+Q37+R37+S37+T37</f>
        <v>7447518.0</v>
      </c>
      <c r="V37" s="2">
        <f>F37-K37-L37-U37</f>
        <v>17201879.115584593</v>
      </c>
      <c r="W37" s="2">
        <v>239435.3861372072</v>
      </c>
      <c r="X37" s="2">
        <v>194400.8528528198</v>
      </c>
      <c r="Y37" s="2">
        <f>W37+X37</f>
        <v>433836.23899002705</v>
      </c>
      <c r="Z37" s="2">
        <v>25039091.73022971</v>
      </c>
      <c r="AA37" s="2">
        <v>0</v>
      </c>
      <c r="AB37" s="2">
        <v>13085286.87828292</v>
      </c>
      <c r="AC37" s="2">
        <v>13832818.34495666</v>
      </c>
      <c r="AD37" s="2">
        <v>161828.990620168</v>
      </c>
      <c r="AE37" s="2">
        <v>485486.9718605042</v>
      </c>
      <c r="AF37" s="2">
        <f>F37-H37-L37-U37-AA37-AC37-AD37</f>
        <v>11559519.997448506</v>
      </c>
      <c r="AG37" s="2">
        <f>F37-H37-L37-U37-AA37-AB37-AD37-Y37</f>
        <v>11873215.22513222</v>
      </c>
      <c r="AH37" s="2">
        <f>AH36+AG37</f>
        <v>100653198.17695668</v>
      </c>
      <c r="AI37" s="2">
        <v>24872238.31697008</v>
      </c>
      <c r="AJ37" s="2">
        <f>AH37-AI37</f>
        <v>75780959.8599866</v>
      </c>
      <c r="AK37" s="3">
        <v>0.25</v>
      </c>
    </row>
    <row r="38" spans="1:37">
      <c r="A38" s="2">
        <v>37</v>
      </c>
      <c r="B38" s="2">
        <v>2030</v>
      </c>
      <c r="C38" s="2">
        <v>20</v>
      </c>
      <c r="D38" s="2">
        <v>382443.52273</v>
      </c>
      <c r="E38" s="2">
        <v>7648870.4546</v>
      </c>
      <c r="F38" s="2">
        <f>E38/1.19</f>
        <v>6427622.230756302</v>
      </c>
      <c r="G38" s="2">
        <v>40</v>
      </c>
      <c r="H38" s="2">
        <v>3548472.073868908</v>
      </c>
      <c r="I38" s="2">
        <v>75</v>
      </c>
      <c r="J38" s="2">
        <v>6540465.87787773</v>
      </c>
      <c r="K38" s="2">
        <v>1744124.234100728</v>
      </c>
      <c r="L38" s="2">
        <v>653100.7014580583</v>
      </c>
      <c r="M38" s="2">
        <v>6048243.945</v>
      </c>
      <c r="N38" s="3">
        <v>1.5</v>
      </c>
      <c r="O38" s="3">
        <v>1.5</v>
      </c>
      <c r="P38" s="2">
        <v>196690.86</v>
      </c>
      <c r="Q38" s="2">
        <v>389283.99375</v>
      </c>
      <c r="R38" s="2">
        <v>273181.75</v>
      </c>
      <c r="S38" s="2">
        <v>305963.56</v>
      </c>
      <c r="T38" s="2">
        <v>2663522.0625</v>
      </c>
      <c r="U38" s="2">
        <f>M38+P38+Q38+R38+S38+T38</f>
        <v>9876886.17125</v>
      </c>
      <c r="V38" s="2">
        <f>F38-K38-L38-U38</f>
        <v>-5846488.876052485</v>
      </c>
      <c r="W38" s="2">
        <v>237590.7566981804</v>
      </c>
      <c r="X38" s="2">
        <v>196245.4822918466</v>
      </c>
      <c r="Y38" s="2">
        <f>W38+X38</f>
        <v>433836.23899002705</v>
      </c>
      <c r="Z38" s="2">
        <v>24842846.24793786</v>
      </c>
      <c r="AA38" s="2">
        <v>1639090.5</v>
      </c>
      <c r="AB38" s="2">
        <v>0</v>
      </c>
      <c r="AC38" s="2">
        <v>0</v>
      </c>
      <c r="AD38" s="2">
        <v>181248.4694945883</v>
      </c>
      <c r="AE38" s="2">
        <v>666735.4413550925</v>
      </c>
      <c r="AF38" s="2">
        <f>F38-H38-L38-U38-AA38-AC38-AD38</f>
        <v>-9471175.685315253</v>
      </c>
      <c r="AG38" s="2">
        <f>F38-H38-L38-U38-AA38-AB38-AD38-Y38</f>
        <v>-9905011.92430528</v>
      </c>
      <c r="AH38" s="2">
        <f>AH37+AG38</f>
        <v>90748186.25265141</v>
      </c>
      <c r="AI38" s="2">
        <v>32160342.83072009</v>
      </c>
      <c r="AJ38" s="2">
        <f>AH38-AI38</f>
        <v>58587843.42193133</v>
      </c>
      <c r="AK38" s="3">
        <v>0.25</v>
      </c>
    </row>
    <row r="39" spans="1:37">
      <c r="A39" s="2">
        <v>38</v>
      </c>
      <c r="B39" s="2">
        <v>2030</v>
      </c>
      <c r="C39" s="2">
        <v>29</v>
      </c>
      <c r="D39" s="2">
        <v>382443.52273</v>
      </c>
      <c r="E39" s="2">
        <v>11090862.15917</v>
      </c>
      <c r="F39" s="2">
        <f>E39/1.19</f>
        <v>9320052.23459664</v>
      </c>
      <c r="G39" s="2">
        <v>50</v>
      </c>
      <c r="H39" s="2">
        <v>4435590.092336135</v>
      </c>
      <c r="I39" s="2">
        <v>96</v>
      </c>
      <c r="J39" s="2">
        <v>8429610.985124249</v>
      </c>
      <c r="K39" s="2">
        <v>2546444.985089616</v>
      </c>
      <c r="L39" s="2">
        <v>948393.2047656693</v>
      </c>
      <c r="M39" s="2">
        <v>6048243.945</v>
      </c>
      <c r="N39" s="3">
        <v>1.5</v>
      </c>
      <c r="O39" s="3">
        <v>1.5</v>
      </c>
      <c r="P39" s="2">
        <v>196690.86</v>
      </c>
      <c r="Q39" s="2">
        <v>389283.99375</v>
      </c>
      <c r="R39" s="2">
        <v>273181.75</v>
      </c>
      <c r="S39" s="2">
        <v>305963.56</v>
      </c>
      <c r="T39" s="2">
        <v>2663522.0625</v>
      </c>
      <c r="U39" s="2">
        <f>M39+P39+Q39+R39+S39+T39</f>
        <v>9876886.17125</v>
      </c>
      <c r="V39" s="2">
        <f>F39-K39-L39-U39</f>
        <v>-4051672.1265086466</v>
      </c>
      <c r="W39" s="2">
        <v>235728.6239523657</v>
      </c>
      <c r="X39" s="2">
        <v>198107.6150376613</v>
      </c>
      <c r="Y39" s="2">
        <f>W39+X39</f>
        <v>433836.23899002705</v>
      </c>
      <c r="Z39" s="2">
        <v>24644738.6329002</v>
      </c>
      <c r="AA39" s="2">
        <v>0</v>
      </c>
      <c r="AB39" s="2">
        <v>0</v>
      </c>
      <c r="AC39" s="2">
        <v>0</v>
      </c>
      <c r="AD39" s="2">
        <v>166683.8603387732</v>
      </c>
      <c r="AE39" s="2">
        <v>833419.3016938657</v>
      </c>
      <c r="AF39" s="2">
        <f>F39-H39-L39-U39-AA39-AC39-AD39</f>
        <v>-6107501.094093938</v>
      </c>
      <c r="AG39" s="2">
        <f>F39-H39-L39-U39-AA39-AB39-AD39-Y39</f>
        <v>-6541337.333083966</v>
      </c>
      <c r="AH39" s="2">
        <f>AH38+AG39</f>
        <v>84206848.91956744</v>
      </c>
      <c r="AI39" s="2">
        <v>32160342.83072009</v>
      </c>
      <c r="AJ39" s="2">
        <f>AH39-AI39</f>
        <v>52046506.088847354</v>
      </c>
      <c r="AK39" s="3">
        <v>0.25</v>
      </c>
    </row>
    <row r="40" spans="1:37">
      <c r="A40" s="2">
        <v>39</v>
      </c>
      <c r="B40" s="2">
        <v>2030</v>
      </c>
      <c r="C40" s="2">
        <v>39</v>
      </c>
      <c r="D40" s="2">
        <v>382443.52273</v>
      </c>
      <c r="E40" s="2">
        <v>14915297.38647</v>
      </c>
      <c r="F40" s="2">
        <f>E40/1.19</f>
        <v>12533863.34997479</v>
      </c>
      <c r="G40" s="2">
        <v>60</v>
      </c>
      <c r="H40" s="2">
        <v>5322708.110803362</v>
      </c>
      <c r="I40" s="2">
        <v>117</v>
      </c>
      <c r="J40" s="2">
        <v>10314239.32194571</v>
      </c>
      <c r="K40" s="2">
        <v>3438079.773981903</v>
      </c>
      <c r="L40" s="2">
        <v>1276509.369242052</v>
      </c>
      <c r="M40" s="2">
        <v>6048243.945</v>
      </c>
      <c r="N40" s="3">
        <v>1.5</v>
      </c>
      <c r="O40" s="3">
        <v>1.5</v>
      </c>
      <c r="P40" s="2">
        <v>196690.86</v>
      </c>
      <c r="Q40" s="2">
        <v>389283.99375</v>
      </c>
      <c r="R40" s="2">
        <v>273181.75</v>
      </c>
      <c r="S40" s="2">
        <v>305963.56</v>
      </c>
      <c r="T40" s="2">
        <v>2663522.0625</v>
      </c>
      <c r="U40" s="2">
        <f>M40+P40+Q40+R40+S40+T40</f>
        <v>9876886.17125</v>
      </c>
      <c r="V40" s="2">
        <f>F40-K40-L40-U40</f>
        <v>-2057611.9644991644</v>
      </c>
      <c r="W40" s="2">
        <v>233848.8218145093</v>
      </c>
      <c r="X40" s="2">
        <v>199987.4171755178</v>
      </c>
      <c r="Y40" s="2">
        <f>W40+X40</f>
        <v>433836.23899002705</v>
      </c>
      <c r="Z40" s="2">
        <v>24444751.21572468</v>
      </c>
      <c r="AA40" s="2">
        <v>0</v>
      </c>
      <c r="AB40" s="2">
        <v>0</v>
      </c>
      <c r="AC40" s="2">
        <v>0</v>
      </c>
      <c r="AD40" s="2">
        <v>166683.860338773</v>
      </c>
      <c r="AE40" s="2">
        <v>1000103.162032639</v>
      </c>
      <c r="AF40" s="2">
        <f>F40-H40-L40-U40-AA40-AC40-AD40</f>
        <v>-4108924.1616593967</v>
      </c>
      <c r="AG40" s="2">
        <f>F40-H40-L40-U40-AA40-AB40-AD40-Y40</f>
        <v>-4542760.400649424</v>
      </c>
      <c r="AH40" s="2">
        <f>AH39+AG40</f>
        <v>79664088.51891801</v>
      </c>
      <c r="AI40" s="2">
        <v>32160342.83072009</v>
      </c>
      <c r="AJ40" s="2">
        <f>AH40-AI40</f>
        <v>47503745.688197926</v>
      </c>
      <c r="AK40" s="3">
        <v>0.25</v>
      </c>
    </row>
    <row r="41" spans="1:37">
      <c r="A41" s="2">
        <v>40</v>
      </c>
      <c r="B41" s="2">
        <v>2030</v>
      </c>
      <c r="C41" s="2">
        <v>49</v>
      </c>
      <c r="D41" s="2">
        <v>382443.52273</v>
      </c>
      <c r="E41" s="2">
        <v>18739732.61377</v>
      </c>
      <c r="F41" s="2">
        <f>E41/1.19</f>
        <v>15747674.465352943</v>
      </c>
      <c r="G41" s="2">
        <v>60</v>
      </c>
      <c r="H41" s="2">
        <v>5322708.110803362</v>
      </c>
      <c r="I41" s="2">
        <v>128</v>
      </c>
      <c r="J41" s="2">
        <v>11308074.97961515</v>
      </c>
      <c r="K41" s="2">
        <v>4328872.453133923</v>
      </c>
      <c r="L41" s="2">
        <v>1604558.164939214</v>
      </c>
      <c r="M41" s="2">
        <v>6048243.945</v>
      </c>
      <c r="N41" s="3">
        <v>1.5</v>
      </c>
      <c r="O41" s="3">
        <v>1.5</v>
      </c>
      <c r="P41" s="2">
        <v>196690.86</v>
      </c>
      <c r="Q41" s="2">
        <v>389283.99375</v>
      </c>
      <c r="R41" s="2">
        <v>273181.75</v>
      </c>
      <c r="S41" s="2">
        <v>305963.56</v>
      </c>
      <c r="T41" s="2">
        <v>2663522.0625</v>
      </c>
      <c r="U41" s="2">
        <f>M41+P41+Q41+R41+S41+T41</f>
        <v>9876886.17125</v>
      </c>
      <c r="V41" s="2">
        <f>F41-K41-L41-U41</f>
        <v>-62642.323970194906</v>
      </c>
      <c r="W41" s="2">
        <v>231951.1826234087</v>
      </c>
      <c r="X41" s="2">
        <v>201885.0563666183</v>
      </c>
      <c r="Y41" s="2">
        <f>W41+X41</f>
        <v>433836.23899002705</v>
      </c>
      <c r="Z41" s="2">
        <v>24242866.15935807</v>
      </c>
      <c r="AA41" s="2">
        <v>0</v>
      </c>
      <c r="AB41" s="2">
        <v>0</v>
      </c>
      <c r="AC41" s="2">
        <v>0</v>
      </c>
      <c r="AD41" s="2">
        <v>0</v>
      </c>
      <c r="AE41" s="2">
        <v>1000103.162032639</v>
      </c>
      <c r="AF41" s="2">
        <f>F41-H41-L41-U41-AA41-AC41-AD41</f>
        <v>-1056477.981639633</v>
      </c>
      <c r="AG41" s="2">
        <f>F41-H41-L41-U41-AA41-AB41-AD41-Y41</f>
        <v>-1490314.22062966</v>
      </c>
      <c r="AH41" s="2">
        <f>AH40+AG41</f>
        <v>78173774.29828835</v>
      </c>
      <c r="AI41" s="2">
        <v>32160342.83072009</v>
      </c>
      <c r="AJ41" s="2">
        <f>AH41-AI41</f>
        <v>46013431.46756826</v>
      </c>
      <c r="AK41" s="3">
        <v>0.25</v>
      </c>
    </row>
    <row r="42" spans="1:37">
      <c r="A42" s="2">
        <v>41</v>
      </c>
      <c r="B42" s="2">
        <v>2030</v>
      </c>
      <c r="C42" s="2">
        <v>59</v>
      </c>
      <c r="D42" s="2">
        <v>382443.52273</v>
      </c>
      <c r="E42" s="2">
        <v>22564167.84107</v>
      </c>
      <c r="F42" s="2">
        <f>E42/1.19</f>
        <v>18961485.580731094</v>
      </c>
      <c r="G42" s="2">
        <v>80</v>
      </c>
      <c r="H42" s="2">
        <v>7096944.147737816</v>
      </c>
      <c r="I42" s="2">
        <v>149</v>
      </c>
      <c r="J42" s="2">
        <v>13184364.66334419</v>
      </c>
      <c r="K42" s="2">
        <v>5220654.464008774</v>
      </c>
      <c r="L42" s="2">
        <v>1932686.107174202</v>
      </c>
      <c r="M42" s="2">
        <v>6048243.945</v>
      </c>
      <c r="N42" s="3">
        <v>1.5</v>
      </c>
      <c r="O42" s="3">
        <v>1.5</v>
      </c>
      <c r="P42" s="2">
        <v>196690.86</v>
      </c>
      <c r="Q42" s="2">
        <v>389283.99375</v>
      </c>
      <c r="R42" s="2">
        <v>273181.75</v>
      </c>
      <c r="S42" s="2">
        <v>305963.56</v>
      </c>
      <c r="T42" s="2">
        <v>2663522.0625</v>
      </c>
      <c r="U42" s="2">
        <f>M42+P42+Q42+R42+S42+T42</f>
        <v>9876886.17125</v>
      </c>
      <c r="V42" s="2">
        <f>F42-K42-L42-U42</f>
        <v>1931258.8382981159</v>
      </c>
      <c r="W42" s="2">
        <v>230035.5371269592</v>
      </c>
      <c r="X42" s="2">
        <v>203800.7018630678</v>
      </c>
      <c r="Y42" s="2">
        <f>W42+X42</f>
        <v>433836.23899002705</v>
      </c>
      <c r="Z42" s="2">
        <v>24039065.457495</v>
      </c>
      <c r="AA42" s="2">
        <v>0</v>
      </c>
      <c r="AB42" s="2">
        <v>0</v>
      </c>
      <c r="AC42" s="2">
        <v>0</v>
      </c>
      <c r="AD42" s="2">
        <v>333367.7206775462</v>
      </c>
      <c r="AE42" s="2">
        <v>1333470.882710185</v>
      </c>
      <c r="AF42" s="2">
        <f>F42-H42-L42-U42-AA42-AC42-AD42</f>
        <v>-278398.5661084717</v>
      </c>
      <c r="AG42" s="2">
        <f>F42-H42-L42-U42-AA42-AB42-AD42-Y42</f>
        <v>-712234.8050984987</v>
      </c>
      <c r="AH42" s="2">
        <f>AH41+AG42</f>
        <v>77461539.49318984</v>
      </c>
      <c r="AI42" s="2">
        <v>32160342.83072009</v>
      </c>
      <c r="AJ42" s="2">
        <f>AH42-AI42</f>
        <v>45301196.66246976</v>
      </c>
      <c r="AK42" s="3">
        <v>0.25</v>
      </c>
    </row>
    <row r="43" spans="1:37">
      <c r="A43" s="2">
        <v>42</v>
      </c>
      <c r="B43" s="2">
        <v>2030</v>
      </c>
      <c r="C43" s="2">
        <v>68</v>
      </c>
      <c r="D43" s="2">
        <v>382443.52273</v>
      </c>
      <c r="E43" s="2">
        <v>26006159.54564</v>
      </c>
      <c r="F43" s="2">
        <f>E43/1.19</f>
        <v>21853915.58457143</v>
      </c>
      <c r="G43" s="2">
        <v>100</v>
      </c>
      <c r="H43" s="2">
        <v>8871180.18467227</v>
      </c>
      <c r="I43" s="2">
        <v>181</v>
      </c>
      <c r="J43" s="2">
        <v>16032343.8453453</v>
      </c>
      <c r="K43" s="2">
        <v>6023201.002671162</v>
      </c>
      <c r="L43" s="2">
        <v>2227996.673495693</v>
      </c>
      <c r="M43" s="2">
        <v>6048243.945</v>
      </c>
      <c r="N43" s="3">
        <v>1.5</v>
      </c>
      <c r="O43" s="3">
        <v>1.5</v>
      </c>
      <c r="P43" s="2">
        <v>196690.86</v>
      </c>
      <c r="Q43" s="2">
        <v>389283.99375</v>
      </c>
      <c r="R43" s="2">
        <v>273181.75</v>
      </c>
      <c r="S43" s="2">
        <v>305963.56</v>
      </c>
      <c r="T43" s="2">
        <v>2663522.0625</v>
      </c>
      <c r="U43" s="2">
        <f>M43+P43+Q43+R43+S43+T43</f>
        <v>9876886.17125</v>
      </c>
      <c r="V43" s="2">
        <f>F43-K43-L43-U43</f>
        <v>3725831.737154573</v>
      </c>
      <c r="W43" s="2">
        <v>228101.7144670579</v>
      </c>
      <c r="X43" s="2">
        <v>205734.5245229692</v>
      </c>
      <c r="Y43" s="2">
        <f>W43+X43</f>
        <v>433836.23899002705</v>
      </c>
      <c r="Z43" s="2">
        <v>23833330.93297203</v>
      </c>
      <c r="AA43" s="2">
        <v>0</v>
      </c>
      <c r="AB43" s="2">
        <v>0</v>
      </c>
      <c r="AC43" s="2">
        <v>0</v>
      </c>
      <c r="AD43" s="2">
        <v>333367.7206775465</v>
      </c>
      <c r="AE43" s="2">
        <v>1666838.603387731</v>
      </c>
      <c r="AF43" s="2">
        <f>F43-H43-L43-U43-AA43-AC43-AD43</f>
        <v>544484.8344759184</v>
      </c>
      <c r="AG43" s="2">
        <f>F43-H43-L43-U43-AA43-AB43-AD43-Y43</f>
        <v>110648.59548589139</v>
      </c>
      <c r="AH43" s="2">
        <f>AH42+AG43</f>
        <v>77572188.08867574</v>
      </c>
      <c r="AI43" s="2">
        <v>32160342.83072009</v>
      </c>
      <c r="AJ43" s="2">
        <f>AH43-AI43</f>
        <v>45411845.257955655</v>
      </c>
      <c r="AK43" s="3">
        <v>0.25</v>
      </c>
    </row>
    <row r="44" spans="1:37">
      <c r="A44" s="2">
        <v>43</v>
      </c>
      <c r="B44" s="2">
        <v>2030</v>
      </c>
      <c r="C44" s="2">
        <v>78</v>
      </c>
      <c r="D44" s="2">
        <v>382443.52273</v>
      </c>
      <c r="E44" s="2">
        <v>29830594.77294</v>
      </c>
      <c r="F44" s="2">
        <f>E44/1.19</f>
        <v>25067726.69994958</v>
      </c>
      <c r="G44" s="2">
        <v>110</v>
      </c>
      <c r="H44" s="2">
        <v>9758298.203139497</v>
      </c>
      <c r="I44" s="2">
        <v>213</v>
      </c>
      <c r="J44" s="2">
        <v>18877686.44786</v>
      </c>
      <c r="K44" s="2">
        <v>6912955.60062479</v>
      </c>
      <c r="L44" s="2">
        <v>2555962.422696983</v>
      </c>
      <c r="M44" s="2">
        <v>6048243.945</v>
      </c>
      <c r="N44" s="3">
        <v>1.5</v>
      </c>
      <c r="O44" s="3">
        <v>1.5</v>
      </c>
      <c r="P44" s="2">
        <v>196690.86</v>
      </c>
      <c r="Q44" s="2">
        <v>389283.99375</v>
      </c>
      <c r="R44" s="2">
        <v>273181.75</v>
      </c>
      <c r="S44" s="2">
        <v>305963.56</v>
      </c>
      <c r="T44" s="2">
        <v>2663522.0625</v>
      </c>
      <c r="U44" s="2">
        <f>M44+P44+Q44+R44+S44+T44</f>
        <v>9876886.17125</v>
      </c>
      <c r="V44" s="2">
        <f>F44-K44-L44-U44</f>
        <v>5721922.505377809</v>
      </c>
      <c r="W44" s="2">
        <v>226149.5421643645</v>
      </c>
      <c r="X44" s="2">
        <v>207686.6968256625</v>
      </c>
      <c r="Y44" s="2">
        <f>W44+X44</f>
        <v>433836.23899002705</v>
      </c>
      <c r="Z44" s="2">
        <v>23625644.23614637</v>
      </c>
      <c r="AA44" s="2">
        <v>0</v>
      </c>
      <c r="AB44" s="2">
        <v>0</v>
      </c>
      <c r="AC44" s="2">
        <v>0</v>
      </c>
      <c r="AD44" s="2">
        <v>166683.8603387729</v>
      </c>
      <c r="AE44" s="2">
        <v>1833522.463726504</v>
      </c>
      <c r="AF44" s="2">
        <f>F44-H44-L44-U44-AA44-AC44-AD44</f>
        <v>2709896.0425243275</v>
      </c>
      <c r="AG44" s="2">
        <f>F44-H44-L44-U44-AA44-AB44-AD44-Y44</f>
        <v>2276059.8035343005</v>
      </c>
      <c r="AH44" s="2">
        <f>AH43+AG44</f>
        <v>79848247.89221004</v>
      </c>
      <c r="AI44" s="2">
        <v>32160342.83072009</v>
      </c>
      <c r="AJ44" s="2">
        <f>AH44-AI44</f>
        <v>47687905.061489955</v>
      </c>
      <c r="AK44" s="3">
        <v>0.25</v>
      </c>
    </row>
    <row r="45" spans="1:37">
      <c r="A45" s="2">
        <v>44</v>
      </c>
      <c r="B45" s="2">
        <v>2030</v>
      </c>
      <c r="C45" s="2">
        <v>97</v>
      </c>
      <c r="D45" s="2">
        <v>382443.52273</v>
      </c>
      <c r="E45" s="2">
        <v>37097021.70481</v>
      </c>
      <c r="F45" s="2">
        <f>E45/1.19</f>
        <v>31173967.81916807</v>
      </c>
      <c r="G45" s="2">
        <v>120</v>
      </c>
      <c r="H45" s="2">
        <v>10645416.22160672</v>
      </c>
      <c r="I45" s="2">
        <v>236</v>
      </c>
      <c r="J45" s="2">
        <v>20923279.9699524</v>
      </c>
      <c r="K45" s="2">
        <v>8599822.699514331</v>
      </c>
      <c r="L45" s="2">
        <v>3178804.015201647</v>
      </c>
      <c r="M45" s="2">
        <v>6048243.945</v>
      </c>
      <c r="N45" s="3">
        <v>1.5</v>
      </c>
      <c r="O45" s="3">
        <v>1.5</v>
      </c>
      <c r="P45" s="2">
        <v>196690.86</v>
      </c>
      <c r="Q45" s="2">
        <v>389283.99375</v>
      </c>
      <c r="R45" s="2">
        <v>273181.75</v>
      </c>
      <c r="S45" s="2">
        <v>305963.56</v>
      </c>
      <c r="T45" s="2">
        <v>2663522.0625</v>
      </c>
      <c r="U45" s="2">
        <f>M45+P45+Q45+R45+S45+T45</f>
        <v>9876886.17125</v>
      </c>
      <c r="V45" s="2">
        <f>F45-K45-L45-U45</f>
        <v>9518454.933202092</v>
      </c>
      <c r="W45" s="2">
        <v>224178.8461029183</v>
      </c>
      <c r="X45" s="2">
        <v>209657.3928871087</v>
      </c>
      <c r="Y45" s="2">
        <f>W45+X45</f>
        <v>433836.23899002705</v>
      </c>
      <c r="Z45" s="2">
        <v>23415986.84325926</v>
      </c>
      <c r="AA45" s="2">
        <v>0</v>
      </c>
      <c r="AB45" s="2">
        <v>0</v>
      </c>
      <c r="AC45" s="2">
        <v>0</v>
      </c>
      <c r="AD45" s="2">
        <v>166683.8603387731</v>
      </c>
      <c r="AE45" s="2">
        <v>2000206.324065277</v>
      </c>
      <c r="AF45" s="2">
        <f>F45-H45-L45-U45-AA45-AC45-AD45</f>
        <v>7306177.5507709235</v>
      </c>
      <c r="AG45" s="2">
        <f>F45-H45-L45-U45-AA45-AB45-AD45-Y45</f>
        <v>6872341.311780896</v>
      </c>
      <c r="AH45" s="2">
        <f>AH44+AG45</f>
        <v>86720589.20399094</v>
      </c>
      <c r="AI45" s="2">
        <v>32160342.83072009</v>
      </c>
      <c r="AJ45" s="2">
        <f>AH45-AI45</f>
        <v>54560246.373270854</v>
      </c>
      <c r="AK45" s="3">
        <v>0.25</v>
      </c>
    </row>
    <row r="46" spans="1:37">
      <c r="A46" s="2">
        <v>45</v>
      </c>
      <c r="B46" s="2">
        <v>2030</v>
      </c>
      <c r="C46" s="2">
        <v>107</v>
      </c>
      <c r="D46" s="2">
        <v>382443.52273</v>
      </c>
      <c r="E46" s="2">
        <v>40921456.93211</v>
      </c>
      <c r="F46" s="2">
        <f>E46/1.19</f>
        <v>34387778.93454622</v>
      </c>
      <c r="G46" s="2">
        <v>140</v>
      </c>
      <c r="H46" s="2">
        <v>12419652.25854118</v>
      </c>
      <c r="I46" s="2">
        <v>269</v>
      </c>
      <c r="J46" s="2">
        <v>23854385.02517226</v>
      </c>
      <c r="K46" s="2">
        <v>9488547.20332131</v>
      </c>
      <c r="L46" s="2">
        <v>3506687.356871204</v>
      </c>
      <c r="M46" s="2">
        <v>6048243.945</v>
      </c>
      <c r="N46" s="3">
        <v>1.5</v>
      </c>
      <c r="O46" s="3">
        <v>1.5</v>
      </c>
      <c r="P46" s="2">
        <v>196690.86</v>
      </c>
      <c r="Q46" s="2">
        <v>389283.99375</v>
      </c>
      <c r="R46" s="2">
        <v>273181.75</v>
      </c>
      <c r="S46" s="2">
        <v>305963.56</v>
      </c>
      <c r="T46" s="2">
        <v>2663522.0625</v>
      </c>
      <c r="U46" s="2">
        <f>M46+P46+Q46+R46+S46+T46</f>
        <v>9876886.17125</v>
      </c>
      <c r="V46" s="2">
        <f>F46-K46-L46-U46</f>
        <v>11515658.203103706</v>
      </c>
      <c r="W46" s="2">
        <v>222189.450514608</v>
      </c>
      <c r="X46" s="2">
        <v>211646.788475419</v>
      </c>
      <c r="Y46" s="2">
        <f>W46+X46</f>
        <v>433836.23899002705</v>
      </c>
      <c r="Z46" s="2">
        <v>23204340.05478384</v>
      </c>
      <c r="AA46" s="2">
        <v>0</v>
      </c>
      <c r="AB46" s="2">
        <v>0</v>
      </c>
      <c r="AC46" s="2">
        <v>0</v>
      </c>
      <c r="AD46" s="2">
        <v>333367.7206775467</v>
      </c>
      <c r="AE46" s="2">
        <v>2333574.044742824</v>
      </c>
      <c r="AF46" s="2">
        <f>F46-H46-L46-U46-AA46-AC46-AD46</f>
        <v>8251185.427206285</v>
      </c>
      <c r="AG46" s="2">
        <f>F46-H46-L46-U46-AA46-AB46-AD46-Y46</f>
        <v>7817349.188216258</v>
      </c>
      <c r="AH46" s="2">
        <f>AH45+AG46</f>
        <v>94537938.39220719</v>
      </c>
      <c r="AI46" s="2">
        <v>32160342.83072009</v>
      </c>
      <c r="AJ46" s="2">
        <f>AH46-AI46</f>
        <v>62377595.56148711</v>
      </c>
      <c r="AK46" s="3">
        <v>0.25</v>
      </c>
    </row>
    <row r="47" spans="1:37">
      <c r="A47" s="2">
        <v>46</v>
      </c>
      <c r="B47" s="2">
        <v>2030</v>
      </c>
      <c r="C47" s="2">
        <v>127</v>
      </c>
      <c r="D47" s="2">
        <v>382443.52273</v>
      </c>
      <c r="E47" s="2">
        <v>48570327.38671</v>
      </c>
      <c r="F47" s="2">
        <f>E47/1.19</f>
        <v>40815401.16530252</v>
      </c>
      <c r="G47" s="2">
        <v>160</v>
      </c>
      <c r="H47" s="2">
        <v>14193888.29547563</v>
      </c>
      <c r="I47" s="2">
        <v>302</v>
      </c>
      <c r="J47" s="2">
        <v>26784565.3679153</v>
      </c>
      <c r="K47" s="2">
        <v>11263707.95273259</v>
      </c>
      <c r="L47" s="2">
        <v>4162270.979554107</v>
      </c>
      <c r="M47" s="2">
        <v>6048243.945</v>
      </c>
      <c r="N47" s="3">
        <v>1.5</v>
      </c>
      <c r="O47" s="3">
        <v>1.5</v>
      </c>
      <c r="P47" s="2">
        <v>196690.86</v>
      </c>
      <c r="Q47" s="2">
        <v>389283.99375</v>
      </c>
      <c r="R47" s="2">
        <v>273181.75</v>
      </c>
      <c r="S47" s="2">
        <v>305963.56</v>
      </c>
      <c r="T47" s="2">
        <v>2663522.0625</v>
      </c>
      <c r="U47" s="2">
        <f>M47+P47+Q47+R47+S47+T47</f>
        <v>9876886.17125</v>
      </c>
      <c r="V47" s="2">
        <f>F47-K47-L47-U47</f>
        <v>15512536.06176582</v>
      </c>
      <c r="W47" s="2">
        <v>220181.1779634953</v>
      </c>
      <c r="X47" s="2">
        <v>213655.0610265318</v>
      </c>
      <c r="Y47" s="2">
        <f>W47+X47</f>
        <v>433836.23899002705</v>
      </c>
      <c r="Z47" s="2">
        <v>22990684.99375731</v>
      </c>
      <c r="AA47" s="2">
        <v>0</v>
      </c>
      <c r="AB47" s="2">
        <v>0</v>
      </c>
      <c r="AC47" s="2">
        <v>0</v>
      </c>
      <c r="AD47" s="2">
        <v>333367.7206775458</v>
      </c>
      <c r="AE47" s="2">
        <v>2666941.76542037</v>
      </c>
      <c r="AF47" s="2">
        <f>F47-H47-L47-U47-AA47-AC47-AD47</f>
        <v>12248987.998345235</v>
      </c>
      <c r="AG47" s="2">
        <f>F47-H47-L47-U47-AA47-AB47-AD47-Y47</f>
        <v>11815151.759355208</v>
      </c>
      <c r="AH47" s="2">
        <f>AH46+AG47</f>
        <v>106353090.1515624</v>
      </c>
      <c r="AI47" s="2">
        <v>32160342.83072009</v>
      </c>
      <c r="AJ47" s="2">
        <f>AH47-AI47</f>
        <v>74192747.32084231</v>
      </c>
      <c r="AK47" s="3">
        <v>0.25</v>
      </c>
    </row>
    <row r="48" spans="1:37">
      <c r="A48" s="2">
        <v>47</v>
      </c>
      <c r="B48" s="2">
        <v>2030</v>
      </c>
      <c r="C48" s="2">
        <v>136</v>
      </c>
      <c r="D48" s="2">
        <v>382443.52273</v>
      </c>
      <c r="E48" s="2">
        <v>52012319.09128</v>
      </c>
      <c r="F48" s="2">
        <f>E48/1.19</f>
        <v>43707831.16914286</v>
      </c>
      <c r="G48" s="2">
        <v>30</v>
      </c>
      <c r="H48" s="2">
        <v>2661354.055401681</v>
      </c>
      <c r="I48" s="2">
        <v>196</v>
      </c>
      <c r="J48" s="2">
        <v>17383735.56316304</v>
      </c>
      <c r="K48" s="2">
        <v>12062183.86015395</v>
      </c>
      <c r="L48" s="2">
        <v>4457255.895376315</v>
      </c>
      <c r="M48" s="2">
        <v>6048243.945</v>
      </c>
      <c r="N48" s="3">
        <v>1.5</v>
      </c>
      <c r="O48" s="3">
        <v>1.5</v>
      </c>
      <c r="P48" s="2">
        <v>196690.86</v>
      </c>
      <c r="Q48" s="2">
        <v>389283.99375</v>
      </c>
      <c r="R48" s="2">
        <v>273181.75</v>
      </c>
      <c r="S48" s="2">
        <v>305963.56</v>
      </c>
      <c r="T48" s="2">
        <v>2663522.0625</v>
      </c>
      <c r="U48" s="2">
        <f>M48+P48+Q48+R48+S48+T48</f>
        <v>9876886.17125</v>
      </c>
      <c r="V48" s="2">
        <f>F48-K48-L48-U48</f>
        <v>17311505.242362596</v>
      </c>
      <c r="W48" s="2">
        <v>218153.8493299888</v>
      </c>
      <c r="X48" s="2">
        <v>215682.3896600383</v>
      </c>
      <c r="Y48" s="2">
        <f>W48+X48</f>
        <v>433836.23899002705</v>
      </c>
      <c r="Z48" s="2">
        <v>22775002.60409727</v>
      </c>
      <c r="AA48" s="2">
        <v>0</v>
      </c>
      <c r="AB48" s="2">
        <v>0</v>
      </c>
      <c r="AC48" s="2">
        <v>0</v>
      </c>
      <c r="AD48" s="2">
        <v>-2166890.18440405</v>
      </c>
      <c r="AE48" s="2">
        <v>500051.5810163193</v>
      </c>
      <c r="AF48" s="2">
        <f>F48-H48-L48-U48-AA48-AC48-AD48</f>
        <v>28879225.231518906</v>
      </c>
      <c r="AG48" s="2">
        <f>F48-H48-L48-U48-AA48-AB48-AD48-Y48</f>
        <v>28445388.99252888</v>
      </c>
      <c r="AH48" s="2">
        <f>AH47+AG48</f>
        <v>134798479.14409128</v>
      </c>
      <c r="AI48" s="2">
        <v>32160342.83072009</v>
      </c>
      <c r="AJ48" s="2">
        <f>AH48-AI48</f>
        <v>102638136.3133712</v>
      </c>
      <c r="AK48" s="3">
        <v>0.25</v>
      </c>
    </row>
    <row r="49" spans="1:37">
      <c r="A49" s="2">
        <v>48</v>
      </c>
      <c r="B49" s="2">
        <v>2030</v>
      </c>
      <c r="C49" s="2">
        <v>166</v>
      </c>
      <c r="D49" s="2">
        <v>382443.52273</v>
      </c>
      <c r="E49" s="2">
        <v>63485624.77318</v>
      </c>
      <c r="F49" s="2">
        <f>E49/1.19</f>
        <v>53349264.51527731</v>
      </c>
      <c r="G49" s="2">
        <v>40</v>
      </c>
      <c r="H49" s="2">
        <v>3548472.073868908</v>
      </c>
      <c r="I49" s="2">
        <v>70</v>
      </c>
      <c r="J49" s="2">
        <v>6208705.65505185</v>
      </c>
      <c r="K49" s="2">
        <v>14723501.9819801</v>
      </c>
      <c r="L49" s="2">
        <v>5440517.489217408</v>
      </c>
      <c r="M49" s="2">
        <v>6048243.945</v>
      </c>
      <c r="N49" s="3">
        <v>1.5</v>
      </c>
      <c r="O49" s="3">
        <v>1.5</v>
      </c>
      <c r="P49" s="2">
        <v>196690.86</v>
      </c>
      <c r="Q49" s="2">
        <v>389283.99375</v>
      </c>
      <c r="R49" s="2">
        <v>273181.75</v>
      </c>
      <c r="S49" s="2">
        <v>305963.56</v>
      </c>
      <c r="T49" s="2">
        <v>2663522.0625</v>
      </c>
      <c r="U49" s="2">
        <f>M49+P49+Q49+R49+S49+T49</f>
        <v>9876886.17125</v>
      </c>
      <c r="V49" s="2">
        <f>F49-K49-L49-U49</f>
        <v>23308358.872829802</v>
      </c>
      <c r="W49" s="2">
        <v>216107.2837948687</v>
      </c>
      <c r="X49" s="2">
        <v>217728.9551951584</v>
      </c>
      <c r="Y49" s="2">
        <f>W49+X49</f>
        <v>433836.23899002705</v>
      </c>
      <c r="Z49" s="2">
        <v>22557273.64890211</v>
      </c>
      <c r="AA49" s="2">
        <v>0</v>
      </c>
      <c r="AB49" s="2">
        <v>17672804.04989225</v>
      </c>
      <c r="AC49" s="2">
        <v>18353858.24653043</v>
      </c>
      <c r="AD49" s="2">
        <v>166683.8603387731</v>
      </c>
      <c r="AE49" s="2">
        <v>666735.4413550925</v>
      </c>
      <c r="AF49" s="2">
        <f>F49-H49-L49-U49-AA49-AC49-AD49</f>
        <v>15962846.674071793</v>
      </c>
      <c r="AG49" s="2">
        <f>F49-H49-L49-U49-AA49-AB49-AD49-Y49</f>
        <v>16210064.631719947</v>
      </c>
      <c r="AH49" s="2">
        <f>AH48+AG49</f>
        <v>151008543.77581123</v>
      </c>
      <c r="AI49" s="2">
        <v>32160342.83072009</v>
      </c>
      <c r="AJ49" s="2">
        <f>AH49-AI49</f>
        <v>118848200.94509114</v>
      </c>
      <c r="AK49" s="3">
        <v>0.25</v>
      </c>
    </row>
    <row r="50" spans="1:37">
      <c r="A50" s="2">
        <v>49</v>
      </c>
      <c r="B50" s="2">
        <v>2031</v>
      </c>
      <c r="C50" s="2">
        <v>26</v>
      </c>
      <c r="D50" s="2">
        <v>393916.8284119</v>
      </c>
      <c r="E50" s="2">
        <v>10241837.5387094</v>
      </c>
      <c r="F50" s="2">
        <f>E50/1.19</f>
        <v>8606586.166982692</v>
      </c>
      <c r="G50" s="2">
        <v>50</v>
      </c>
      <c r="H50" s="2">
        <v>4568657.79510622</v>
      </c>
      <c r="I50" s="2">
        <v>94</v>
      </c>
      <c r="J50" s="2">
        <v>8442268.035957154</v>
      </c>
      <c r="K50" s="2">
        <v>2335095.414200915</v>
      </c>
      <c r="L50" s="2">
        <v>874478.8844315434</v>
      </c>
      <c r="M50" s="2">
        <v>8470860.681262502</v>
      </c>
      <c r="N50" s="3">
        <v>2</v>
      </c>
      <c r="O50" s="3">
        <v>2.5</v>
      </c>
      <c r="P50" s="2">
        <v>236356.8501</v>
      </c>
      <c r="Q50" s="2">
        <v>527582.2546875001</v>
      </c>
      <c r="R50" s="2">
        <v>281377.2025</v>
      </c>
      <c r="S50" s="2">
        <v>315142.4668000001</v>
      </c>
      <c r="T50" s="2">
        <v>3587559.331875</v>
      </c>
      <c r="U50" s="2">
        <f>M50+P50+Q50+R50+S50+T50</f>
        <v>13418878.787225002</v>
      </c>
      <c r="V50" s="2">
        <f>F50-K50-L50-U50</f>
        <v>-8021866.9188747695</v>
      </c>
      <c r="W50" s="2">
        <v>214041.2988231587</v>
      </c>
      <c r="X50" s="2">
        <v>219794.9401668684</v>
      </c>
      <c r="Y50" s="2">
        <f>W50+X50</f>
        <v>433836.23899002705</v>
      </c>
      <c r="Z50" s="2">
        <v>22337478.70873524</v>
      </c>
      <c r="AA50" s="2">
        <v>0</v>
      </c>
      <c r="AB50" s="2">
        <v>0</v>
      </c>
      <c r="AC50" s="2">
        <v>0</v>
      </c>
      <c r="AD50" s="2">
        <v>191686.4393895894</v>
      </c>
      <c r="AE50" s="2">
        <v>858421.8807446818</v>
      </c>
      <c r="AF50" s="2">
        <f>F50-H50-L50-U50-AA50-AC50-AD50</f>
        <v>-10447115.739169665</v>
      </c>
      <c r="AG50" s="2">
        <f>F50-H50-L50-U50-AA50-AB50-AD50-Y50</f>
        <v>-10880951.978159692</v>
      </c>
      <c r="AH50" s="2">
        <f>AH49+AG50</f>
        <v>140127591.79765153</v>
      </c>
      <c r="AI50" s="2">
        <v>42786320.67864509</v>
      </c>
      <c r="AJ50" s="2">
        <f>AH50-AI50</f>
        <v>97341271.11900644</v>
      </c>
      <c r="AK50" s="3">
        <v>0.25</v>
      </c>
    </row>
    <row r="51" spans="1:37">
      <c r="A51" s="2">
        <v>50</v>
      </c>
      <c r="B51" s="2">
        <v>2031</v>
      </c>
      <c r="C51" s="2">
        <v>38</v>
      </c>
      <c r="D51" s="2">
        <v>393916.8284119</v>
      </c>
      <c r="E51" s="2">
        <v>14968839.4796522</v>
      </c>
      <c r="F51" s="2">
        <f>E51/1.19</f>
        <v>12578856.705590086</v>
      </c>
      <c r="G51" s="2">
        <v>60</v>
      </c>
      <c r="H51" s="2">
        <v>5482389.354127463</v>
      </c>
      <c r="I51" s="2">
        <v>116</v>
      </c>
      <c r="J51" s="2">
        <v>10488702.96915465</v>
      </c>
      <c r="K51" s="2">
        <v>3435954.420929971</v>
      </c>
      <c r="L51" s="2">
        <v>1279934.336337008</v>
      </c>
      <c r="M51" s="2">
        <v>8470860.681262502</v>
      </c>
      <c r="N51" s="3">
        <v>2</v>
      </c>
      <c r="O51" s="3">
        <v>2.5</v>
      </c>
      <c r="P51" s="2">
        <v>236356.8501</v>
      </c>
      <c r="Q51" s="2">
        <v>527582.2546875001</v>
      </c>
      <c r="R51" s="2">
        <v>281377.2025</v>
      </c>
      <c r="S51" s="2">
        <v>315142.4668000001</v>
      </c>
      <c r="T51" s="2">
        <v>3587559.331875</v>
      </c>
      <c r="U51" s="2">
        <f>M51+P51+Q51+R51+S51+T51</f>
        <v>13418878.787225002</v>
      </c>
      <c r="V51" s="2">
        <f>F51-K51-L51-U51</f>
        <v>-5555910.838901894</v>
      </c>
      <c r="W51" s="2">
        <v>211955.7101478462</v>
      </c>
      <c r="X51" s="2">
        <v>221880.5288421809</v>
      </c>
      <c r="Y51" s="2">
        <f>W51+X51</f>
        <v>433836.23899002705</v>
      </c>
      <c r="Z51" s="2">
        <v>22115598.17989306</v>
      </c>
      <c r="AA51" s="2">
        <v>0</v>
      </c>
      <c r="AB51" s="2">
        <v>0</v>
      </c>
      <c r="AC51" s="2">
        <v>0</v>
      </c>
      <c r="AD51" s="2">
        <v>171684.3761489362</v>
      </c>
      <c r="AE51" s="2">
        <v>1030106.256893618</v>
      </c>
      <c r="AF51" s="2">
        <f>F51-H51-L51-U51-AA51-AC51-AD51</f>
        <v>-7774030.148248323</v>
      </c>
      <c r="AG51" s="2">
        <f>F51-H51-L51-U51-AA51-AB51-AD51-Y51</f>
        <v>-8207866.387238351</v>
      </c>
      <c r="AH51" s="2">
        <f>AH50+AG51</f>
        <v>131919725.41041318</v>
      </c>
      <c r="AI51" s="2">
        <v>42786320.67864509</v>
      </c>
      <c r="AJ51" s="2">
        <f>AH51-AI51</f>
        <v>89133404.73176809</v>
      </c>
      <c r="AK51" s="3">
        <v>0.25</v>
      </c>
    </row>
    <row r="52" spans="1:37">
      <c r="A52" s="2">
        <v>51</v>
      </c>
      <c r="B52" s="2">
        <v>2031</v>
      </c>
      <c r="C52" s="2">
        <v>51</v>
      </c>
      <c r="D52" s="2">
        <v>393916.8284119</v>
      </c>
      <c r="E52" s="2">
        <v>20089758.2490069</v>
      </c>
      <c r="F52" s="2">
        <f>E52/1.19</f>
        <v>16882149.789081432</v>
      </c>
      <c r="G52" s="2">
        <v>80</v>
      </c>
      <c r="H52" s="2">
        <v>7309852.472169951</v>
      </c>
      <c r="I52" s="2">
        <v>145</v>
      </c>
      <c r="J52" s="2">
        <v>13167298.66832687</v>
      </c>
      <c r="K52" s="2">
        <v>4631256.772997728</v>
      </c>
      <c r="L52" s="2">
        <v>1719394.150150164</v>
      </c>
      <c r="M52" s="2">
        <v>8470860.681262502</v>
      </c>
      <c r="N52" s="3">
        <v>2</v>
      </c>
      <c r="O52" s="3">
        <v>2.5</v>
      </c>
      <c r="P52" s="2">
        <v>236356.8501</v>
      </c>
      <c r="Q52" s="2">
        <v>527582.2546875001</v>
      </c>
      <c r="R52" s="2">
        <v>281377.2025</v>
      </c>
      <c r="S52" s="2">
        <v>315142.4668000001</v>
      </c>
      <c r="T52" s="2">
        <v>3587559.331875</v>
      </c>
      <c r="U52" s="2">
        <f>M52+P52+Q52+R52+S52+T52</f>
        <v>13418878.787225002</v>
      </c>
      <c r="V52" s="2">
        <f>F52-K52-L52-U52</f>
        <v>-2887379.921291461</v>
      </c>
      <c r="W52" s="2">
        <v>209850.331753447</v>
      </c>
      <c r="X52" s="2">
        <v>223985.9072365801</v>
      </c>
      <c r="Y52" s="2">
        <f>W52+X52</f>
        <v>433836.23899002705</v>
      </c>
      <c r="Z52" s="2">
        <v>21891612.27265648</v>
      </c>
      <c r="AA52" s="2">
        <v>0</v>
      </c>
      <c r="AB52" s="2">
        <v>0</v>
      </c>
      <c r="AC52" s="2">
        <v>0</v>
      </c>
      <c r="AD52" s="2">
        <v>343368.7522978727</v>
      </c>
      <c r="AE52" s="2">
        <v>1373475.009191491</v>
      </c>
      <c r="AF52" s="2">
        <f>F52-H52-L52-U52-AA52-AC52-AD52</f>
        <v>-5909344.372761557</v>
      </c>
      <c r="AG52" s="2">
        <f>F52-H52-L52-U52-AA52-AB52-AD52-Y52</f>
        <v>-6343180.611751584</v>
      </c>
      <c r="AH52" s="2">
        <f>AH51+AG52</f>
        <v>125576544.79866159</v>
      </c>
      <c r="AI52" s="2">
        <v>42786320.67864509</v>
      </c>
      <c r="AJ52" s="2">
        <f>AH52-AI52</f>
        <v>82790224.1200165</v>
      </c>
      <c r="AK52" s="3">
        <v>0.25</v>
      </c>
    </row>
    <row r="53" spans="1:37">
      <c r="A53" s="2">
        <v>52</v>
      </c>
      <c r="B53" s="2">
        <v>2031</v>
      </c>
      <c r="C53" s="2">
        <v>64</v>
      </c>
      <c r="D53" s="2">
        <v>393916.8284119</v>
      </c>
      <c r="E53" s="2">
        <v>25210677.0183616</v>
      </c>
      <c r="F53" s="2">
        <f>E53/1.19</f>
        <v>21185442.872572776</v>
      </c>
      <c r="G53" s="2">
        <v>90</v>
      </c>
      <c r="H53" s="2">
        <v>8223584.031191195</v>
      </c>
      <c r="I53" s="2">
        <v>171</v>
      </c>
      <c r="J53" s="2">
        <v>15565280.60262804</v>
      </c>
      <c r="K53" s="2">
        <v>5825602.096890027</v>
      </c>
      <c r="L53" s="2">
        <v>2158777.401709282</v>
      </c>
      <c r="M53" s="2">
        <v>8470860.681262502</v>
      </c>
      <c r="N53" s="3">
        <v>2</v>
      </c>
      <c r="O53" s="3">
        <v>2.5</v>
      </c>
      <c r="P53" s="2">
        <v>236356.8501</v>
      </c>
      <c r="Q53" s="2">
        <v>527582.2546875001</v>
      </c>
      <c r="R53" s="2">
        <v>281377.2025</v>
      </c>
      <c r="S53" s="2">
        <v>315142.4668000001</v>
      </c>
      <c r="T53" s="2">
        <v>3587559.331875</v>
      </c>
      <c r="U53" s="2">
        <f>M53+P53+Q53+R53+S53+T53</f>
        <v>13418878.787225002</v>
      </c>
      <c r="V53" s="2">
        <f>F53-K53-L53-U53</f>
        <v>-217815.41325153597</v>
      </c>
      <c r="W53" s="2">
        <v>207724.9758594143</v>
      </c>
      <c r="X53" s="2">
        <v>226111.2631306127</v>
      </c>
      <c r="Y53" s="2">
        <f>W53+X53</f>
        <v>433836.23899002705</v>
      </c>
      <c r="Z53" s="2">
        <v>21665501.00952587</v>
      </c>
      <c r="AA53" s="2">
        <v>0</v>
      </c>
      <c r="AB53" s="2">
        <v>0</v>
      </c>
      <c r="AC53" s="2">
        <v>0</v>
      </c>
      <c r="AD53" s="2">
        <v>171684.3761489363</v>
      </c>
      <c r="AE53" s="2">
        <v>1545159.385340427</v>
      </c>
      <c r="AF53" s="2">
        <f>F53-H53-L53-U53-AA53-AC53-AD53</f>
        <v>-2787481.723701642</v>
      </c>
      <c r="AG53" s="2">
        <f>F53-H53-L53-U53-AA53-AB53-AD53-Y53</f>
        <v>-3221317.962691669</v>
      </c>
      <c r="AH53" s="2">
        <f>AH52+AG53</f>
        <v>122355226.83596992</v>
      </c>
      <c r="AI53" s="2">
        <v>42786320.67864509</v>
      </c>
      <c r="AJ53" s="2">
        <f>AH53-AI53</f>
        <v>79568906.15732484</v>
      </c>
      <c r="AK53" s="3">
        <v>0.25</v>
      </c>
    </row>
    <row r="54" spans="1:37">
      <c r="A54" s="2">
        <v>53</v>
      </c>
      <c r="B54" s="2">
        <v>2031</v>
      </c>
      <c r="C54" s="2">
        <v>77</v>
      </c>
      <c r="D54" s="2">
        <v>393916.8284119</v>
      </c>
      <c r="E54" s="2">
        <v>30331595.7877163</v>
      </c>
      <c r="F54" s="2">
        <f>E54/1.19</f>
        <v>25488735.95606412</v>
      </c>
      <c r="G54" s="2">
        <v>100</v>
      </c>
      <c r="H54" s="2">
        <v>9137315.59021244</v>
      </c>
      <c r="I54" s="2">
        <v>194</v>
      </c>
      <c r="J54" s="2">
        <v>17683777.34838027</v>
      </c>
      <c r="K54" s="2">
        <v>7018818.84446021</v>
      </c>
      <c r="L54" s="2">
        <v>2598070.367162632</v>
      </c>
      <c r="M54" s="2">
        <v>8470860.681262502</v>
      </c>
      <c r="N54" s="3">
        <v>2</v>
      </c>
      <c r="O54" s="3">
        <v>2.5</v>
      </c>
      <c r="P54" s="2">
        <v>236356.8501</v>
      </c>
      <c r="Q54" s="2">
        <v>527582.2546875001</v>
      </c>
      <c r="R54" s="2">
        <v>281377.2025</v>
      </c>
      <c r="S54" s="2">
        <v>315142.4668000001</v>
      </c>
      <c r="T54" s="2">
        <v>3587559.331875</v>
      </c>
      <c r="U54" s="2">
        <f>M54+P54+Q54+R54+S54+T54</f>
        <v>13418878.787225002</v>
      </c>
      <c r="V54" s="2">
        <f>F54-K54-L54-U54</f>
        <v>2452967.957216274</v>
      </c>
      <c r="W54" s="2">
        <v>205579.4529033909</v>
      </c>
      <c r="X54" s="2">
        <v>228256.7860866361</v>
      </c>
      <c r="Y54" s="2">
        <f>W54+X54</f>
        <v>433836.23899002705</v>
      </c>
      <c r="Z54" s="2">
        <v>21437244.22343923</v>
      </c>
      <c r="AA54" s="2">
        <v>0</v>
      </c>
      <c r="AB54" s="2">
        <v>0</v>
      </c>
      <c r="AC54" s="2">
        <v>0</v>
      </c>
      <c r="AD54" s="2">
        <v>171684.3761489366</v>
      </c>
      <c r="AE54" s="2">
        <v>1716843.761489364</v>
      </c>
      <c r="AF54" s="2">
        <f>F54-H54-L54-U54-AA54-AC54-AD54</f>
        <v>162786.835315109</v>
      </c>
      <c r="AG54" s="2">
        <f>F54-H54-L54-U54-AA54-AB54-AD54-Y54</f>
        <v>-271049.40367491805</v>
      </c>
      <c r="AH54" s="2">
        <f>AH53+AG54</f>
        <v>122084177.43229501</v>
      </c>
      <c r="AI54" s="2">
        <v>42786320.67864509</v>
      </c>
      <c r="AJ54" s="2">
        <f>AH54-AI54</f>
        <v>79297856.75364992</v>
      </c>
      <c r="AK54" s="3">
        <v>0.25</v>
      </c>
    </row>
    <row r="55" spans="1:37">
      <c r="A55" s="2">
        <v>54</v>
      </c>
      <c r="B55" s="2">
        <v>2031</v>
      </c>
      <c r="C55" s="2">
        <v>89</v>
      </c>
      <c r="D55" s="2">
        <v>393916.8284119</v>
      </c>
      <c r="E55" s="2">
        <v>35058597.7286591</v>
      </c>
      <c r="F55" s="2">
        <f>E55/1.19</f>
        <v>29461006.494671516</v>
      </c>
      <c r="G55" s="2">
        <v>130</v>
      </c>
      <c r="H55" s="2">
        <v>11878510.26727617</v>
      </c>
      <c r="I55" s="2">
        <v>235</v>
      </c>
      <c r="J55" s="2">
        <v>21441782.68419526</v>
      </c>
      <c r="K55" s="2">
        <v>8120504.931461181</v>
      </c>
      <c r="L55" s="2">
        <v>3003591.985489849</v>
      </c>
      <c r="M55" s="2">
        <v>8470860.681262502</v>
      </c>
      <c r="N55" s="3">
        <v>2</v>
      </c>
      <c r="O55" s="3">
        <v>2.5</v>
      </c>
      <c r="P55" s="2">
        <v>236356.8501</v>
      </c>
      <c r="Q55" s="2">
        <v>527582.2546875001</v>
      </c>
      <c r="R55" s="2">
        <v>281377.2025</v>
      </c>
      <c r="S55" s="2">
        <v>315142.4668000001</v>
      </c>
      <c r="T55" s="2">
        <v>3587559.331875</v>
      </c>
      <c r="U55" s="2">
        <f>M55+P55+Q55+R55+S55+T55</f>
        <v>13418878.787225002</v>
      </c>
      <c r="V55" s="2">
        <f>F55-K55-L55-U55</f>
        <v>4918030.790495483</v>
      </c>
      <c r="W55" s="2">
        <v>203413.5715243014</v>
      </c>
      <c r="X55" s="2">
        <v>230422.6674657257</v>
      </c>
      <c r="Y55" s="2">
        <f>W55+X55</f>
        <v>433836.23899002705</v>
      </c>
      <c r="Z55" s="2">
        <v>21206821.55597351</v>
      </c>
      <c r="AA55" s="2">
        <v>0</v>
      </c>
      <c r="AB55" s="2">
        <v>0</v>
      </c>
      <c r="AC55" s="2">
        <v>0</v>
      </c>
      <c r="AD55" s="2">
        <v>515053.1284468088</v>
      </c>
      <c r="AE55" s="2">
        <v>2231896.889936172</v>
      </c>
      <c r="AF55" s="2">
        <f>F55-H55-L55-U55-AA55-AC55-AD55</f>
        <v>644972.326233688</v>
      </c>
      <c r="AG55" s="2">
        <f>F55-H55-L55-U55-AA55-AB55-AD55-Y55</f>
        <v>211136.087243661</v>
      </c>
      <c r="AH55" s="2">
        <f>AH54+AG55</f>
        <v>122295313.51953867</v>
      </c>
      <c r="AI55" s="2">
        <v>42786320.67864509</v>
      </c>
      <c r="AJ55" s="2">
        <f>AH55-AI55</f>
        <v>79508992.84089358</v>
      </c>
      <c r="AK55" s="3">
        <v>0.25</v>
      </c>
    </row>
    <row r="56" spans="1:37">
      <c r="A56" s="2">
        <v>55</v>
      </c>
      <c r="B56" s="2">
        <v>2031</v>
      </c>
      <c r="C56" s="2">
        <v>102</v>
      </c>
      <c r="D56" s="2">
        <v>393916.8284119</v>
      </c>
      <c r="E56" s="2">
        <v>40179516.4980138</v>
      </c>
      <c r="F56" s="2">
        <f>E56/1.19</f>
        <v>33764299.578162864</v>
      </c>
      <c r="G56" s="2">
        <v>140</v>
      </c>
      <c r="H56" s="2">
        <v>12792241.82629741</v>
      </c>
      <c r="I56" s="2">
        <v>273</v>
      </c>
      <c r="J56" s="2">
        <v>24922369.84363867</v>
      </c>
      <c r="K56" s="2">
        <v>9311654.666854005</v>
      </c>
      <c r="L56" s="2">
        <v>3442719.589969011</v>
      </c>
      <c r="M56" s="2">
        <v>8470860.681262502</v>
      </c>
      <c r="N56" s="3">
        <v>2</v>
      </c>
      <c r="O56" s="3">
        <v>2.5</v>
      </c>
      <c r="P56" s="2">
        <v>236356.8501</v>
      </c>
      <c r="Q56" s="2">
        <v>527582.2546875001</v>
      </c>
      <c r="R56" s="2">
        <v>281377.2025</v>
      </c>
      <c r="S56" s="2">
        <v>315142.4668000001</v>
      </c>
      <c r="T56" s="2">
        <v>3587559.331875</v>
      </c>
      <c r="U56" s="2">
        <f>M56+P56+Q56+R56+S56+T56</f>
        <v>13418878.787225002</v>
      </c>
      <c r="V56" s="2">
        <f>F56-K56-L56-U56</f>
        <v>7591046.534114843</v>
      </c>
      <c r="W56" s="2">
        <v>201227.1385452849</v>
      </c>
      <c r="X56" s="2">
        <v>232609.1004447422</v>
      </c>
      <c r="Y56" s="2">
        <f>W56+X56</f>
        <v>433836.23899002705</v>
      </c>
      <c r="Z56" s="2">
        <v>20974212.45552877</v>
      </c>
      <c r="AA56" s="2">
        <v>0</v>
      </c>
      <c r="AB56" s="2">
        <v>0</v>
      </c>
      <c r="AC56" s="2">
        <v>0</v>
      </c>
      <c r="AD56" s="2">
        <v>171684.3761489363</v>
      </c>
      <c r="AE56" s="2">
        <v>2403581.266085109</v>
      </c>
      <c r="AF56" s="2">
        <f>F56-H56-L56-U56-AA56-AC56-AD56</f>
        <v>3938774.9985224986</v>
      </c>
      <c r="AG56" s="2">
        <f>F56-H56-L56-U56-AA56-AB56-AD56-Y56</f>
        <v>3504938.7595324717</v>
      </c>
      <c r="AH56" s="2">
        <f>AH55+AG56</f>
        <v>125800252.27907114</v>
      </c>
      <c r="AI56" s="2">
        <v>42786320.67864509</v>
      </c>
      <c r="AJ56" s="2">
        <f>AH56-AI56</f>
        <v>83013931.60042605</v>
      </c>
      <c r="AK56" s="3">
        <v>0.25</v>
      </c>
    </row>
    <row r="57" spans="1:37">
      <c r="A57" s="2">
        <v>56</v>
      </c>
      <c r="B57" s="2">
        <v>2031</v>
      </c>
      <c r="C57" s="2">
        <v>127</v>
      </c>
      <c r="D57" s="2">
        <v>393916.8284119</v>
      </c>
      <c r="E57" s="2">
        <v>50027437.2083113</v>
      </c>
      <c r="F57" s="2">
        <f>E57/1.19</f>
        <v>42039863.2002616</v>
      </c>
      <c r="G57" s="2">
        <v>160</v>
      </c>
      <c r="H57" s="2">
        <v>14619704.9443399</v>
      </c>
      <c r="I57" s="2">
        <v>306</v>
      </c>
      <c r="J57" s="2">
        <v>27944283.79935668</v>
      </c>
      <c r="K57" s="2">
        <v>11597790.98862189</v>
      </c>
      <c r="L57" s="2">
        <v>4286832.852725317</v>
      </c>
      <c r="M57" s="2">
        <v>8470860.681262502</v>
      </c>
      <c r="N57" s="3">
        <v>2</v>
      </c>
      <c r="O57" s="3">
        <v>2.5</v>
      </c>
      <c r="P57" s="2">
        <v>236356.8501</v>
      </c>
      <c r="Q57" s="2">
        <v>527582.2546875001</v>
      </c>
      <c r="R57" s="2">
        <v>281377.2025</v>
      </c>
      <c r="S57" s="2">
        <v>315142.4668000001</v>
      </c>
      <c r="T57" s="2">
        <v>3587559.331875</v>
      </c>
      <c r="U57" s="2">
        <f>M57+P57+Q57+R57+S57+T57</f>
        <v>13418878.787225002</v>
      </c>
      <c r="V57" s="2">
        <f>F57-K57-L57-U57</f>
        <v>12736360.571689392</v>
      </c>
      <c r="W57" s="2">
        <v>199019.9589564651</v>
      </c>
      <c r="X57" s="2">
        <v>234816.280033562</v>
      </c>
      <c r="Y57" s="2">
        <f>W57+X57</f>
        <v>433836.23899002705</v>
      </c>
      <c r="Z57" s="2">
        <v>20739396.1754952</v>
      </c>
      <c r="AA57" s="2">
        <v>0</v>
      </c>
      <c r="AB57" s="2">
        <v>0</v>
      </c>
      <c r="AC57" s="2">
        <v>0</v>
      </c>
      <c r="AD57" s="2">
        <v>343368.7522978727</v>
      </c>
      <c r="AE57" s="2">
        <v>2746950.018382981</v>
      </c>
      <c r="AF57" s="2">
        <f>F57-H57-L57-U57-AA57-AC57-AD57</f>
        <v>9371077.863673508</v>
      </c>
      <c r="AG57" s="2">
        <f>F57-H57-L57-U57-AA57-AB57-AD57-Y57</f>
        <v>8937241.62468348</v>
      </c>
      <c r="AH57" s="2">
        <f>AH56+AG57</f>
        <v>134737493.90375462</v>
      </c>
      <c r="AI57" s="2">
        <v>42786320.67864509</v>
      </c>
      <c r="AJ57" s="2">
        <f>AH57-AI57</f>
        <v>91951173.22510953</v>
      </c>
      <c r="AK57" s="3">
        <v>0.25</v>
      </c>
    </row>
    <row r="58" spans="1:37">
      <c r="A58" s="2">
        <v>57</v>
      </c>
      <c r="B58" s="2">
        <v>2031</v>
      </c>
      <c r="C58" s="2">
        <v>140</v>
      </c>
      <c r="D58" s="2">
        <v>393916.8284119</v>
      </c>
      <c r="E58" s="2">
        <v>55148355.97766601</v>
      </c>
      <c r="F58" s="2">
        <f>E58/1.19</f>
        <v>46343156.28375295</v>
      </c>
      <c r="G58" s="2">
        <v>180</v>
      </c>
      <c r="H58" s="2">
        <v>16447168.06238239</v>
      </c>
      <c r="I58" s="2">
        <v>346</v>
      </c>
      <c r="J58" s="2">
        <v>31603790.83160847</v>
      </c>
      <c r="K58" s="2">
        <v>12787661.03013059</v>
      </c>
      <c r="L58" s="2">
        <v>4725858.081693748</v>
      </c>
      <c r="M58" s="2">
        <v>8470860.681262502</v>
      </c>
      <c r="N58" s="3">
        <v>2</v>
      </c>
      <c r="O58" s="3">
        <v>2.5</v>
      </c>
      <c r="P58" s="2">
        <v>236356.8501</v>
      </c>
      <c r="Q58" s="2">
        <v>527582.2546875001</v>
      </c>
      <c r="R58" s="2">
        <v>281377.2025</v>
      </c>
      <c r="S58" s="2">
        <v>315142.4668000001</v>
      </c>
      <c r="T58" s="2">
        <v>3587559.331875</v>
      </c>
      <c r="U58" s="2">
        <f>M58+P58+Q58+R58+S58+T58</f>
        <v>13418878.787225002</v>
      </c>
      <c r="V58" s="2">
        <f>F58-K58-L58-U58</f>
        <v>15410758.384703605</v>
      </c>
      <c r="W58" s="2">
        <v>196791.8358975575</v>
      </c>
      <c r="X58" s="2">
        <v>237044.4030924695</v>
      </c>
      <c r="Y58" s="2">
        <f>W58+X58</f>
        <v>433836.23899002705</v>
      </c>
      <c r="Z58" s="2">
        <v>20502351.77240273</v>
      </c>
      <c r="AA58" s="2">
        <v>0</v>
      </c>
      <c r="AB58" s="2">
        <v>0</v>
      </c>
      <c r="AC58" s="2">
        <v>0</v>
      </c>
      <c r="AD58" s="2">
        <v>343368.7522978727</v>
      </c>
      <c r="AE58" s="2">
        <v>3090318.770680854</v>
      </c>
      <c r="AF58" s="2">
        <f>F58-H58-L58-U58-AA58-AC58-AD58</f>
        <v>11407882.600153934</v>
      </c>
      <c r="AG58" s="2">
        <f>F58-H58-L58-U58-AA58-AB58-AD58-Y58</f>
        <v>10974046.361163907</v>
      </c>
      <c r="AH58" s="2">
        <f>AH57+AG58</f>
        <v>145711540.26491854</v>
      </c>
      <c r="AI58" s="2">
        <v>42786320.67864509</v>
      </c>
      <c r="AJ58" s="2">
        <f>AH58-AI58</f>
        <v>102925219.58627345</v>
      </c>
      <c r="AK58" s="3">
        <v>0.25</v>
      </c>
    </row>
    <row r="59" spans="1:37">
      <c r="A59" s="2">
        <v>58</v>
      </c>
      <c r="B59" s="2">
        <v>2031</v>
      </c>
      <c r="C59" s="2">
        <v>166</v>
      </c>
      <c r="D59" s="2">
        <v>393916.8284119</v>
      </c>
      <c r="E59" s="2">
        <v>65390193.51637541</v>
      </c>
      <c r="F59" s="2">
        <f>E59/1.19</f>
        <v>54949742.450735636</v>
      </c>
      <c r="G59" s="2">
        <v>220</v>
      </c>
      <c r="H59" s="2">
        <v>20102094.29846736</v>
      </c>
      <c r="I59" s="2">
        <v>400</v>
      </c>
      <c r="J59" s="2">
        <v>36541261.57602533</v>
      </c>
      <c r="K59" s="2">
        <v>15164623.55405051</v>
      </c>
      <c r="L59" s="2">
        <v>5603686.334902812</v>
      </c>
      <c r="M59" s="2">
        <v>8470860.681262502</v>
      </c>
      <c r="N59" s="3">
        <v>2</v>
      </c>
      <c r="O59" s="3">
        <v>2.5</v>
      </c>
      <c r="P59" s="2">
        <v>236356.8501</v>
      </c>
      <c r="Q59" s="2">
        <v>527582.2546875001</v>
      </c>
      <c r="R59" s="2">
        <v>281377.2025</v>
      </c>
      <c r="S59" s="2">
        <v>315142.4668000001</v>
      </c>
      <c r="T59" s="2">
        <v>3587559.331875</v>
      </c>
      <c r="U59" s="2">
        <f>M59+P59+Q59+R59+S59+T59</f>
        <v>13418878.787225002</v>
      </c>
      <c r="V59" s="2">
        <f>F59-K59-L59-U59</f>
        <v>20762553.774557315</v>
      </c>
      <c r="W59" s="2">
        <v>194542.5706403113</v>
      </c>
      <c r="X59" s="2">
        <v>239293.6683497158</v>
      </c>
      <c r="Y59" s="2">
        <f>W59+X59</f>
        <v>433836.23899002705</v>
      </c>
      <c r="Z59" s="2">
        <v>20263058.10405302</v>
      </c>
      <c r="AA59" s="2">
        <v>0</v>
      </c>
      <c r="AB59" s="2">
        <v>0</v>
      </c>
      <c r="AC59" s="2">
        <v>0</v>
      </c>
      <c r="AD59" s="2">
        <v>686737.5045957449</v>
      </c>
      <c r="AE59" s="2">
        <v>3777056.275276599</v>
      </c>
      <c r="AF59" s="2">
        <f>F59-H59-L59-U59-AA59-AC59-AD59</f>
        <v>15138345.525544716</v>
      </c>
      <c r="AG59" s="2">
        <f>F59-H59-L59-U59-AA59-AB59-AD59-Y59</f>
        <v>14704509.286554689</v>
      </c>
      <c r="AH59" s="2">
        <f>AH58+AG59</f>
        <v>160416049.55147323</v>
      </c>
      <c r="AI59" s="2">
        <v>42786320.67864509</v>
      </c>
      <c r="AJ59" s="2">
        <f>AH59-AI59</f>
        <v>117629728.87282814</v>
      </c>
      <c r="AK59" s="3">
        <v>0.25</v>
      </c>
    </row>
    <row r="60" spans="1:37">
      <c r="A60" s="2">
        <v>59</v>
      </c>
      <c r="B60" s="2">
        <v>2031</v>
      </c>
      <c r="C60" s="2">
        <v>178</v>
      </c>
      <c r="D60" s="2">
        <v>393916.8284119</v>
      </c>
      <c r="E60" s="2">
        <v>70117195.4573182</v>
      </c>
      <c r="F60" s="2">
        <f>E60/1.19</f>
        <v>58922012.98934303</v>
      </c>
      <c r="G60" s="2">
        <v>30</v>
      </c>
      <c r="H60" s="2">
        <v>2741194.677063731</v>
      </c>
      <c r="I60" s="2">
        <v>252</v>
      </c>
      <c r="J60" s="2">
        <v>23021346.45529871</v>
      </c>
      <c r="K60" s="2">
        <v>16261109.79779036</v>
      </c>
      <c r="L60" s="2">
        <v>6008791.965769138</v>
      </c>
      <c r="M60" s="2">
        <v>8470860.681262502</v>
      </c>
      <c r="N60" s="3">
        <v>2</v>
      </c>
      <c r="O60" s="3">
        <v>2.5</v>
      </c>
      <c r="P60" s="2">
        <v>236356.8501</v>
      </c>
      <c r="Q60" s="2">
        <v>527582.2546875001</v>
      </c>
      <c r="R60" s="2">
        <v>281377.2025</v>
      </c>
      <c r="S60" s="2">
        <v>315142.4668000001</v>
      </c>
      <c r="T60" s="2">
        <v>3587559.331875</v>
      </c>
      <c r="U60" s="2">
        <f>M60+P60+Q60+R60+S60+T60</f>
        <v>13418878.787225002</v>
      </c>
      <c r="V60" s="2">
        <f>F60-K60-L60-U60</f>
        <v>23233232.43855854</v>
      </c>
      <c r="W60" s="2">
        <v>192271.962570784</v>
      </c>
      <c r="X60" s="2">
        <v>241564.276419243</v>
      </c>
      <c r="Y60" s="2">
        <f>W60+X60</f>
        <v>433836.23899002705</v>
      </c>
      <c r="Z60" s="2">
        <v>20021493.82763377</v>
      </c>
      <c r="AA60" s="2">
        <v>0</v>
      </c>
      <c r="AB60" s="2">
        <v>0</v>
      </c>
      <c r="AC60" s="2">
        <v>0</v>
      </c>
      <c r="AD60" s="2">
        <v>-3262003.14682979</v>
      </c>
      <c r="AE60" s="2">
        <v>515053.128446809</v>
      </c>
      <c r="AF60" s="2">
        <f>F60-H60-L60-U60-AA60-AC60-AD60</f>
        <v>40015150.70611495</v>
      </c>
      <c r="AG60" s="2">
        <f>F60-H60-L60-U60-AA60-AB60-AD60-Y60</f>
        <v>39581314.467124924</v>
      </c>
      <c r="AH60" s="2">
        <f>AH59+AG60</f>
        <v>199997364.01859814</v>
      </c>
      <c r="AI60" s="2">
        <v>42786320.67864509</v>
      </c>
      <c r="AJ60" s="2">
        <f>AH60-AI60</f>
        <v>157211043.33995306</v>
      </c>
      <c r="AK60" s="3">
        <v>0.25</v>
      </c>
    </row>
    <row r="61" spans="1:37">
      <c r="A61" s="2">
        <v>60</v>
      </c>
      <c r="B61" s="2">
        <v>2031</v>
      </c>
      <c r="C61" s="2">
        <v>217</v>
      </c>
      <c r="D61" s="2">
        <v>393916.8284119</v>
      </c>
      <c r="E61" s="2">
        <v>85479951.7653823</v>
      </c>
      <c r="F61" s="2">
        <f>E61/1.19</f>
        <v>71831892.23981707</v>
      </c>
      <c r="G61" s="2">
        <v>40</v>
      </c>
      <c r="H61" s="2">
        <v>3654926.236084975</v>
      </c>
      <c r="I61" s="2">
        <v>75</v>
      </c>
      <c r="J61" s="2">
        <v>6851782.369362246</v>
      </c>
      <c r="K61" s="2">
        <v>19824490.32202144</v>
      </c>
      <c r="L61" s="2">
        <v>7325369.284650831</v>
      </c>
      <c r="M61" s="2">
        <v>8470860.681262502</v>
      </c>
      <c r="N61" s="3">
        <v>2</v>
      </c>
      <c r="O61" s="3">
        <v>2.5</v>
      </c>
      <c r="P61" s="2">
        <v>236356.8501</v>
      </c>
      <c r="Q61" s="2">
        <v>527582.2546875001</v>
      </c>
      <c r="R61" s="2">
        <v>281377.2025</v>
      </c>
      <c r="S61" s="2">
        <v>315142.4668000001</v>
      </c>
      <c r="T61" s="2">
        <v>3587559.331875</v>
      </c>
      <c r="U61" s="2">
        <f>M61+P61+Q61+R61+S61+T61</f>
        <v>13418878.787225002</v>
      </c>
      <c r="V61" s="2">
        <f>F61-K61-L61-U61</f>
        <v>31263153.845919795</v>
      </c>
      <c r="W61" s="2">
        <v>189979.8091714494</v>
      </c>
      <c r="X61" s="2">
        <v>243856.4298185777</v>
      </c>
      <c r="Y61" s="2">
        <f>W61+X61</f>
        <v>433836.23899002705</v>
      </c>
      <c r="Z61" s="2">
        <v>19777637.39781519</v>
      </c>
      <c r="AA61" s="2">
        <v>0</v>
      </c>
      <c r="AB61" s="2">
        <v>24653913.96845794</v>
      </c>
      <c r="AC61" s="2">
        <v>25260513.6226563</v>
      </c>
      <c r="AD61" s="2">
        <v>171684.3761489363</v>
      </c>
      <c r="AE61" s="2">
        <v>686737.5045957454</v>
      </c>
      <c r="AF61" s="2">
        <f>F61-H61-L61-U61-AA61-AC61-AD61</f>
        <v>22000519.93305102</v>
      </c>
      <c r="AG61" s="2">
        <f>F61-H61-L61-U61-AA61-AB61-AD61-Y61</f>
        <v>22173283.348259345</v>
      </c>
      <c r="AH61" s="2">
        <f>AH60+AG61</f>
        <v>222170647.36685747</v>
      </c>
      <c r="AI61" s="2">
        <v>42786320.67864509</v>
      </c>
      <c r="AJ61" s="2">
        <f>AH61-AI61</f>
        <v>179384326.6882124</v>
      </c>
      <c r="AK61" s="3">
        <v>0.25</v>
      </c>
    </row>
    <row r="62" spans="1:37">
      <c r="A62" s="2">
        <v>61</v>
      </c>
      <c r="B62" s="2">
        <v>2032</v>
      </c>
      <c r="C62" s="2">
        <v>27</v>
      </c>
      <c r="D62" s="2">
        <v>405734.333264257</v>
      </c>
      <c r="E62" s="2">
        <v>10954826.99813494</v>
      </c>
      <c r="F62" s="2">
        <f>E62/1.19</f>
        <v>9205736.973222638</v>
      </c>
      <c r="G62" s="2">
        <v>50</v>
      </c>
      <c r="H62" s="2">
        <v>4705717.528959407</v>
      </c>
      <c r="I62" s="2">
        <v>98</v>
      </c>
      <c r="J62" s="2">
        <v>9061079.920284176</v>
      </c>
      <c r="K62" s="2">
        <v>2496419.978037477</v>
      </c>
      <c r="L62" s="2">
        <v>935257.3481863452</v>
      </c>
      <c r="M62" s="2">
        <v>9311869.001814751</v>
      </c>
      <c r="N62" s="3">
        <v>2</v>
      </c>
      <c r="O62" s="3">
        <v>3</v>
      </c>
      <c r="P62" s="2">
        <v>255040.296346</v>
      </c>
      <c r="Q62" s="2">
        <v>660148.6216101351</v>
      </c>
      <c r="R62" s="2">
        <v>289818.518575</v>
      </c>
      <c r="S62" s="2">
        <v>324596.740804</v>
      </c>
      <c r="T62" s="2">
        <v>3880669.96371925</v>
      </c>
      <c r="U62" s="2">
        <f>M62+P62+Q62+R62+S62+T62</f>
        <v>14722143.142869135</v>
      </c>
      <c r="V62" s="2">
        <f>F62-K62-L62-U62</f>
        <v>-8948083.495870318</v>
      </c>
      <c r="W62" s="2">
        <v>187665.9060031342</v>
      </c>
      <c r="X62" s="2">
        <v>246170.3329868928</v>
      </c>
      <c r="Y62" s="2">
        <f>W62+X62</f>
        <v>433836.23899002705</v>
      </c>
      <c r="Z62" s="2">
        <v>19531467.0648283</v>
      </c>
      <c r="AA62" s="2">
        <v>0</v>
      </c>
      <c r="AB62" s="2">
        <v>0</v>
      </c>
      <c r="AC62" s="2">
        <v>0</v>
      </c>
      <c r="AD62" s="2">
        <v>197437.0325712769</v>
      </c>
      <c r="AE62" s="2">
        <v>884174.5371670222</v>
      </c>
      <c r="AF62" s="2">
        <f>F62-H62-L62-U62-AA62-AC62-AD62</f>
        <v>-11354818.079363527</v>
      </c>
      <c r="AG62" s="2">
        <f>F62-H62-L62-U62-AA62-AB62-AD62-Y62</f>
        <v>-11788654.318353554</v>
      </c>
      <c r="AH62" s="2">
        <f>AH61+AG62</f>
        <v>210381993.0485039</v>
      </c>
      <c r="AI62" s="2">
        <v>46696113.74557749</v>
      </c>
      <c r="AJ62" s="2">
        <f>AH62-AI62</f>
        <v>163685879.30292642</v>
      </c>
      <c r="AK62" s="3">
        <v>0.25</v>
      </c>
    </row>
    <row r="63" spans="1:37">
      <c r="A63" s="2">
        <v>62</v>
      </c>
      <c r="B63" s="2">
        <v>2032</v>
      </c>
      <c r="C63" s="2">
        <v>40</v>
      </c>
      <c r="D63" s="2">
        <v>405734.333264257</v>
      </c>
      <c r="E63" s="2">
        <v>16229373.33057028</v>
      </c>
      <c r="F63" s="2">
        <f>E63/1.19</f>
        <v>13638128.849218724</v>
      </c>
      <c r="G63" s="2">
        <v>70</v>
      </c>
      <c r="H63" s="2">
        <v>6588004.540543168</v>
      </c>
      <c r="I63" s="2">
        <v>128</v>
      </c>
      <c r="J63" s="2">
        <v>11923111.97015417</v>
      </c>
      <c r="K63" s="2">
        <v>3725972.490673177</v>
      </c>
      <c r="L63" s="2">
        <v>1387772.243614368</v>
      </c>
      <c r="M63" s="2">
        <v>9311869.001814751</v>
      </c>
      <c r="N63" s="3">
        <v>2</v>
      </c>
      <c r="O63" s="3">
        <v>3</v>
      </c>
      <c r="P63" s="2">
        <v>255040.296346</v>
      </c>
      <c r="Q63" s="2">
        <v>660148.6216101351</v>
      </c>
      <c r="R63" s="2">
        <v>289818.518575</v>
      </c>
      <c r="S63" s="2">
        <v>324596.740804</v>
      </c>
      <c r="T63" s="2">
        <v>3880669.96371925</v>
      </c>
      <c r="U63" s="2">
        <f>M63+P63+Q63+R63+S63+T63</f>
        <v>14722143.142869135</v>
      </c>
      <c r="V63" s="2">
        <f>F63-K63-L63-U63</f>
        <v>-6197759.027937956</v>
      </c>
      <c r="W63" s="2">
        <v>185330.0466867842</v>
      </c>
      <c r="X63" s="2">
        <v>248506.1923032428</v>
      </c>
      <c r="Y63" s="2">
        <f>W63+X63</f>
        <v>433836.23899002705</v>
      </c>
      <c r="Z63" s="2">
        <v>19282960.87252506</v>
      </c>
      <c r="AA63" s="2">
        <v>0</v>
      </c>
      <c r="AB63" s="2">
        <v>0</v>
      </c>
      <c r="AC63" s="2">
        <v>0</v>
      </c>
      <c r="AD63" s="2">
        <v>353669.8148668087</v>
      </c>
      <c r="AE63" s="2">
        <v>1237844.352033831</v>
      </c>
      <c r="AF63" s="2">
        <f>F63-H63-L63-U63-AA63-AC63-AD63</f>
        <v>-9413460.892674757</v>
      </c>
      <c r="AG63" s="2">
        <f>F63-H63-L63-U63-AA63-AB63-AD63-Y63</f>
        <v>-9847297.131664785</v>
      </c>
      <c r="AH63" s="2">
        <f>AH62+AG63</f>
        <v>200534695.91683912</v>
      </c>
      <c r="AI63" s="2">
        <v>46696113.74557749</v>
      </c>
      <c r="AJ63" s="2">
        <f>AH63-AI63</f>
        <v>153838582.17126164</v>
      </c>
      <c r="AK63" s="3">
        <v>0.25</v>
      </c>
    </row>
    <row r="64" spans="1:37">
      <c r="A64" s="2">
        <v>63</v>
      </c>
      <c r="B64" s="2">
        <v>2032</v>
      </c>
      <c r="C64" s="2">
        <v>54</v>
      </c>
      <c r="D64" s="2">
        <v>405734.333264257</v>
      </c>
      <c r="E64" s="2">
        <v>21909653.99626988</v>
      </c>
      <c r="F64" s="2">
        <f>E64/1.19</f>
        <v>18411473.946445275</v>
      </c>
      <c r="G64" s="2">
        <v>80</v>
      </c>
      <c r="H64" s="2">
        <v>7529148.046335049</v>
      </c>
      <c r="I64" s="2">
        <v>154</v>
      </c>
      <c r="J64" s="2">
        <v>14402154.0506699</v>
      </c>
      <c r="K64" s="2">
        <v>5050105.965819316</v>
      </c>
      <c r="L64" s="2">
        <v>1875095.977152239</v>
      </c>
      <c r="M64" s="2">
        <v>9311869.001814751</v>
      </c>
      <c r="N64" s="3">
        <v>2</v>
      </c>
      <c r="O64" s="3">
        <v>3</v>
      </c>
      <c r="P64" s="2">
        <v>255040.296346</v>
      </c>
      <c r="Q64" s="2">
        <v>660148.6216101351</v>
      </c>
      <c r="R64" s="2">
        <v>289818.518575</v>
      </c>
      <c r="S64" s="2">
        <v>324596.740804</v>
      </c>
      <c r="T64" s="2">
        <v>3880669.96371925</v>
      </c>
      <c r="U64" s="2">
        <f>M64+P64+Q64+R64+S64+T64</f>
        <v>14722143.142869135</v>
      </c>
      <c r="V64" s="2">
        <f>F64-K64-L64-U64</f>
        <v>-3235871.139395416</v>
      </c>
      <c r="W64" s="2">
        <v>182972.0228850571</v>
      </c>
      <c r="X64" s="2">
        <v>250864.21610497</v>
      </c>
      <c r="Y64" s="2">
        <f>W64+X64</f>
        <v>433836.23899002705</v>
      </c>
      <c r="Z64" s="2">
        <v>19032096.65642009</v>
      </c>
      <c r="AA64" s="2">
        <v>0</v>
      </c>
      <c r="AB64" s="2">
        <v>0</v>
      </c>
      <c r="AC64" s="2">
        <v>0</v>
      </c>
      <c r="AD64" s="2">
        <v>176834.9074334044</v>
      </c>
      <c r="AE64" s="2">
        <v>1414679.259467235</v>
      </c>
      <c r="AF64" s="2">
        <f>F64-H64-L64-U64-AA64-AC64-AD64</f>
        <v>-5891748.127344553</v>
      </c>
      <c r="AG64" s="2">
        <f>F64-H64-L64-U64-AA64-AB64-AD64-Y64</f>
        <v>-6325584.366334581</v>
      </c>
      <c r="AH64" s="2">
        <f>AH63+AG64</f>
        <v>194209111.55050454</v>
      </c>
      <c r="AI64" s="2">
        <v>46696113.74557749</v>
      </c>
      <c r="AJ64" s="2">
        <f>AH64-AI64</f>
        <v>147512997.80492705</v>
      </c>
      <c r="AK64" s="3">
        <v>0.25</v>
      </c>
    </row>
    <row r="65" spans="1:37">
      <c r="A65" s="2">
        <v>64</v>
      </c>
      <c r="B65" s="2">
        <v>2032</v>
      </c>
      <c r="C65" s="2">
        <v>67</v>
      </c>
      <c r="D65" s="2">
        <v>405734.333264257</v>
      </c>
      <c r="E65" s="2">
        <v>27184200.32870522</v>
      </c>
      <c r="F65" s="2">
        <f>E65/1.19</f>
        <v>22843865.82244136</v>
      </c>
      <c r="G65" s="2">
        <v>90</v>
      </c>
      <c r="H65" s="2">
        <v>8470291.552126931</v>
      </c>
      <c r="I65" s="2">
        <v>177</v>
      </c>
      <c r="J65" s="2">
        <v>16591897.0151436</v>
      </c>
      <c r="K65" s="2">
        <v>6280548.587653227</v>
      </c>
      <c r="L65" s="2">
        <v>2327682.081316119</v>
      </c>
      <c r="M65" s="2">
        <v>9311869.001814751</v>
      </c>
      <c r="N65" s="3">
        <v>2</v>
      </c>
      <c r="O65" s="3">
        <v>3</v>
      </c>
      <c r="P65" s="2">
        <v>255040.296346</v>
      </c>
      <c r="Q65" s="2">
        <v>660148.6216101351</v>
      </c>
      <c r="R65" s="2">
        <v>289818.518575</v>
      </c>
      <c r="S65" s="2">
        <v>324596.740804</v>
      </c>
      <c r="T65" s="2">
        <v>3880669.96371925</v>
      </c>
      <c r="U65" s="2">
        <f>M65+P65+Q65+R65+S65+T65</f>
        <v>14722143.142869135</v>
      </c>
      <c r="V65" s="2">
        <f>F65-K65-L65-U65</f>
        <v>-486507.98939711973</v>
      </c>
      <c r="W65" s="2">
        <v>180591.6242837406</v>
      </c>
      <c r="X65" s="2">
        <v>253244.6147062865</v>
      </c>
      <c r="Y65" s="2">
        <f>W65+X65</f>
        <v>433836.23899002705</v>
      </c>
      <c r="Z65" s="2">
        <v>18778852.0417138</v>
      </c>
      <c r="AA65" s="2">
        <v>0</v>
      </c>
      <c r="AB65" s="2">
        <v>0</v>
      </c>
      <c r="AC65" s="2">
        <v>0</v>
      </c>
      <c r="AD65" s="2">
        <v>176834.9074334046</v>
      </c>
      <c r="AE65" s="2">
        <v>1591514.16690064</v>
      </c>
      <c r="AF65" s="2">
        <f>F65-H65-L65-U65-AA65-AC65-AD65</f>
        <v>-2853085.861304228</v>
      </c>
      <c r="AG65" s="2">
        <f>F65-H65-L65-U65-AA65-AB65-AD65-Y65</f>
        <v>-3286922.100294255</v>
      </c>
      <c r="AH65" s="2">
        <f>AH64+AG65</f>
        <v>190922189.45021027</v>
      </c>
      <c r="AI65" s="2">
        <v>46696113.74557749</v>
      </c>
      <c r="AJ65" s="2">
        <f>AH65-AI65</f>
        <v>144226075.7046328</v>
      </c>
      <c r="AK65" s="3">
        <v>0.25</v>
      </c>
    </row>
    <row r="66" spans="1:37">
      <c r="A66" s="2">
        <v>65</v>
      </c>
      <c r="B66" s="2">
        <v>2032</v>
      </c>
      <c r="C66" s="2">
        <v>80</v>
      </c>
      <c r="D66" s="2">
        <v>405734.333264257</v>
      </c>
      <c r="E66" s="2">
        <v>32458746.66114056</v>
      </c>
      <c r="F66" s="2">
        <f>E66/1.19</f>
        <v>27276257.69843745</v>
      </c>
      <c r="G66" s="2">
        <v>110</v>
      </c>
      <c r="H66" s="2">
        <v>10352578.56371069</v>
      </c>
      <c r="I66" s="2">
        <v>207</v>
      </c>
      <c r="J66" s="2">
        <v>19433820.36523637</v>
      </c>
      <c r="K66" s="2">
        <v>7510655.213617921</v>
      </c>
      <c r="L66" s="2">
        <v>2780241.305810462</v>
      </c>
      <c r="M66" s="2">
        <v>9311869.001814751</v>
      </c>
      <c r="N66" s="3">
        <v>2</v>
      </c>
      <c r="O66" s="3">
        <v>3</v>
      </c>
      <c r="P66" s="2">
        <v>255040.296346</v>
      </c>
      <c r="Q66" s="2">
        <v>660148.6216101351</v>
      </c>
      <c r="R66" s="2">
        <v>289818.518575</v>
      </c>
      <c r="S66" s="2">
        <v>324596.740804</v>
      </c>
      <c r="T66" s="2">
        <v>3880669.96371925</v>
      </c>
      <c r="U66" s="2">
        <f>M66+P66+Q66+R66+S66+T66</f>
        <v>14722143.142869135</v>
      </c>
      <c r="V66" s="2">
        <f>F66-K66-L66-U66</f>
        <v>2263218.0361399297</v>
      </c>
      <c r="W66" s="2">
        <v>178188.6385729944</v>
      </c>
      <c r="X66" s="2">
        <v>255647.6004170327</v>
      </c>
      <c r="Y66" s="2">
        <f>W66+X66</f>
        <v>433836.23899002705</v>
      </c>
      <c r="Z66" s="2">
        <v>18523204.44129677</v>
      </c>
      <c r="AA66" s="2">
        <v>0</v>
      </c>
      <c r="AB66" s="2">
        <v>0</v>
      </c>
      <c r="AC66" s="2">
        <v>0</v>
      </c>
      <c r="AD66" s="2">
        <v>353669.8148668087</v>
      </c>
      <c r="AE66" s="2">
        <v>1945183.981767449</v>
      </c>
      <c r="AF66" s="2">
        <f>F66-H66-L66-U66-AA66-AC66-AD66</f>
        <v>-932375.1288196514</v>
      </c>
      <c r="AG66" s="2">
        <f>F66-H66-L66-U66-AA66-AB66-AD66-Y66</f>
        <v>-1366211.3678096784</v>
      </c>
      <c r="AH66" s="2">
        <f>AH65+AG66</f>
        <v>189555978.0824006</v>
      </c>
      <c r="AI66" s="2">
        <v>46696113.74557749</v>
      </c>
      <c r="AJ66" s="2">
        <f>AH66-AI66</f>
        <v>142859864.3368231</v>
      </c>
      <c r="AK66" s="3">
        <v>0.25</v>
      </c>
    </row>
    <row r="67" spans="1:37">
      <c r="A67" s="2">
        <v>66</v>
      </c>
      <c r="B67" s="2">
        <v>2032</v>
      </c>
      <c r="C67" s="2">
        <v>94</v>
      </c>
      <c r="D67" s="2">
        <v>405734.333264257</v>
      </c>
      <c r="E67" s="2">
        <v>38139027.32684016</v>
      </c>
      <c r="F67" s="2">
        <f>E67/1.19</f>
        <v>32049602.795664005</v>
      </c>
      <c r="G67" s="2">
        <v>130</v>
      </c>
      <c r="H67" s="2">
        <v>12234865.57529445</v>
      </c>
      <c r="I67" s="2">
        <v>243</v>
      </c>
      <c r="J67" s="2">
        <v>22835283.92744508</v>
      </c>
      <c r="K67" s="2">
        <v>8833402.013085749</v>
      </c>
      <c r="L67" s="2">
        <v>3267454.105294068</v>
      </c>
      <c r="M67" s="2">
        <v>9311869.001814751</v>
      </c>
      <c r="N67" s="3">
        <v>2</v>
      </c>
      <c r="O67" s="3">
        <v>3</v>
      </c>
      <c r="P67" s="2">
        <v>255040.296346</v>
      </c>
      <c r="Q67" s="2">
        <v>660148.6216101351</v>
      </c>
      <c r="R67" s="2">
        <v>289818.518575</v>
      </c>
      <c r="S67" s="2">
        <v>324596.740804</v>
      </c>
      <c r="T67" s="2">
        <v>3880669.96371925</v>
      </c>
      <c r="U67" s="2">
        <f>M67+P67+Q67+R67+S67+T67</f>
        <v>14722143.142869135</v>
      </c>
      <c r="V67" s="2">
        <f>F67-K67-L67-U67</f>
        <v>5226603.534415053</v>
      </c>
      <c r="W67" s="2">
        <v>175762.8514284141</v>
      </c>
      <c r="X67" s="2">
        <v>258073.387561613</v>
      </c>
      <c r="Y67" s="2">
        <f>W67+X67</f>
        <v>433836.23899002705</v>
      </c>
      <c r="Z67" s="2">
        <v>18265131.05373516</v>
      </c>
      <c r="AA67" s="2">
        <v>0</v>
      </c>
      <c r="AB67" s="2">
        <v>0</v>
      </c>
      <c r="AC67" s="2">
        <v>0</v>
      </c>
      <c r="AD67" s="2">
        <v>353669.8148668087</v>
      </c>
      <c r="AE67" s="2">
        <v>2298853.796634257</v>
      </c>
      <c r="AF67" s="2">
        <f>F67-H67-L67-U67-AA67-AC67-AD67</f>
        <v>1471470.1573395398</v>
      </c>
      <c r="AG67" s="2">
        <f>F67-H67-L67-U67-AA67-AB67-AD67-Y67</f>
        <v>1037633.9183495129</v>
      </c>
      <c r="AH67" s="2">
        <f>AH66+AG67</f>
        <v>190593612.0007501</v>
      </c>
      <c r="AI67" s="2">
        <v>46696113.74557749</v>
      </c>
      <c r="AJ67" s="2">
        <f>AH67-AI67</f>
        <v>143897498.2551726</v>
      </c>
      <c r="AK67" s="3">
        <v>0.25</v>
      </c>
    </row>
    <row r="68" spans="1:37">
      <c r="A68" s="2">
        <v>67</v>
      </c>
      <c r="B68" s="2">
        <v>2032</v>
      </c>
      <c r="C68" s="2">
        <v>107</v>
      </c>
      <c r="D68" s="2">
        <v>405734.333264257</v>
      </c>
      <c r="E68" s="2">
        <v>43413573.6592755</v>
      </c>
      <c r="F68" s="2">
        <f>E68/1.19</f>
        <v>36481994.67166009</v>
      </c>
      <c r="G68" s="2">
        <v>150</v>
      </c>
      <c r="H68" s="2">
        <v>14117152.58687822</v>
      </c>
      <c r="I68" s="2">
        <v>286</v>
      </c>
      <c r="J68" s="2">
        <v>26891595.02060168</v>
      </c>
      <c r="K68" s="2">
        <v>10060841.49372161</v>
      </c>
      <c r="L68" s="2">
        <v>3719799.958162104</v>
      </c>
      <c r="M68" s="2">
        <v>9311869.001814751</v>
      </c>
      <c r="N68" s="3">
        <v>2</v>
      </c>
      <c r="O68" s="3">
        <v>3</v>
      </c>
      <c r="P68" s="2">
        <v>255040.296346</v>
      </c>
      <c r="Q68" s="2">
        <v>660148.6216101351</v>
      </c>
      <c r="R68" s="2">
        <v>289818.518575</v>
      </c>
      <c r="S68" s="2">
        <v>324596.740804</v>
      </c>
      <c r="T68" s="2">
        <v>3880669.96371925</v>
      </c>
      <c r="U68" s="2">
        <f>M68+P68+Q68+R68+S68+T68</f>
        <v>14722143.142869135</v>
      </c>
      <c r="V68" s="2">
        <f>F68-K68-L68-U68</f>
        <v>7979210.076907242</v>
      </c>
      <c r="W68" s="2">
        <v>173314.0464919156</v>
      </c>
      <c r="X68" s="2">
        <v>260522.1924981115</v>
      </c>
      <c r="Y68" s="2">
        <f>W68+X68</f>
        <v>433836.23899002705</v>
      </c>
      <c r="Z68" s="2">
        <v>18004608.86123705</v>
      </c>
      <c r="AA68" s="2">
        <v>0</v>
      </c>
      <c r="AB68" s="2">
        <v>0</v>
      </c>
      <c r="AC68" s="2">
        <v>0</v>
      </c>
      <c r="AD68" s="2">
        <v>353669.8148668092</v>
      </c>
      <c r="AE68" s="2">
        <v>2652523.611501066</v>
      </c>
      <c r="AF68" s="2">
        <f>F68-H68-L68-U68-AA68-AC68-AD68</f>
        <v>3569229.168883823</v>
      </c>
      <c r="AG68" s="2">
        <f>F68-H68-L68-U68-AA68-AB68-AD68-Y68</f>
        <v>3135392.929893796</v>
      </c>
      <c r="AH68" s="2">
        <f>AH67+AG68</f>
        <v>193729004.9306439</v>
      </c>
      <c r="AI68" s="2">
        <v>46696113.74557749</v>
      </c>
      <c r="AJ68" s="2">
        <f>AH68-AI68</f>
        <v>147032891.1850664</v>
      </c>
      <c r="AK68" s="3">
        <v>0.25</v>
      </c>
    </row>
    <row r="69" spans="1:37">
      <c r="A69" s="2">
        <v>68</v>
      </c>
      <c r="B69" s="2">
        <v>2032</v>
      </c>
      <c r="C69" s="2">
        <v>134</v>
      </c>
      <c r="D69" s="2">
        <v>405734.333264257</v>
      </c>
      <c r="E69" s="2">
        <v>54368400.65741044</v>
      </c>
      <c r="F69" s="2">
        <f>E69/1.19</f>
        <v>45687731.64488272</v>
      </c>
      <c r="G69" s="2">
        <v>170</v>
      </c>
      <c r="H69" s="2">
        <v>15999439.59846198</v>
      </c>
      <c r="I69" s="2">
        <v>322</v>
      </c>
      <c r="J69" s="2">
        <v>30287090.23539145</v>
      </c>
      <c r="K69" s="2">
        <v>12603944.38367222</v>
      </c>
      <c r="L69" s="2">
        <v>4658791.9393015</v>
      </c>
      <c r="M69" s="2">
        <v>9311869.001814751</v>
      </c>
      <c r="N69" s="3">
        <v>2</v>
      </c>
      <c r="O69" s="3">
        <v>3</v>
      </c>
      <c r="P69" s="2">
        <v>255040.296346</v>
      </c>
      <c r="Q69" s="2">
        <v>660148.6216101351</v>
      </c>
      <c r="R69" s="2">
        <v>289818.518575</v>
      </c>
      <c r="S69" s="2">
        <v>324596.740804</v>
      </c>
      <c r="T69" s="2">
        <v>3880669.96371925</v>
      </c>
      <c r="U69" s="2">
        <f>M69+P69+Q69+R69+S69+T69</f>
        <v>14722143.142869135</v>
      </c>
      <c r="V69" s="2">
        <f>F69-K69-L69-U69</f>
        <v>13702852.179039875</v>
      </c>
      <c r="W69" s="2">
        <v>170842.0053524374</v>
      </c>
      <c r="X69" s="2">
        <v>262994.2336375896</v>
      </c>
      <c r="Y69" s="2">
        <f>W69+X69</f>
        <v>433836.238990027</v>
      </c>
      <c r="Z69" s="2">
        <v>17741614.62759946</v>
      </c>
      <c r="AA69" s="2">
        <v>0</v>
      </c>
      <c r="AB69" s="2">
        <v>0</v>
      </c>
      <c r="AC69" s="2">
        <v>0</v>
      </c>
      <c r="AD69" s="2">
        <v>353669.8148668092</v>
      </c>
      <c r="AE69" s="2">
        <v>3006193.426367876</v>
      </c>
      <c r="AF69" s="2">
        <f>F69-H69-L69-U69-AA69-AC69-AD69</f>
        <v>9953687.149383295</v>
      </c>
      <c r="AG69" s="2">
        <f>F69-H69-L69-U69-AA69-AB69-AD69-Y69</f>
        <v>9519850.910393268</v>
      </c>
      <c r="AH69" s="2">
        <f>AH68+AG69</f>
        <v>203248855.84103715</v>
      </c>
      <c r="AI69" s="2">
        <v>46696113.74557749</v>
      </c>
      <c r="AJ69" s="2">
        <f>AH69-AI69</f>
        <v>156552742.09545967</v>
      </c>
      <c r="AK69" s="3">
        <v>0.25</v>
      </c>
    </row>
    <row r="70" spans="1:37">
      <c r="A70" s="2">
        <v>69</v>
      </c>
      <c r="B70" s="2">
        <v>2032</v>
      </c>
      <c r="C70" s="2">
        <v>147</v>
      </c>
      <c r="D70" s="2">
        <v>405734.333264257</v>
      </c>
      <c r="E70" s="2">
        <v>59642946.98984578</v>
      </c>
      <c r="F70" s="2">
        <f>E70/1.19</f>
        <v>50120123.520878814</v>
      </c>
      <c r="G70" s="2">
        <v>190</v>
      </c>
      <c r="H70" s="2">
        <v>17881726.61004574</v>
      </c>
      <c r="I70" s="2">
        <v>365</v>
      </c>
      <c r="J70" s="2">
        <v>34339097.94645425</v>
      </c>
      <c r="K70" s="2">
        <v>13829718.89898294</v>
      </c>
      <c r="L70" s="2">
        <v>5111004.594943525</v>
      </c>
      <c r="M70" s="2">
        <v>9311869.001814751</v>
      </c>
      <c r="N70" s="3">
        <v>2</v>
      </c>
      <c r="O70" s="3">
        <v>3</v>
      </c>
      <c r="P70" s="2">
        <v>255040.296346</v>
      </c>
      <c r="Q70" s="2">
        <v>660148.6216101351</v>
      </c>
      <c r="R70" s="2">
        <v>289818.518575</v>
      </c>
      <c r="S70" s="2">
        <v>324596.740804</v>
      </c>
      <c r="T70" s="2">
        <v>3880669.96371925</v>
      </c>
      <c r="U70" s="2">
        <f>M70+P70+Q70+R70+S70+T70</f>
        <v>14722143.142869135</v>
      </c>
      <c r="V70" s="2">
        <f>F70-K70-L70-U70</f>
        <v>16457256.884083213</v>
      </c>
      <c r="W70" s="2">
        <v>168346.5075264609</v>
      </c>
      <c r="X70" s="2">
        <v>265489.7314635661</v>
      </c>
      <c r="Y70" s="2">
        <f>W70+X70</f>
        <v>433836.238990027</v>
      </c>
      <c r="Z70" s="2">
        <v>17476124.89613589</v>
      </c>
      <c r="AA70" s="2">
        <v>0</v>
      </c>
      <c r="AB70" s="2">
        <v>0</v>
      </c>
      <c r="AC70" s="2">
        <v>0</v>
      </c>
      <c r="AD70" s="2">
        <v>353669.8148668087</v>
      </c>
      <c r="AE70" s="2">
        <v>3359863.241234684</v>
      </c>
      <c r="AF70" s="2">
        <f>F70-H70-L70-U70-AA70-AC70-AD70</f>
        <v>12051579.3581536</v>
      </c>
      <c r="AG70" s="2">
        <f>F70-H70-L70-U70-AA70-AB70-AD70-Y70</f>
        <v>11617743.119163573</v>
      </c>
      <c r="AH70" s="2">
        <f>AH69+AG70</f>
        <v>214866598.96020073</v>
      </c>
      <c r="AI70" s="2">
        <v>46696113.74557749</v>
      </c>
      <c r="AJ70" s="2">
        <f>AH70-AI70</f>
        <v>168170485.21462324</v>
      </c>
      <c r="AK70" s="3">
        <v>0.25</v>
      </c>
    </row>
    <row r="71" spans="1:37">
      <c r="A71" s="2">
        <v>70</v>
      </c>
      <c r="B71" s="2">
        <v>2032</v>
      </c>
      <c r="C71" s="2">
        <v>174</v>
      </c>
      <c r="D71" s="2">
        <v>405734.333264257</v>
      </c>
      <c r="E71" s="2">
        <v>70597773.98798072</v>
      </c>
      <c r="F71" s="2">
        <f>E71/1.19</f>
        <v>59325860.49410145</v>
      </c>
      <c r="G71" s="2">
        <v>230</v>
      </c>
      <c r="H71" s="2">
        <v>21646300.63321327</v>
      </c>
      <c r="I71" s="2">
        <v>421</v>
      </c>
      <c r="J71" s="2">
        <v>39613197.98662189</v>
      </c>
      <c r="K71" s="2">
        <v>16372200.59304563</v>
      </c>
      <c r="L71" s="2">
        <v>6049946.880411887</v>
      </c>
      <c r="M71" s="2">
        <v>9311869.001814751</v>
      </c>
      <c r="N71" s="3">
        <v>2</v>
      </c>
      <c r="O71" s="3">
        <v>3</v>
      </c>
      <c r="P71" s="2">
        <v>255040.296346</v>
      </c>
      <c r="Q71" s="2">
        <v>660148.6216101351</v>
      </c>
      <c r="R71" s="2">
        <v>289818.518575</v>
      </c>
      <c r="S71" s="2">
        <v>324596.740804</v>
      </c>
      <c r="T71" s="2">
        <v>3880669.96371925</v>
      </c>
      <c r="U71" s="2">
        <f>M71+P71+Q71+R71+S71+T71</f>
        <v>14722143.142869135</v>
      </c>
      <c r="V71" s="2">
        <f>F71-K71-L71-U71</f>
        <v>22181569.877774805</v>
      </c>
      <c r="W71" s="2">
        <v>165827.3304383451</v>
      </c>
      <c r="X71" s="2">
        <v>268008.9085516819</v>
      </c>
      <c r="Y71" s="2">
        <f>W71+X71</f>
        <v>433836.238990027</v>
      </c>
      <c r="Z71" s="2">
        <v>17208115.98758421</v>
      </c>
      <c r="AA71" s="2">
        <v>0</v>
      </c>
      <c r="AB71" s="2">
        <v>0</v>
      </c>
      <c r="AC71" s="2">
        <v>0</v>
      </c>
      <c r="AD71" s="2">
        <v>707339.6297336179</v>
      </c>
      <c r="AE71" s="2">
        <v>4067202.870968302</v>
      </c>
      <c r="AF71" s="2">
        <f>F71-H71-L71-U71-AA71-AC71-AD71</f>
        <v>16200130.207873542</v>
      </c>
      <c r="AG71" s="2">
        <f>F71-H71-L71-U71-AA71-AB71-AD71-Y71</f>
        <v>15766293.968883514</v>
      </c>
      <c r="AH71" s="2">
        <f>AH70+AG71</f>
        <v>230632892.92908424</v>
      </c>
      <c r="AI71" s="2">
        <v>46696113.74557749</v>
      </c>
      <c r="AJ71" s="2">
        <f>AH71-AI71</f>
        <v>183936779.18350676</v>
      </c>
      <c r="AK71" s="3">
        <v>0.25</v>
      </c>
    </row>
    <row r="72" spans="1:37">
      <c r="A72" s="2">
        <v>71</v>
      </c>
      <c r="B72" s="2">
        <v>2032</v>
      </c>
      <c r="C72" s="2">
        <v>187</v>
      </c>
      <c r="D72" s="2">
        <v>405734.333264257</v>
      </c>
      <c r="E72" s="2">
        <v>75872320.32041606</v>
      </c>
      <c r="F72" s="2">
        <f>E72/1.19</f>
        <v>63758252.37009753</v>
      </c>
      <c r="G72" s="2">
        <v>30</v>
      </c>
      <c r="H72" s="2">
        <v>2823430.517375643</v>
      </c>
      <c r="I72" s="2">
        <v>264</v>
      </c>
      <c r="J72" s="2">
        <v>24840953.2706327</v>
      </c>
      <c r="K72" s="2">
        <v>17595675.23336483</v>
      </c>
      <c r="L72" s="2">
        <v>6501975.54605459</v>
      </c>
      <c r="M72" s="2">
        <v>9311869.001814751</v>
      </c>
      <c r="N72" s="3">
        <v>2</v>
      </c>
      <c r="O72" s="3">
        <v>3</v>
      </c>
      <c r="P72" s="2">
        <v>255040.296346</v>
      </c>
      <c r="Q72" s="2">
        <v>660148.6216101351</v>
      </c>
      <c r="R72" s="2">
        <v>289818.518575</v>
      </c>
      <c r="S72" s="2">
        <v>324596.740804</v>
      </c>
      <c r="T72" s="2">
        <v>3880669.96371925</v>
      </c>
      <c r="U72" s="2">
        <f>M72+P72+Q72+R72+S72+T72</f>
        <v>14722143.142869135</v>
      </c>
      <c r="V72" s="2">
        <f>F72-K72-L72-U72</f>
        <v>24938458.44780898</v>
      </c>
      <c r="W72" s="2">
        <v>163284.2494004746</v>
      </c>
      <c r="X72" s="2">
        <v>270551.9895895525</v>
      </c>
      <c r="Y72" s="2">
        <f>W72+X72</f>
        <v>433836.23899002705</v>
      </c>
      <c r="Z72" s="2">
        <v>16937563.99799466</v>
      </c>
      <c r="AA72" s="2">
        <v>0</v>
      </c>
      <c r="AB72" s="2">
        <v>0</v>
      </c>
      <c r="AC72" s="2">
        <v>0</v>
      </c>
      <c r="AD72" s="2">
        <v>-3536698.148668089</v>
      </c>
      <c r="AE72" s="2">
        <v>530504.7223002132</v>
      </c>
      <c r="AF72" s="2">
        <f>F72-H72-L72-U72-AA72-AC72-AD72</f>
        <v>43247401.31246626</v>
      </c>
      <c r="AG72" s="2">
        <f>F72-H72-L72-U72-AA72-AB72-AD72-Y72</f>
        <v>42813565.07347623</v>
      </c>
      <c r="AH72" s="2">
        <f>AH71+AG72</f>
        <v>273446458.0025605</v>
      </c>
      <c r="AI72" s="2">
        <v>46696113.74557749</v>
      </c>
      <c r="AJ72" s="2">
        <f>AH72-AI72</f>
        <v>226750344.256983</v>
      </c>
      <c r="AK72" s="3">
        <v>0.25</v>
      </c>
    </row>
    <row r="73" spans="1:37">
      <c r="A73" s="2">
        <v>72</v>
      </c>
      <c r="B73" s="2">
        <v>2032</v>
      </c>
      <c r="C73" s="2">
        <v>228</v>
      </c>
      <c r="D73" s="2">
        <v>405734.333264257</v>
      </c>
      <c r="E73" s="2">
        <v>92507427.98425061</v>
      </c>
      <c r="F73" s="2">
        <f>E73/1.19</f>
        <v>77737334.44054674</v>
      </c>
      <c r="G73" s="2">
        <v>40</v>
      </c>
      <c r="H73" s="2">
        <v>3764574.023167524</v>
      </c>
      <c r="I73" s="2">
        <v>76</v>
      </c>
      <c r="J73" s="2">
        <v>7151381.823450059</v>
      </c>
      <c r="K73" s="2">
        <v>21454145.47035017</v>
      </c>
      <c r="L73" s="2">
        <v>7927589.970482945</v>
      </c>
      <c r="M73" s="2">
        <v>9311869.001814751</v>
      </c>
      <c r="N73" s="3">
        <v>2</v>
      </c>
      <c r="O73" s="3">
        <v>3</v>
      </c>
      <c r="P73" s="2">
        <v>255040.296346</v>
      </c>
      <c r="Q73" s="2">
        <v>660148.6216101351</v>
      </c>
      <c r="R73" s="2">
        <v>289818.518575</v>
      </c>
      <c r="S73" s="2">
        <v>324596.740804</v>
      </c>
      <c r="T73" s="2">
        <v>3880669.96371925</v>
      </c>
      <c r="U73" s="2">
        <f>M73+P73+Q73+R73+S73+T73</f>
        <v>14722143.142869135</v>
      </c>
      <c r="V73" s="2">
        <f>F73-K73-L73-U73</f>
        <v>33633455.856844485</v>
      </c>
      <c r="W73" s="2">
        <v>160717.0375932199</v>
      </c>
      <c r="X73" s="2">
        <v>273119.2013968072</v>
      </c>
      <c r="Y73" s="2">
        <f>W73+X73</f>
        <v>433836.2389900271</v>
      </c>
      <c r="Z73" s="2">
        <v>16664444.79659785</v>
      </c>
      <c r="AA73" s="2">
        <v>0</v>
      </c>
      <c r="AB73" s="2">
        <v>26280490.37991549</v>
      </c>
      <c r="AC73" s="2">
        <v>26803700.94658124</v>
      </c>
      <c r="AD73" s="2">
        <v>176834.9074334045</v>
      </c>
      <c r="AE73" s="2">
        <v>707339.6297336177</v>
      </c>
      <c r="AF73" s="2">
        <f>F73-H73-L73-U73-AA73-AC73-AD73</f>
        <v>24342491.45001249</v>
      </c>
      <c r="AG73" s="2">
        <f>F73-H73-L73-U73-AA73-AB73-AD73-Y73</f>
        <v>24431865.77768821</v>
      </c>
      <c r="AH73" s="2">
        <f>AH72+AG73</f>
        <v>297878323.7802487</v>
      </c>
      <c r="AI73" s="2">
        <v>46696113.74557749</v>
      </c>
      <c r="AJ73" s="2">
        <f>AH73-AI73</f>
        <v>251182210.03467122</v>
      </c>
      <c r="AK73" s="3">
        <v>0.25</v>
      </c>
    </row>
    <row r="74" spans="1:37">
      <c r="A74" s="2">
        <v>73</v>
      </c>
      <c r="B74" s="2">
        <v>2033</v>
      </c>
      <c r="C74" s="2">
        <v>28</v>
      </c>
      <c r="D74" s="2">
        <v>417906.3632621848</v>
      </c>
      <c r="E74" s="2">
        <v>11701378.17134117</v>
      </c>
      <c r="F74" s="2">
        <f>E74/1.19</f>
        <v>9833090.9002867</v>
      </c>
      <c r="G74" s="2">
        <v>50</v>
      </c>
      <c r="H74" s="2">
        <v>4846889.054828188</v>
      </c>
      <c r="I74" s="2">
        <v>98</v>
      </c>
      <c r="J74" s="2">
        <v>9331988.460883081</v>
      </c>
      <c r="K74" s="2">
        <v>2666282.417395166</v>
      </c>
      <c r="L74" s="2">
        <v>998972.2877755441</v>
      </c>
      <c r="M74" s="2">
        <v>10195714.046987</v>
      </c>
      <c r="N74" s="3">
        <v>2</v>
      </c>
      <c r="O74" s="3">
        <v>3.5</v>
      </c>
      <c r="P74" s="2">
        <v>274632.02820167</v>
      </c>
      <c r="Q74" s="2">
        <v>781149.0123892719</v>
      </c>
      <c r="R74" s="2">
        <v>298513.07413225</v>
      </c>
      <c r="S74" s="2">
        <v>334334.64302812</v>
      </c>
      <c r="T74" s="2">
        <v>4197093.822299436</v>
      </c>
      <c r="U74" s="2">
        <f>M74+P74+Q74+R74+S74+T74</f>
        <v>16081436.627037747</v>
      </c>
      <c r="V74" s="2">
        <f>F74-K74-L74-U74</f>
        <v>-9913600.431921758</v>
      </c>
      <c r="W74" s="2">
        <v>158125.4660447069</v>
      </c>
      <c r="X74" s="2">
        <v>275710.7729453202</v>
      </c>
      <c r="Y74" s="2">
        <f>W74+X74</f>
        <v>433836.23899002705</v>
      </c>
      <c r="Z74" s="2">
        <v>16388734.02365253</v>
      </c>
      <c r="AA74" s="2">
        <v>1791078.4447935</v>
      </c>
      <c r="AB74" s="2">
        <v>0</v>
      </c>
      <c r="AC74" s="2">
        <v>0</v>
      </c>
      <c r="AD74" s="2">
        <v>203360.1435484153</v>
      </c>
      <c r="AE74" s="2">
        <v>910699.7732820329</v>
      </c>
      <c r="AF74" s="2">
        <f>F74-H74-L74-U74-AA74-AC74-AD74</f>
        <v>-14088645.657696694</v>
      </c>
      <c r="AG74" s="2">
        <f>F74-H74-L74-U74-AA74-AB74-AD74-Y74</f>
        <v>-14522481.896686722</v>
      </c>
      <c r="AH74" s="2">
        <f>AH73+AG74</f>
        <v>283355841.88356197</v>
      </c>
      <c r="AI74" s="2">
        <v>50773994.19808333</v>
      </c>
      <c r="AJ74" s="2">
        <f>AH74-AI74</f>
        <v>232581847.68547863</v>
      </c>
      <c r="AK74" s="3">
        <v>0.25</v>
      </c>
    </row>
    <row r="75" spans="1:37">
      <c r="A75" s="2">
        <v>74</v>
      </c>
      <c r="B75" s="2">
        <v>2033</v>
      </c>
      <c r="C75" s="2">
        <v>42</v>
      </c>
      <c r="D75" s="2">
        <v>417906.3632621848</v>
      </c>
      <c r="E75" s="2">
        <v>17552067.25701176</v>
      </c>
      <c r="F75" s="2">
        <f>E75/1.19</f>
        <v>14749636.35043005</v>
      </c>
      <c r="G75" s="2">
        <v>70</v>
      </c>
      <c r="H75" s="2">
        <v>6785644.676759463</v>
      </c>
      <c r="I75" s="2">
        <v>126</v>
      </c>
      <c r="J75" s="2">
        <v>12088224.85323191</v>
      </c>
      <c r="K75" s="2">
        <v>4029408.284410636</v>
      </c>
      <c r="L75" s="2">
        <v>1500857.204328747</v>
      </c>
      <c r="M75" s="2">
        <v>10195714.046987</v>
      </c>
      <c r="N75" s="3">
        <v>2</v>
      </c>
      <c r="O75" s="3">
        <v>3.5</v>
      </c>
      <c r="P75" s="2">
        <v>274632.02820167</v>
      </c>
      <c r="Q75" s="2">
        <v>781149.0123892719</v>
      </c>
      <c r="R75" s="2">
        <v>298513.07413225</v>
      </c>
      <c r="S75" s="2">
        <v>334334.64302812</v>
      </c>
      <c r="T75" s="2">
        <v>4197093.822299436</v>
      </c>
      <c r="U75" s="2">
        <f>M75+P75+Q75+R75+S75+T75</f>
        <v>16081436.627037747</v>
      </c>
      <c r="V75" s="2">
        <f>F75-K75-L75-U75</f>
        <v>-6862065.765347078</v>
      </c>
      <c r="W75" s="2">
        <v>155509.3036103949</v>
      </c>
      <c r="X75" s="2">
        <v>278326.9353796322</v>
      </c>
      <c r="Y75" s="2">
        <f>W75+X75</f>
        <v>433836.23899002705</v>
      </c>
      <c r="Z75" s="2">
        <v>16110407.0882729</v>
      </c>
      <c r="AA75" s="2">
        <v>0</v>
      </c>
      <c r="AB75" s="2">
        <v>0</v>
      </c>
      <c r="AC75" s="2">
        <v>0</v>
      </c>
      <c r="AD75" s="2">
        <v>364279.9093128131</v>
      </c>
      <c r="AE75" s="2">
        <v>1274979.682594846</v>
      </c>
      <c r="AF75" s="2">
        <f>F75-H75-L75-U75-AA75-AC75-AD75</f>
        <v>-9982582.067008719</v>
      </c>
      <c r="AG75" s="2">
        <f>F75-H75-L75-U75-AA75-AB75-AD75-Y75</f>
        <v>-10416418.305998746</v>
      </c>
      <c r="AH75" s="2">
        <f>AH74+AG75</f>
        <v>272939423.5775632</v>
      </c>
      <c r="AI75" s="2">
        <v>50773994.19808333</v>
      </c>
      <c r="AJ75" s="2">
        <f>AH75-AI75</f>
        <v>222165429.3794799</v>
      </c>
      <c r="AK75" s="3">
        <v>0.25</v>
      </c>
    </row>
    <row r="76" spans="1:37">
      <c r="A76" s="2">
        <v>75</v>
      </c>
      <c r="B76" s="2">
        <v>2033</v>
      </c>
      <c r="C76" s="2">
        <v>56</v>
      </c>
      <c r="D76" s="2">
        <v>417906.3632621848</v>
      </c>
      <c r="E76" s="2">
        <v>23402756.34268235</v>
      </c>
      <c r="F76" s="2">
        <f>E76/1.19</f>
        <v>19666181.8005734</v>
      </c>
      <c r="G76" s="2">
        <v>90</v>
      </c>
      <c r="H76" s="2">
        <v>8724400.29869074</v>
      </c>
      <c r="I76" s="2">
        <v>160</v>
      </c>
      <c r="J76" s="2">
        <v>15416759.37179455</v>
      </c>
      <c r="K76" s="2">
        <v>5395865.780128093</v>
      </c>
      <c r="L76" s="2">
        <v>2003008.651178109</v>
      </c>
      <c r="M76" s="2">
        <v>10195714.046987</v>
      </c>
      <c r="N76" s="3">
        <v>2</v>
      </c>
      <c r="O76" s="3">
        <v>3.5</v>
      </c>
      <c r="P76" s="2">
        <v>274632.02820167</v>
      </c>
      <c r="Q76" s="2">
        <v>781149.0123892719</v>
      </c>
      <c r="R76" s="2">
        <v>298513.07413225</v>
      </c>
      <c r="S76" s="2">
        <v>334334.64302812</v>
      </c>
      <c r="T76" s="2">
        <v>4197093.822299436</v>
      </c>
      <c r="U76" s="2">
        <f>M76+P76+Q76+R76+S76+T76</f>
        <v>16081436.627037747</v>
      </c>
      <c r="V76" s="2">
        <f>F76-K76-L76-U76</f>
        <v>-3814129.2577705476</v>
      </c>
      <c r="W76" s="2">
        <v>152868.3169524605</v>
      </c>
      <c r="X76" s="2">
        <v>280967.9220375665</v>
      </c>
      <c r="Y76" s="2">
        <f>W76+X76</f>
        <v>433836.238990027</v>
      </c>
      <c r="Z76" s="2">
        <v>15829439.16623533</v>
      </c>
      <c r="AA76" s="2">
        <v>0</v>
      </c>
      <c r="AB76" s="2">
        <v>0</v>
      </c>
      <c r="AC76" s="2">
        <v>0</v>
      </c>
      <c r="AD76" s="2">
        <v>364279.9093128133</v>
      </c>
      <c r="AE76" s="2">
        <v>1639259.591907659</v>
      </c>
      <c r="AF76" s="2">
        <f>F76-H76-L76-U76-AA76-AC76-AD76</f>
        <v>-7506943.685646008</v>
      </c>
      <c r="AG76" s="2">
        <f>F76-H76-L76-U76-AA76-AB76-AD76-Y76</f>
        <v>-7940779.924636034</v>
      </c>
      <c r="AH76" s="2">
        <f>AH75+AG76</f>
        <v>264998643.6529272</v>
      </c>
      <c r="AI76" s="2">
        <v>50773994.19808333</v>
      </c>
      <c r="AJ76" s="2">
        <f>AH76-AI76</f>
        <v>214224649.45484388</v>
      </c>
      <c r="AK76" s="3">
        <v>0.25</v>
      </c>
    </row>
    <row r="77" spans="1:37">
      <c r="A77" s="2">
        <v>76</v>
      </c>
      <c r="B77" s="2">
        <v>2033</v>
      </c>
      <c r="C77" s="2">
        <v>70</v>
      </c>
      <c r="D77" s="2">
        <v>417906.3632621848</v>
      </c>
      <c r="E77" s="2">
        <v>29253445.42835293</v>
      </c>
      <c r="F77" s="2">
        <f>E77/1.19</f>
        <v>24582727.250716753</v>
      </c>
      <c r="G77" s="2">
        <v>100</v>
      </c>
      <c r="H77" s="2">
        <v>9693778.109656377</v>
      </c>
      <c r="I77" s="2">
        <v>190</v>
      </c>
      <c r="J77" s="2">
        <v>18350008.15952183</v>
      </c>
      <c r="K77" s="2">
        <v>6760529.321929096</v>
      </c>
      <c r="L77" s="2">
        <v>2505016.581714154</v>
      </c>
      <c r="M77" s="2">
        <v>10195714.046987</v>
      </c>
      <c r="N77" s="3">
        <v>2</v>
      </c>
      <c r="O77" s="3">
        <v>3.5</v>
      </c>
      <c r="P77" s="2">
        <v>274632.02820167</v>
      </c>
      <c r="Q77" s="2">
        <v>781149.0123892719</v>
      </c>
      <c r="R77" s="2">
        <v>298513.07413225</v>
      </c>
      <c r="S77" s="2">
        <v>334334.64302812</v>
      </c>
      <c r="T77" s="2">
        <v>4197093.822299436</v>
      </c>
      <c r="U77" s="2">
        <f>M77+P77+Q77+R77+S77+T77</f>
        <v>16081436.627037747</v>
      </c>
      <c r="V77" s="2">
        <f>F77-K77-L77-U77</f>
        <v>-764255.279964244</v>
      </c>
      <c r="W77" s="2">
        <v>150202.270518986</v>
      </c>
      <c r="X77" s="2">
        <v>283633.9684710411</v>
      </c>
      <c r="Y77" s="2">
        <f>W77+X77</f>
        <v>433836.238990027</v>
      </c>
      <c r="Z77" s="2">
        <v>15545805.19776429</v>
      </c>
      <c r="AA77" s="2">
        <v>0</v>
      </c>
      <c r="AB77" s="2">
        <v>0</v>
      </c>
      <c r="AC77" s="2">
        <v>0</v>
      </c>
      <c r="AD77" s="2">
        <v>182139.9546564065</v>
      </c>
      <c r="AE77" s="2">
        <v>1821399.546564066</v>
      </c>
      <c r="AF77" s="2">
        <f>F77-H77-L77-U77-AA77-AC77-AD77</f>
        <v>-3879644.0223479318</v>
      </c>
      <c r="AG77" s="2">
        <f>F77-H77-L77-U77-AA77-AB77-AD77-Y77</f>
        <v>-4313480.261337958</v>
      </c>
      <c r="AH77" s="2">
        <f>AH76+AG77</f>
        <v>260685163.39158922</v>
      </c>
      <c r="AI77" s="2">
        <v>50773994.19808333</v>
      </c>
      <c r="AJ77" s="2">
        <f>AH77-AI77</f>
        <v>209911169.19350588</v>
      </c>
      <c r="AK77" s="3">
        <v>0.25</v>
      </c>
    </row>
    <row r="78" spans="1:37">
      <c r="A78" s="2">
        <v>77</v>
      </c>
      <c r="B78" s="2">
        <v>2033</v>
      </c>
      <c r="C78" s="2">
        <v>84</v>
      </c>
      <c r="D78" s="2">
        <v>417906.3632621848</v>
      </c>
      <c r="E78" s="2">
        <v>35104134.51402352</v>
      </c>
      <c r="F78" s="2">
        <f>E78/1.19</f>
        <v>29499272.7008601</v>
      </c>
      <c r="G78" s="2">
        <v>110</v>
      </c>
      <c r="H78" s="2">
        <v>10663155.92062201</v>
      </c>
      <c r="I78" s="2">
        <v>216</v>
      </c>
      <c r="J78" s="2">
        <v>20889478.13770357</v>
      </c>
      <c r="K78" s="2">
        <v>8123685.942440277</v>
      </c>
      <c r="L78" s="2">
        <v>3006903.958547014</v>
      </c>
      <c r="M78" s="2">
        <v>10195714.046987</v>
      </c>
      <c r="N78" s="3">
        <v>2</v>
      </c>
      <c r="O78" s="3">
        <v>3.5</v>
      </c>
      <c r="P78" s="2">
        <v>274632.02820167</v>
      </c>
      <c r="Q78" s="2">
        <v>781149.0123892719</v>
      </c>
      <c r="R78" s="2">
        <v>298513.07413225</v>
      </c>
      <c r="S78" s="2">
        <v>334334.64302812</v>
      </c>
      <c r="T78" s="2">
        <v>4197093.822299436</v>
      </c>
      <c r="U78" s="2">
        <f>M78+P78+Q78+R78+S78+T78</f>
        <v>16081436.627037747</v>
      </c>
      <c r="V78" s="2">
        <f>F78-K78-L78-U78</f>
        <v>2287246.172835065</v>
      </c>
      <c r="W78" s="2">
        <v>147510.9265229502</v>
      </c>
      <c r="X78" s="2">
        <v>286325.3124670769</v>
      </c>
      <c r="Y78" s="2">
        <f>W78+X78</f>
        <v>433836.23899002705</v>
      </c>
      <c r="Z78" s="2">
        <v>15259479.88529721</v>
      </c>
      <c r="AA78" s="2">
        <v>0</v>
      </c>
      <c r="AB78" s="2">
        <v>0</v>
      </c>
      <c r="AC78" s="2">
        <v>0</v>
      </c>
      <c r="AD78" s="2">
        <v>182139.9546564061</v>
      </c>
      <c r="AE78" s="2">
        <v>2003539.501220472</v>
      </c>
      <c r="AF78" s="2">
        <f>F78-H78-L78-U78-AA78-AC78-AD78</f>
        <v>-434363.7600030794</v>
      </c>
      <c r="AG78" s="2">
        <f>F78-H78-L78-U78-AA78-AB78-AD78-Y78</f>
        <v>-868199.9989931064</v>
      </c>
      <c r="AH78" s="2">
        <f>AH77+AG78</f>
        <v>259816963.39259613</v>
      </c>
      <c r="AI78" s="2">
        <v>50773994.19808333</v>
      </c>
      <c r="AJ78" s="2">
        <f>AH78-AI78</f>
        <v>209042969.19451278</v>
      </c>
      <c r="AK78" s="3">
        <v>0.25</v>
      </c>
    </row>
    <row r="79" spans="1:37">
      <c r="A79" s="2">
        <v>78</v>
      </c>
      <c r="B79" s="2">
        <v>2033</v>
      </c>
      <c r="C79" s="2">
        <v>98</v>
      </c>
      <c r="D79" s="2">
        <v>417906.3632621848</v>
      </c>
      <c r="E79" s="2">
        <v>40954823.5996941</v>
      </c>
      <c r="F79" s="2">
        <f>E79/1.19</f>
        <v>34415818.15100345</v>
      </c>
      <c r="G79" s="2">
        <v>140</v>
      </c>
      <c r="H79" s="2">
        <v>13571289.35351893</v>
      </c>
      <c r="I79" s="2">
        <v>258</v>
      </c>
      <c r="J79" s="2">
        <v>24974376.44026799</v>
      </c>
      <c r="K79" s="2">
        <v>9486391.050954508</v>
      </c>
      <c r="L79" s="2">
        <v>3508755.214420118</v>
      </c>
      <c r="M79" s="2">
        <v>10195714.046987</v>
      </c>
      <c r="N79" s="3">
        <v>2</v>
      </c>
      <c r="O79" s="3">
        <v>3.5</v>
      </c>
      <c r="P79" s="2">
        <v>274632.02820167</v>
      </c>
      <c r="Q79" s="2">
        <v>781149.0123892719</v>
      </c>
      <c r="R79" s="2">
        <v>298513.07413225</v>
      </c>
      <c r="S79" s="2">
        <v>334334.64302812</v>
      </c>
      <c r="T79" s="2">
        <v>4197093.822299436</v>
      </c>
      <c r="U79" s="2">
        <f>M79+P79+Q79+R79+S79+T79</f>
        <v>16081436.627037747</v>
      </c>
      <c r="V79" s="2">
        <f>F79-K79-L79-U79</f>
        <v>5339235.25859108</v>
      </c>
      <c r="W79" s="2">
        <v>144794.0449210203</v>
      </c>
      <c r="X79" s="2">
        <v>289042.1940690067</v>
      </c>
      <c r="Y79" s="2">
        <f>W79+X79</f>
        <v>433836.238990027</v>
      </c>
      <c r="Z79" s="2">
        <v>14970437.69122821</v>
      </c>
      <c r="AA79" s="2">
        <v>0</v>
      </c>
      <c r="AB79" s="2">
        <v>0</v>
      </c>
      <c r="AC79" s="2">
        <v>0</v>
      </c>
      <c r="AD79" s="2">
        <v>546419.8639692201</v>
      </c>
      <c r="AE79" s="2">
        <v>2549959.365189692</v>
      </c>
      <c r="AF79" s="2">
        <f>F79-H79-L79-U79-AA79-AC79-AD79</f>
        <v>707917.0920574402</v>
      </c>
      <c r="AG79" s="2">
        <f>F79-H79-L79-U79-AA79-AB79-AD79-Y79</f>
        <v>274080.8530674132</v>
      </c>
      <c r="AH79" s="2">
        <f>AH78+AG79</f>
        <v>260091044.24566355</v>
      </c>
      <c r="AI79" s="2">
        <v>50773994.19808333</v>
      </c>
      <c r="AJ79" s="2">
        <f>AH79-AI79</f>
        <v>209317050.04758024</v>
      </c>
      <c r="AK79" s="3">
        <v>0.25</v>
      </c>
    </row>
    <row r="80" spans="1:37">
      <c r="A80" s="2">
        <v>79</v>
      </c>
      <c r="B80" s="2">
        <v>2033</v>
      </c>
      <c r="C80" s="2">
        <v>113</v>
      </c>
      <c r="D80" s="2">
        <v>417906.3632621848</v>
      </c>
      <c r="E80" s="2">
        <v>47223419.04862688</v>
      </c>
      <c r="F80" s="2">
        <f>E80/1.19</f>
        <v>39683545.419014186</v>
      </c>
      <c r="G80" s="2">
        <v>160</v>
      </c>
      <c r="H80" s="2">
        <v>15510044.9754502</v>
      </c>
      <c r="I80" s="2">
        <v>305</v>
      </c>
      <c r="J80" s="2">
        <v>29540068.25788049</v>
      </c>
      <c r="K80" s="2">
        <v>10944353.15783769</v>
      </c>
      <c r="L80" s="2">
        <v>4046286.662105022</v>
      </c>
      <c r="M80" s="2">
        <v>10195714.046987</v>
      </c>
      <c r="N80" s="3">
        <v>2</v>
      </c>
      <c r="O80" s="3">
        <v>3.5</v>
      </c>
      <c r="P80" s="2">
        <v>274632.02820167</v>
      </c>
      <c r="Q80" s="2">
        <v>781149.0123892719</v>
      </c>
      <c r="R80" s="2">
        <v>298513.07413225</v>
      </c>
      <c r="S80" s="2">
        <v>334334.64302812</v>
      </c>
      <c r="T80" s="2">
        <v>4197093.822299436</v>
      </c>
      <c r="U80" s="2">
        <f>M80+P80+Q80+R80+S80+T80</f>
        <v>16081436.627037747</v>
      </c>
      <c r="V80" s="2">
        <f>F80-K80-L80-U80</f>
        <v>8611468.972033726</v>
      </c>
      <c r="W80" s="2">
        <v>142051.3833921419</v>
      </c>
      <c r="X80" s="2">
        <v>291784.8555978851</v>
      </c>
      <c r="Y80" s="2">
        <f>W80+X80</f>
        <v>433836.238990027</v>
      </c>
      <c r="Z80" s="2">
        <v>14678652.83563032</v>
      </c>
      <c r="AA80" s="2">
        <v>0</v>
      </c>
      <c r="AB80" s="2">
        <v>0</v>
      </c>
      <c r="AC80" s="2">
        <v>0</v>
      </c>
      <c r="AD80" s="2">
        <v>364279.9093128131</v>
      </c>
      <c r="AE80" s="2">
        <v>2914239.274502505</v>
      </c>
      <c r="AF80" s="2">
        <f>F80-H80-L80-U80-AA80-AC80-AD80</f>
        <v>3681497.245108403</v>
      </c>
      <c r="AG80" s="2">
        <f>F80-H80-L80-U80-AA80-AB80-AD80-Y80</f>
        <v>3247661.006118376</v>
      </c>
      <c r="AH80" s="2">
        <f>AH79+AG80</f>
        <v>263338705.25178194</v>
      </c>
      <c r="AI80" s="2">
        <v>50773994.19808333</v>
      </c>
      <c r="AJ80" s="2">
        <f>AH80-AI80</f>
        <v>212564711.0536986</v>
      </c>
      <c r="AK80" s="3">
        <v>0.25</v>
      </c>
    </row>
    <row r="81" spans="1:37">
      <c r="A81" s="2">
        <v>80</v>
      </c>
      <c r="B81" s="2">
        <v>2033</v>
      </c>
      <c r="C81" s="2">
        <v>141</v>
      </c>
      <c r="D81" s="2">
        <v>417906.3632621848</v>
      </c>
      <c r="E81" s="2">
        <v>58924797.21996805</v>
      </c>
      <c r="F81" s="2">
        <f>E81/1.19</f>
        <v>49516636.31930088</v>
      </c>
      <c r="G81" s="2">
        <v>180</v>
      </c>
      <c r="H81" s="2">
        <v>17448800.59738148</v>
      </c>
      <c r="I81" s="2">
        <v>344</v>
      </c>
      <c r="J81" s="2">
        <v>33328187.39424767</v>
      </c>
      <c r="K81" s="2">
        <v>13660681.46101431</v>
      </c>
      <c r="L81" s="2">
        <v>5049262.620743081</v>
      </c>
      <c r="M81" s="2">
        <v>10195714.046987</v>
      </c>
      <c r="N81" s="3">
        <v>2</v>
      </c>
      <c r="O81" s="3">
        <v>3.5</v>
      </c>
      <c r="P81" s="2">
        <v>274632.02820167</v>
      </c>
      <c r="Q81" s="2">
        <v>781149.0123892719</v>
      </c>
      <c r="R81" s="2">
        <v>298513.07413225</v>
      </c>
      <c r="S81" s="2">
        <v>334334.64302812</v>
      </c>
      <c r="T81" s="2">
        <v>4197093.822299436</v>
      </c>
      <c r="U81" s="2">
        <f>M81+P81+Q81+R81+S81+T81</f>
        <v>16081436.627037747</v>
      </c>
      <c r="V81" s="2">
        <f>F81-K81-L81-U81</f>
        <v>14725255.610505747</v>
      </c>
      <c r="W81" s="2">
        <v>139282.6973159264</v>
      </c>
      <c r="X81" s="2">
        <v>294553.5416741007</v>
      </c>
      <c r="Y81" s="2">
        <f>W81+X81</f>
        <v>433836.23899002705</v>
      </c>
      <c r="Z81" s="2">
        <v>14384099.29395622</v>
      </c>
      <c r="AA81" s="2">
        <v>0</v>
      </c>
      <c r="AB81" s="2">
        <v>0</v>
      </c>
      <c r="AC81" s="2">
        <v>0</v>
      </c>
      <c r="AD81" s="2">
        <v>364279.9093128135</v>
      </c>
      <c r="AE81" s="2">
        <v>3278519.183815319</v>
      </c>
      <c r="AF81" s="2">
        <f>F81-H81-L81-U81-AA81-AC81-AD81</f>
        <v>10572856.564825762</v>
      </c>
      <c r="AG81" s="2">
        <f>F81-H81-L81-U81-AA81-AB81-AD81-Y81</f>
        <v>10139020.325835735</v>
      </c>
      <c r="AH81" s="2">
        <f>AH80+AG81</f>
        <v>273477725.57761765</v>
      </c>
      <c r="AI81" s="2">
        <v>50773994.19808333</v>
      </c>
      <c r="AJ81" s="2">
        <f>AH81-AI81</f>
        <v>222703731.3795343</v>
      </c>
      <c r="AK81" s="3">
        <v>0.25</v>
      </c>
    </row>
    <row r="82" spans="1:37">
      <c r="A82" s="2">
        <v>81</v>
      </c>
      <c r="B82" s="2">
        <v>2033</v>
      </c>
      <c r="C82" s="2">
        <v>155</v>
      </c>
      <c r="D82" s="2">
        <v>417906.3632621848</v>
      </c>
      <c r="E82" s="2">
        <v>64775486.30563863</v>
      </c>
      <c r="F82" s="2">
        <f>E82/1.19</f>
        <v>54433181.769444235</v>
      </c>
      <c r="G82" s="2">
        <v>200</v>
      </c>
      <c r="H82" s="2">
        <v>19387556.21931275</v>
      </c>
      <c r="I82" s="2">
        <v>389</v>
      </c>
      <c r="J82" s="2">
        <v>37695632.84131435</v>
      </c>
      <c r="K82" s="2">
        <v>15020110.77224608</v>
      </c>
      <c r="L82" s="2">
        <v>5550851.812833589</v>
      </c>
      <c r="M82" s="2">
        <v>10195714.046987</v>
      </c>
      <c r="N82" s="3">
        <v>2</v>
      </c>
      <c r="O82" s="3">
        <v>3.5</v>
      </c>
      <c r="P82" s="2">
        <v>274632.02820167</v>
      </c>
      <c r="Q82" s="2">
        <v>781149.0123892719</v>
      </c>
      <c r="R82" s="2">
        <v>298513.07413225</v>
      </c>
      <c r="S82" s="2">
        <v>334334.64302812</v>
      </c>
      <c r="T82" s="2">
        <v>4197093.822299436</v>
      </c>
      <c r="U82" s="2">
        <f>M82+P82+Q82+R82+S82+T82</f>
        <v>16081436.627037747</v>
      </c>
      <c r="V82" s="2">
        <f>F82-K82-L82-U82</f>
        <v>17780782.557326823</v>
      </c>
      <c r="W82" s="2">
        <v>136487.7397508328</v>
      </c>
      <c r="X82" s="2">
        <v>297348.4992391943</v>
      </c>
      <c r="Y82" s="2">
        <f>W82+X82</f>
        <v>433836.2389900271</v>
      </c>
      <c r="Z82" s="2">
        <v>14086750.79471703</v>
      </c>
      <c r="AA82" s="2">
        <v>0</v>
      </c>
      <c r="AB82" s="2">
        <v>0</v>
      </c>
      <c r="AC82" s="2">
        <v>0</v>
      </c>
      <c r="AD82" s="2">
        <v>364279.9093128131</v>
      </c>
      <c r="AE82" s="2">
        <v>3642799.093128132</v>
      </c>
      <c r="AF82" s="2">
        <f>F82-H82-L82-U82-AA82-AC82-AD82</f>
        <v>13049057.200947337</v>
      </c>
      <c r="AG82" s="2">
        <f>F82-H82-L82-U82-AA82-AB82-AD82-Y82</f>
        <v>12615220.96195731</v>
      </c>
      <c r="AH82" s="2">
        <f>AH81+AG82</f>
        <v>286092946.539575</v>
      </c>
      <c r="AI82" s="2">
        <v>50773994.19808333</v>
      </c>
      <c r="AJ82" s="2">
        <f>AH82-AI82</f>
        <v>235318952.34149164</v>
      </c>
      <c r="AK82" s="3">
        <v>0.25</v>
      </c>
    </row>
    <row r="83" spans="1:37">
      <c r="A83" s="2">
        <v>82</v>
      </c>
      <c r="B83" s="2">
        <v>2033</v>
      </c>
      <c r="C83" s="2">
        <v>183</v>
      </c>
      <c r="D83" s="2">
        <v>417906.3632621848</v>
      </c>
      <c r="E83" s="2">
        <v>76476864.47697981</v>
      </c>
      <c r="F83" s="2">
        <f>E83/1.19</f>
        <v>64266272.66973093</v>
      </c>
      <c r="G83" s="2">
        <v>230</v>
      </c>
      <c r="H83" s="2">
        <v>22295689.65220967</v>
      </c>
      <c r="I83" s="2">
        <v>436</v>
      </c>
      <c r="J83" s="2">
        <v>42255600.33469543</v>
      </c>
      <c r="K83" s="2">
        <v>17735722.15882859</v>
      </c>
      <c r="L83" s="2">
        <v>6553770.41814412</v>
      </c>
      <c r="M83" s="2">
        <v>10195714.046987</v>
      </c>
      <c r="N83" s="3">
        <v>2</v>
      </c>
      <c r="O83" s="3">
        <v>3.5</v>
      </c>
      <c r="P83" s="2">
        <v>274632.02820167</v>
      </c>
      <c r="Q83" s="2">
        <v>781149.0123892719</v>
      </c>
      <c r="R83" s="2">
        <v>298513.07413225</v>
      </c>
      <c r="S83" s="2">
        <v>334334.64302812</v>
      </c>
      <c r="T83" s="2">
        <v>4197093.822299436</v>
      </c>
      <c r="U83" s="2">
        <f>M83+P83+Q83+R83+S83+T83</f>
        <v>16081436.627037747</v>
      </c>
      <c r="V83" s="2">
        <f>F83-K83-L83-U83</f>
        <v>23895343.465720475</v>
      </c>
      <c r="W83" s="2">
        <v>133666.261412143</v>
      </c>
      <c r="X83" s="2">
        <v>300169.977577884</v>
      </c>
      <c r="Y83" s="2">
        <f>W83+X83</f>
        <v>433836.23899002705</v>
      </c>
      <c r="Z83" s="2">
        <v>13786580.81713914</v>
      </c>
      <c r="AA83" s="2">
        <v>0</v>
      </c>
      <c r="AB83" s="2">
        <v>0</v>
      </c>
      <c r="AC83" s="2">
        <v>0</v>
      </c>
      <c r="AD83" s="2">
        <v>546419.8639692194</v>
      </c>
      <c r="AE83" s="2">
        <v>4189218.957097351</v>
      </c>
      <c r="AF83" s="2">
        <f>F83-H83-L83-U83-AA83-AC83-AD83</f>
        <v>18788956.108370174</v>
      </c>
      <c r="AG83" s="2">
        <f>F83-H83-L83-U83-AA83-AB83-AD83-Y83</f>
        <v>18355119.869380146</v>
      </c>
      <c r="AH83" s="2">
        <f>AH82+AG83</f>
        <v>304448066.4089551</v>
      </c>
      <c r="AI83" s="2">
        <v>50773994.19808333</v>
      </c>
      <c r="AJ83" s="2">
        <f>AH83-AI83</f>
        <v>253674072.21087176</v>
      </c>
      <c r="AK83" s="3">
        <v>0.25</v>
      </c>
    </row>
    <row r="84" spans="1:37">
      <c r="A84" s="2">
        <v>83</v>
      </c>
      <c r="B84" s="2">
        <v>2033</v>
      </c>
      <c r="C84" s="2">
        <v>197</v>
      </c>
      <c r="D84" s="2">
        <v>417906.3632621848</v>
      </c>
      <c r="E84" s="2">
        <v>82327553.5626504</v>
      </c>
      <c r="F84" s="2">
        <f>E84/1.19</f>
        <v>69182818.11987428</v>
      </c>
      <c r="G84" s="2">
        <v>30</v>
      </c>
      <c r="H84" s="2">
        <v>2908133.432896913</v>
      </c>
      <c r="I84" s="2">
        <v>269</v>
      </c>
      <c r="J84" s="2">
        <v>26070910.69416811</v>
      </c>
      <c r="K84" s="2">
        <v>19092823.07342423</v>
      </c>
      <c r="L84" s="2">
        <v>7055173.338503736</v>
      </c>
      <c r="M84" s="2">
        <v>10195714.046987</v>
      </c>
      <c r="N84" s="3">
        <v>2</v>
      </c>
      <c r="O84" s="3">
        <v>3.5</v>
      </c>
      <c r="P84" s="2">
        <v>274632.02820167</v>
      </c>
      <c r="Q84" s="2">
        <v>781149.0123892719</v>
      </c>
      <c r="R84" s="2">
        <v>298513.07413225</v>
      </c>
      <c r="S84" s="2">
        <v>334334.64302812</v>
      </c>
      <c r="T84" s="2">
        <v>4197093.822299436</v>
      </c>
      <c r="U84" s="2">
        <f>M84+P84+Q84+R84+S84+T84</f>
        <v>16081436.627037747</v>
      </c>
      <c r="V84" s="2">
        <f>F84-K84-L84-U84</f>
        <v>26953385.080908574</v>
      </c>
      <c r="W84" s="2">
        <v>130818.010649728</v>
      </c>
      <c r="X84" s="2">
        <v>303018.228340299</v>
      </c>
      <c r="Y84" s="2">
        <f>W84+X84</f>
        <v>433836.238990027</v>
      </c>
      <c r="Z84" s="2">
        <v>13483562.58879884</v>
      </c>
      <c r="AA84" s="2">
        <v>0</v>
      </c>
      <c r="AB84" s="2">
        <v>0</v>
      </c>
      <c r="AC84" s="2">
        <v>0</v>
      </c>
      <c r="AD84" s="2">
        <v>-3642799.093128131</v>
      </c>
      <c r="AE84" s="2">
        <v>546419.8639692197</v>
      </c>
      <c r="AF84" s="2">
        <f>F84-H84-L84-U84-AA84-AC84-AD84</f>
        <v>46780873.81456402</v>
      </c>
      <c r="AG84" s="2">
        <f>F84-H84-L84-U84-AA84-AB84-AD84-Y84</f>
        <v>46347037.575573996</v>
      </c>
      <c r="AH84" s="2">
        <f>AH83+AG84</f>
        <v>350795103.9845291</v>
      </c>
      <c r="AI84" s="2">
        <v>50773994.19808333</v>
      </c>
      <c r="AJ84" s="2">
        <f>AH84-AI84</f>
        <v>300021109.78644574</v>
      </c>
      <c r="AK84" s="3">
        <v>0.25</v>
      </c>
    </row>
    <row r="85" spans="1:37">
      <c r="A85" s="2">
        <v>84</v>
      </c>
      <c r="B85" s="2">
        <v>2033</v>
      </c>
      <c r="C85" s="2">
        <v>239</v>
      </c>
      <c r="D85" s="2">
        <v>417906.3632621848</v>
      </c>
      <c r="E85" s="2">
        <v>99879620.81966215</v>
      </c>
      <c r="F85" s="2">
        <f>E85/1.19</f>
        <v>83932454.47030434</v>
      </c>
      <c r="G85" s="2">
        <v>50</v>
      </c>
      <c r="H85" s="2">
        <v>4846889.054828188</v>
      </c>
      <c r="I85" s="2">
        <v>80</v>
      </c>
      <c r="J85" s="2">
        <v>7753680.187836062</v>
      </c>
      <c r="K85" s="2">
        <v>23164119.56116024</v>
      </c>
      <c r="L85" s="2">
        <v>8559381.599098513</v>
      </c>
      <c r="M85" s="2">
        <v>10195714.046987</v>
      </c>
      <c r="N85" s="3">
        <v>2</v>
      </c>
      <c r="O85" s="3">
        <v>3.5</v>
      </c>
      <c r="P85" s="2">
        <v>274632.02820167</v>
      </c>
      <c r="Q85" s="2">
        <v>781149.0123892719</v>
      </c>
      <c r="R85" s="2">
        <v>298513.07413225</v>
      </c>
      <c r="S85" s="2">
        <v>334334.64302812</v>
      </c>
      <c r="T85" s="2">
        <v>4197093.822299436</v>
      </c>
      <c r="U85" s="2">
        <f>M85+P85+Q85+R85+S85+T85</f>
        <v>16081436.627037747</v>
      </c>
      <c r="V85" s="2">
        <f>F85-K85-L85-U85</f>
        <v>36127516.683007844</v>
      </c>
      <c r="W85" s="2">
        <v>127942.7334256027</v>
      </c>
      <c r="X85" s="2">
        <v>305893.5055644243</v>
      </c>
      <c r="Y85" s="2">
        <f>W85+X85</f>
        <v>433836.23899002705</v>
      </c>
      <c r="Z85" s="2">
        <v>13177669.08323442</v>
      </c>
      <c r="AA85" s="2">
        <v>0</v>
      </c>
      <c r="AB85" s="2">
        <v>27563386.77555732</v>
      </c>
      <c r="AC85" s="2">
        <v>27993201.56418655</v>
      </c>
      <c r="AD85" s="2">
        <v>364279.9093128132</v>
      </c>
      <c r="AE85" s="2">
        <v>910699.7732820329</v>
      </c>
      <c r="AF85" s="2">
        <f>F85-H85-L85-U85-AA85-AC85-AD85</f>
        <v>26087265.715840526</v>
      </c>
      <c r="AG85" s="2">
        <f>F85-H85-L85-U85-AA85-AB85-AD85-Y85</f>
        <v>26083244.265479725</v>
      </c>
      <c r="AH85" s="2">
        <f>AH84+AG85</f>
        <v>376878348.2500088</v>
      </c>
      <c r="AI85" s="2">
        <v>50773994.19808333</v>
      </c>
      <c r="AJ85" s="2">
        <f>AH85-AI85</f>
        <v>326104354.0519255</v>
      </c>
      <c r="AK85" s="3">
        <v>0.25</v>
      </c>
    </row>
    <row r="86" spans="1:37">
      <c r="A86" s="2">
        <v>85</v>
      </c>
      <c r="B86" s="2">
        <v>2034</v>
      </c>
      <c r="C86" s="2">
        <v>29</v>
      </c>
      <c r="D86" s="2">
        <v>430443.5541600503</v>
      </c>
      <c r="E86" s="2">
        <v>12482863.07064146</v>
      </c>
      <c r="F86" s="2">
        <f>E86/1.19</f>
        <v>10489800.899698706</v>
      </c>
      <c r="G86" s="2">
        <v>60</v>
      </c>
      <c r="H86" s="2">
        <v>5990754.871767641</v>
      </c>
      <c r="I86" s="2">
        <v>111</v>
      </c>
      <c r="J86" s="2">
        <v>10897373.51154294</v>
      </c>
      <c r="K86" s="2">
        <v>2847061.548060767</v>
      </c>
      <c r="L86" s="2">
        <v>1065906.129960862</v>
      </c>
      <c r="M86" s="2">
        <v>11663816.27122311</v>
      </c>
      <c r="N86" s="3">
        <v>2.5</v>
      </c>
      <c r="O86" s="3">
        <v>4</v>
      </c>
      <c r="P86" s="2">
        <v>307468.4663562176</v>
      </c>
      <c r="Q86" s="2">
        <v>889567.7668618086</v>
      </c>
      <c r="R86" s="2">
        <v>307468.4663562176</v>
      </c>
      <c r="S86" s="2">
        <v>344364.6823189636</v>
      </c>
      <c r="T86" s="2">
        <v>4538234.563417771</v>
      </c>
      <c r="U86" s="2">
        <f>M86+P86+Q86+R86+S86+T86</f>
        <v>18050920.216534093</v>
      </c>
      <c r="V86" s="2">
        <f>F86-K86-L86-U86</f>
        <v>-11474086.994857017</v>
      </c>
      <c r="W86" s="2">
        <v>125040.1732912682</v>
      </c>
      <c r="X86" s="2">
        <v>308796.0656987589</v>
      </c>
      <c r="Y86" s="2">
        <f>W86+X86</f>
        <v>433836.23899002705</v>
      </c>
      <c r="Z86" s="2">
        <v>12868873.01753566</v>
      </c>
      <c r="AA86" s="2">
        <v>0</v>
      </c>
      <c r="AB86" s="2">
        <v>0</v>
      </c>
      <c r="AC86" s="2">
        <v>0</v>
      </c>
      <c r="AD86" s="2">
        <v>214925.1464945597</v>
      </c>
      <c r="AE86" s="2">
        <v>1125624.919776593</v>
      </c>
      <c r="AF86" s="2">
        <f>F86-H86-L86-U86-AA86-AC86-AD86</f>
        <v>-14832705.46505845</v>
      </c>
      <c r="AG86" s="2">
        <f>F86-H86-L86-U86-AA86-AB86-AD86-Y86</f>
        <v>-15266541.704048477</v>
      </c>
      <c r="AH86" s="2">
        <f>AH85+AG86</f>
        <v>361611806.54596037</v>
      </c>
      <c r="AI86" s="2">
        <v>56682444.96657237</v>
      </c>
      <c r="AJ86" s="2">
        <f>AH86-AI86</f>
        <v>304929361.579388</v>
      </c>
      <c r="AK86" s="3">
        <v>0.25</v>
      </c>
    </row>
    <row r="87" spans="1:37">
      <c r="A87" s="2">
        <v>86</v>
      </c>
      <c r="B87" s="2">
        <v>2034</v>
      </c>
      <c r="C87" s="2">
        <v>44</v>
      </c>
      <c r="D87" s="2">
        <v>430443.5541600503</v>
      </c>
      <c r="E87" s="2">
        <v>18939516.38304221</v>
      </c>
      <c r="F87" s="2">
        <f>E87/1.19</f>
        <v>15915559.985749759</v>
      </c>
      <c r="G87" s="2">
        <v>70</v>
      </c>
      <c r="H87" s="2">
        <v>6989214.017062248</v>
      </c>
      <c r="I87" s="2">
        <v>137</v>
      </c>
      <c r="J87" s="2">
        <v>13538466.80341939</v>
      </c>
      <c r="K87" s="2">
        <v>4348120.725185791</v>
      </c>
      <c r="L87" s="2">
        <v>1619512.17763914</v>
      </c>
      <c r="M87" s="2">
        <v>11663816.27122311</v>
      </c>
      <c r="N87" s="3">
        <v>2.5</v>
      </c>
      <c r="O87" s="3">
        <v>4</v>
      </c>
      <c r="P87" s="2">
        <v>307468.4663562176</v>
      </c>
      <c r="Q87" s="2">
        <v>889567.7668618086</v>
      </c>
      <c r="R87" s="2">
        <v>307468.4663562176</v>
      </c>
      <c r="S87" s="2">
        <v>344364.6823189636</v>
      </c>
      <c r="T87" s="2">
        <v>4538234.563417771</v>
      </c>
      <c r="U87" s="2">
        <f>M87+P87+Q87+R87+S87+T87</f>
        <v>18050920.216534093</v>
      </c>
      <c r="V87" s="2">
        <f>F87-K87-L87-U87</f>
        <v>-8102993.133609265</v>
      </c>
      <c r="W87" s="2">
        <v>122110.0713648387</v>
      </c>
      <c r="X87" s="2">
        <v>311726.1676251883</v>
      </c>
      <c r="Y87" s="2">
        <f>W87+X87</f>
        <v>433836.23899002705</v>
      </c>
      <c r="Z87" s="2">
        <v>12557146.84991047</v>
      </c>
      <c r="AA87" s="2">
        <v>0</v>
      </c>
      <c r="AB87" s="2">
        <v>0</v>
      </c>
      <c r="AC87" s="2">
        <v>0</v>
      </c>
      <c r="AD87" s="2">
        <v>187604.1532960986</v>
      </c>
      <c r="AE87" s="2">
        <v>1313229.073072691</v>
      </c>
      <c r="AF87" s="2">
        <f>F87-H87-L87-U87-AA87-AC87-AD87</f>
        <v>-10931690.578781819</v>
      </c>
      <c r="AG87" s="2">
        <f>F87-H87-L87-U87-AA87-AB87-AD87-Y87</f>
        <v>-11365526.817771846</v>
      </c>
      <c r="AH87" s="2">
        <f>AH86+AG87</f>
        <v>350246279.7281885</v>
      </c>
      <c r="AI87" s="2">
        <v>56682444.96657237</v>
      </c>
      <c r="AJ87" s="2">
        <f>AH87-AI87</f>
        <v>293563834.7616162</v>
      </c>
      <c r="AK87" s="3">
        <v>0.25</v>
      </c>
    </row>
    <row r="88" spans="1:37">
      <c r="A88" s="2">
        <v>87</v>
      </c>
      <c r="B88" s="2">
        <v>2034</v>
      </c>
      <c r="C88" s="2">
        <v>59</v>
      </c>
      <c r="D88" s="2">
        <v>430443.5541600503</v>
      </c>
      <c r="E88" s="2">
        <v>25396169.69544297</v>
      </c>
      <c r="F88" s="2">
        <f>E88/1.19</f>
        <v>21341319.071800817</v>
      </c>
      <c r="G88" s="2">
        <v>90</v>
      </c>
      <c r="H88" s="2">
        <v>8986132.307651462</v>
      </c>
      <c r="I88" s="2">
        <v>168</v>
      </c>
      <c r="J88" s="2">
        <v>16670187.88836962</v>
      </c>
      <c r="K88" s="2">
        <v>5854411.222701237</v>
      </c>
      <c r="L88" s="2">
        <v>2173536.730948652</v>
      </c>
      <c r="M88" s="2">
        <v>11663816.27122311</v>
      </c>
      <c r="N88" s="3">
        <v>2.5</v>
      </c>
      <c r="O88" s="3">
        <v>4</v>
      </c>
      <c r="P88" s="2">
        <v>307468.4663562176</v>
      </c>
      <c r="Q88" s="2">
        <v>889567.7668618086</v>
      </c>
      <c r="R88" s="2">
        <v>307468.4663562176</v>
      </c>
      <c r="S88" s="2">
        <v>344364.6823189636</v>
      </c>
      <c r="T88" s="2">
        <v>4538234.563417771</v>
      </c>
      <c r="U88" s="2">
        <f>M88+P88+Q88+R88+S88+T88</f>
        <v>18050920.216534093</v>
      </c>
      <c r="V88" s="2">
        <f>F88-K88-L88-U88</f>
        <v>-4737549.098383164</v>
      </c>
      <c r="W88" s="2">
        <v>119152.1663079522</v>
      </c>
      <c r="X88" s="2">
        <v>314684.0726820749</v>
      </c>
      <c r="Y88" s="2">
        <f>W88+X88</f>
        <v>433836.23899002705</v>
      </c>
      <c r="Z88" s="2">
        <v>12242462.77722839</v>
      </c>
      <c r="AA88" s="2">
        <v>0</v>
      </c>
      <c r="AB88" s="2">
        <v>0</v>
      </c>
      <c r="AC88" s="2">
        <v>0</v>
      </c>
      <c r="AD88" s="2">
        <v>375208.3065921979</v>
      </c>
      <c r="AE88" s="2">
        <v>1688437.379664889</v>
      </c>
      <c r="AF88" s="2">
        <f>F88-H88-L88-U88-AA88-AC88-AD88</f>
        <v>-8244478.489925588</v>
      </c>
      <c r="AG88" s="2">
        <f>F88-H88-L88-U88-AA88-AB88-AD88-Y88</f>
        <v>-8678314.728915615</v>
      </c>
      <c r="AH88" s="2">
        <f>AH87+AG88</f>
        <v>341567964.9992729</v>
      </c>
      <c r="AI88" s="2">
        <v>56682444.96657237</v>
      </c>
      <c r="AJ88" s="2">
        <f>AH88-AI88</f>
        <v>284885520.03270054</v>
      </c>
      <c r="AK88" s="3">
        <v>0.25</v>
      </c>
    </row>
    <row r="89" spans="1:37">
      <c r="A89" s="2">
        <v>88</v>
      </c>
      <c r="B89" s="2">
        <v>2034</v>
      </c>
      <c r="C89" s="2">
        <v>74</v>
      </c>
      <c r="D89" s="2">
        <v>430443.5541600503</v>
      </c>
      <c r="E89" s="2">
        <v>31852823.00784373</v>
      </c>
      <c r="F89" s="2">
        <f>E89/1.19</f>
        <v>26767078.15785187</v>
      </c>
      <c r="G89" s="2">
        <v>100</v>
      </c>
      <c r="H89" s="2">
        <v>9984591.452946069</v>
      </c>
      <c r="I89" s="2">
        <v>194</v>
      </c>
      <c r="J89" s="2">
        <v>19294877.5828927</v>
      </c>
      <c r="K89" s="2">
        <v>7359901.758422988</v>
      </c>
      <c r="L89" s="2">
        <v>2727497.287314668</v>
      </c>
      <c r="M89" s="2">
        <v>11663816.27122311</v>
      </c>
      <c r="N89" s="3">
        <v>2.5</v>
      </c>
      <c r="O89" s="3">
        <v>4</v>
      </c>
      <c r="P89" s="2">
        <v>307468.4663562176</v>
      </c>
      <c r="Q89" s="2">
        <v>889567.7668618086</v>
      </c>
      <c r="R89" s="2">
        <v>307468.4663562176</v>
      </c>
      <c r="S89" s="2">
        <v>344364.6823189636</v>
      </c>
      <c r="T89" s="2">
        <v>4538234.563417771</v>
      </c>
      <c r="U89" s="2">
        <f>M89+P89+Q89+R89+S89+T89</f>
        <v>18050920.216534093</v>
      </c>
      <c r="V89" s="2">
        <f>F89-K89-L89-U89</f>
        <v>-1371241.1044198796</v>
      </c>
      <c r="W89" s="2">
        <v>116166.1943024607</v>
      </c>
      <c r="X89" s="2">
        <v>317670.0446875663</v>
      </c>
      <c r="Y89" s="2">
        <f>W89+X89</f>
        <v>433836.23899002705</v>
      </c>
      <c r="Z89" s="2">
        <v>11924792.73254083</v>
      </c>
      <c r="AA89" s="2">
        <v>0</v>
      </c>
      <c r="AB89" s="2">
        <v>0</v>
      </c>
      <c r="AC89" s="2">
        <v>0</v>
      </c>
      <c r="AD89" s="2">
        <v>187604.1532960988</v>
      </c>
      <c r="AE89" s="2">
        <v>1876041.532960988</v>
      </c>
      <c r="AF89" s="2">
        <f>F89-H89-L89-U89-AA89-AC89-AD89</f>
        <v>-4183534.95223906</v>
      </c>
      <c r="AG89" s="2">
        <f>F89-H89-L89-U89-AA89-AB89-AD89-Y89</f>
        <v>-4617371.191229087</v>
      </c>
      <c r="AH89" s="2">
        <f>AH88+AG89</f>
        <v>336950593.8080438</v>
      </c>
      <c r="AI89" s="2">
        <v>56682444.96657237</v>
      </c>
      <c r="AJ89" s="2">
        <f>AH89-AI89</f>
        <v>280268148.84147143</v>
      </c>
      <c r="AK89" s="3">
        <v>0.25</v>
      </c>
    </row>
    <row r="90" spans="1:37">
      <c r="A90" s="2">
        <v>89</v>
      </c>
      <c r="B90" s="2">
        <v>2034</v>
      </c>
      <c r="C90" s="2">
        <v>89</v>
      </c>
      <c r="D90" s="2">
        <v>430443.5541600503</v>
      </c>
      <c r="E90" s="2">
        <v>38309476.32024448</v>
      </c>
      <c r="F90" s="2">
        <f>E90/1.19</f>
        <v>32192837.24390292</v>
      </c>
      <c r="G90" s="2">
        <v>120</v>
      </c>
      <c r="H90" s="2">
        <v>11981509.74353528</v>
      </c>
      <c r="I90" s="2">
        <v>225</v>
      </c>
      <c r="J90" s="2">
        <v>22411424.03963789</v>
      </c>
      <c r="K90" s="2">
        <v>8864963.286790095</v>
      </c>
      <c r="L90" s="2">
        <v>3281423.523092312</v>
      </c>
      <c r="M90" s="2">
        <v>11663816.27122311</v>
      </c>
      <c r="N90" s="3">
        <v>2.5</v>
      </c>
      <c r="O90" s="3">
        <v>4</v>
      </c>
      <c r="P90" s="2">
        <v>307468.4663562176</v>
      </c>
      <c r="Q90" s="2">
        <v>889567.7668618086</v>
      </c>
      <c r="R90" s="2">
        <v>307468.4663562176</v>
      </c>
      <c r="S90" s="2">
        <v>344364.6823189636</v>
      </c>
      <c r="T90" s="2">
        <v>4538234.563417771</v>
      </c>
      <c r="U90" s="2">
        <f>M90+P90+Q90+R90+S90+T90</f>
        <v>18050920.216534093</v>
      </c>
      <c r="V90" s="2">
        <f>F90-K90-L90-U90</f>
        <v>1995530.2174864225</v>
      </c>
      <c r="W90" s="2">
        <v>113151.8890269007</v>
      </c>
      <c r="X90" s="2">
        <v>320684.3499631264</v>
      </c>
      <c r="Y90" s="2">
        <f>W90+X90</f>
        <v>433836.23899002705</v>
      </c>
      <c r="Z90" s="2">
        <v>11604108.3825777</v>
      </c>
      <c r="AA90" s="2">
        <v>0</v>
      </c>
      <c r="AB90" s="2">
        <v>0</v>
      </c>
      <c r="AC90" s="2">
        <v>0</v>
      </c>
      <c r="AD90" s="2">
        <v>375208.3065921974</v>
      </c>
      <c r="AE90" s="2">
        <v>2251249.839553185</v>
      </c>
      <c r="AF90" s="2">
        <f>F90-H90-L90-U90-AA90-AC90-AD90</f>
        <v>-1496224.5458509598</v>
      </c>
      <c r="AG90" s="2">
        <f>F90-H90-L90-U90-AA90-AB90-AD90-Y90</f>
        <v>-1930060.7848409868</v>
      </c>
      <c r="AH90" s="2">
        <f>AH89+AG90</f>
        <v>335020533.0232028</v>
      </c>
      <c r="AI90" s="2">
        <v>56682444.96657237</v>
      </c>
      <c r="AJ90" s="2">
        <f>AH90-AI90</f>
        <v>278338088.05663043</v>
      </c>
      <c r="AK90" s="3">
        <v>0.25</v>
      </c>
    </row>
    <row r="91" spans="1:37">
      <c r="A91" s="2">
        <v>90</v>
      </c>
      <c r="B91" s="2">
        <v>2034</v>
      </c>
      <c r="C91" s="2">
        <v>103</v>
      </c>
      <c r="D91" s="2">
        <v>430443.5541600503</v>
      </c>
      <c r="E91" s="2">
        <v>44335686.07848518</v>
      </c>
      <c r="F91" s="2">
        <f>E91/1.19</f>
        <v>37256879.05755058</v>
      </c>
      <c r="G91" s="2">
        <v>150</v>
      </c>
      <c r="H91" s="2">
        <v>14976887.1794191</v>
      </c>
      <c r="I91" s="2">
        <v>272</v>
      </c>
      <c r="J91" s="2">
        <v>27118988.40422267</v>
      </c>
      <c r="K91" s="2">
        <v>10269322.81483432</v>
      </c>
      <c r="L91" s="2">
        <v>3798392.177943574</v>
      </c>
      <c r="M91" s="2">
        <v>11663816.27122311</v>
      </c>
      <c r="N91" s="3">
        <v>2.5</v>
      </c>
      <c r="O91" s="3">
        <v>4</v>
      </c>
      <c r="P91" s="2">
        <v>307468.4663562176</v>
      </c>
      <c r="Q91" s="2">
        <v>889567.7668618086</v>
      </c>
      <c r="R91" s="2">
        <v>307468.4663562176</v>
      </c>
      <c r="S91" s="2">
        <v>344364.6823189636</v>
      </c>
      <c r="T91" s="2">
        <v>4538234.563417771</v>
      </c>
      <c r="U91" s="2">
        <f>M91+P91+Q91+R91+S91+T91</f>
        <v>18050920.216534093</v>
      </c>
      <c r="V91" s="2">
        <f>F91-K91-L91-U91</f>
        <v>5138243.848238595</v>
      </c>
      <c r="W91" s="2">
        <v>110108.9816327392</v>
      </c>
      <c r="X91" s="2">
        <v>323727.2573572879</v>
      </c>
      <c r="Y91" s="2">
        <f>W91+X91</f>
        <v>433836.23899002705</v>
      </c>
      <c r="Z91" s="2">
        <v>11280381.12522041</v>
      </c>
      <c r="AA91" s="2">
        <v>0</v>
      </c>
      <c r="AB91" s="2">
        <v>0</v>
      </c>
      <c r="AC91" s="2">
        <v>0</v>
      </c>
      <c r="AD91" s="2">
        <v>562812.4598882962</v>
      </c>
      <c r="AE91" s="2">
        <v>2814062.299441481</v>
      </c>
      <c r="AF91" s="2">
        <f>F91-H91-L91-U91-AA91-AC91-AD91</f>
        <v>-132132.9762344826</v>
      </c>
      <c r="AG91" s="2">
        <f>F91-H91-L91-U91-AA91-AB91-AD91-Y91</f>
        <v>-565969.2152245096</v>
      </c>
      <c r="AH91" s="2">
        <f>AH90+AG91</f>
        <v>334454563.8079783</v>
      </c>
      <c r="AI91" s="2">
        <v>56682444.96657237</v>
      </c>
      <c r="AJ91" s="2">
        <f>AH91-AI91</f>
        <v>277772118.8414059</v>
      </c>
      <c r="AK91" s="3">
        <v>0.25</v>
      </c>
    </row>
    <row r="92" spans="1:37">
      <c r="A92" s="2">
        <v>91</v>
      </c>
      <c r="B92" s="2">
        <v>2034</v>
      </c>
      <c r="C92" s="2">
        <v>118</v>
      </c>
      <c r="D92" s="2">
        <v>430443.5541600503</v>
      </c>
      <c r="E92" s="2">
        <v>50792339.39088594</v>
      </c>
      <c r="F92" s="2">
        <f>E92/1.19</f>
        <v>42682638.14360163</v>
      </c>
      <c r="G92" s="2">
        <v>160</v>
      </c>
      <c r="H92" s="2">
        <v>15975346.32471371</v>
      </c>
      <c r="I92" s="2">
        <v>314</v>
      </c>
      <c r="J92" s="2">
        <v>31323197.00205098</v>
      </c>
      <c r="K92" s="2">
        <v>11771137.7268854</v>
      </c>
      <c r="L92" s="2">
        <v>4352058.684415937</v>
      </c>
      <c r="M92" s="2">
        <v>11663816.27122311</v>
      </c>
      <c r="N92" s="3">
        <v>2.5</v>
      </c>
      <c r="O92" s="3">
        <v>4</v>
      </c>
      <c r="P92" s="2">
        <v>307468.4663562176</v>
      </c>
      <c r="Q92" s="2">
        <v>889567.7668618086</v>
      </c>
      <c r="R92" s="2">
        <v>307468.4663562176</v>
      </c>
      <c r="S92" s="2">
        <v>344364.6823189636</v>
      </c>
      <c r="T92" s="2">
        <v>4538234.563417771</v>
      </c>
      <c r="U92" s="2">
        <f>M92+P92+Q92+R92+S92+T92</f>
        <v>18050920.216534093</v>
      </c>
      <c r="V92" s="2">
        <f>F92-K92-L92-U92</f>
        <v>8508521.515766203</v>
      </c>
      <c r="W92" s="2">
        <v>107037.2007203954</v>
      </c>
      <c r="X92" s="2">
        <v>326799.0382696317</v>
      </c>
      <c r="Y92" s="2">
        <f>W92+X92</f>
        <v>433836.2389900271</v>
      </c>
      <c r="Z92" s="2">
        <v>10953582.08695078</v>
      </c>
      <c r="AA92" s="2">
        <v>0</v>
      </c>
      <c r="AB92" s="2">
        <v>0</v>
      </c>
      <c r="AC92" s="2">
        <v>0</v>
      </c>
      <c r="AD92" s="2">
        <v>187604.1532960986</v>
      </c>
      <c r="AE92" s="2">
        <v>3001666.45273758</v>
      </c>
      <c r="AF92" s="2">
        <f>F92-H92-L92-U92-AA92-AC92-AD92</f>
        <v>4116708.7646417986</v>
      </c>
      <c r="AG92" s="2">
        <f>F92-H92-L92-U92-AA92-AB92-AD92-Y92</f>
        <v>3682872.5256517716</v>
      </c>
      <c r="AH92" s="2">
        <f>AH91+AG92</f>
        <v>338137436.33363</v>
      </c>
      <c r="AI92" s="2">
        <v>56682444.96657237</v>
      </c>
      <c r="AJ92" s="2">
        <f>AH92-AI92</f>
        <v>281454991.3670577</v>
      </c>
      <c r="AK92" s="3">
        <v>0.25</v>
      </c>
    </row>
    <row r="93" spans="1:37">
      <c r="A93" s="2">
        <v>92</v>
      </c>
      <c r="B93" s="2">
        <v>2034</v>
      </c>
      <c r="C93" s="2">
        <v>148</v>
      </c>
      <c r="D93" s="2">
        <v>430443.5541600503</v>
      </c>
      <c r="E93" s="2">
        <v>63705646.01568745</v>
      </c>
      <c r="F93" s="2">
        <f>E93/1.19</f>
        <v>53534156.31570374</v>
      </c>
      <c r="G93" s="2">
        <v>190</v>
      </c>
      <c r="H93" s="2">
        <v>18970723.76059753</v>
      </c>
      <c r="I93" s="2">
        <v>356</v>
      </c>
      <c r="J93" s="2">
        <v>35525071.01488665</v>
      </c>
      <c r="K93" s="2">
        <v>14768849.74776186</v>
      </c>
      <c r="L93" s="2">
        <v>5458918.273102607</v>
      </c>
      <c r="M93" s="2">
        <v>11663816.27122311</v>
      </c>
      <c r="N93" s="3">
        <v>2.5</v>
      </c>
      <c r="O93" s="3">
        <v>4</v>
      </c>
      <c r="P93" s="2">
        <v>307468.4663562176</v>
      </c>
      <c r="Q93" s="2">
        <v>889567.7668618086</v>
      </c>
      <c r="R93" s="2">
        <v>307468.4663562176</v>
      </c>
      <c r="S93" s="2">
        <v>344364.6823189636</v>
      </c>
      <c r="T93" s="2">
        <v>4538234.563417771</v>
      </c>
      <c r="U93" s="2">
        <f>M93+P93+Q93+R93+S93+T93</f>
        <v>18050920.216534093</v>
      </c>
      <c r="V93" s="2">
        <f>F93-K93-L93-U93</f>
        <v>15255468.078305174</v>
      </c>
      <c r="W93" s="2">
        <v>103936.272315034</v>
      </c>
      <c r="X93" s="2">
        <v>329899.966674993</v>
      </c>
      <c r="Y93" s="2">
        <f>W93+X93</f>
        <v>433836.23899002705</v>
      </c>
      <c r="Z93" s="2">
        <v>10623682.12027579</v>
      </c>
      <c r="AA93" s="2">
        <v>0</v>
      </c>
      <c r="AB93" s="2">
        <v>0</v>
      </c>
      <c r="AC93" s="2">
        <v>0</v>
      </c>
      <c r="AD93" s="2">
        <v>562812.4598882967</v>
      </c>
      <c r="AE93" s="2">
        <v>3564478.912625877</v>
      </c>
      <c r="AF93" s="2">
        <f>F93-H93-L93-U93-AA93-AC93-AD93</f>
        <v>10490781.60558121</v>
      </c>
      <c r="AG93" s="2">
        <f>F93-H93-L93-U93-AA93-AB93-AD93-Y93</f>
        <v>10056945.366591183</v>
      </c>
      <c r="AH93" s="2">
        <f>AH92+AG93</f>
        <v>348194381.7002212</v>
      </c>
      <c r="AI93" s="2">
        <v>56682444.96657237</v>
      </c>
      <c r="AJ93" s="2">
        <f>AH93-AI93</f>
        <v>291511936.73364884</v>
      </c>
      <c r="AK93" s="3">
        <v>0.25</v>
      </c>
    </row>
    <row r="94" spans="1:37">
      <c r="A94" s="2">
        <v>93</v>
      </c>
      <c r="B94" s="2">
        <v>2034</v>
      </c>
      <c r="C94" s="2">
        <v>162</v>
      </c>
      <c r="D94" s="2">
        <v>430443.5541600503</v>
      </c>
      <c r="E94" s="2">
        <v>69731855.77392815</v>
      </c>
      <c r="F94" s="2">
        <f>E94/1.19</f>
        <v>58598198.12935139</v>
      </c>
      <c r="G94" s="2">
        <v>210</v>
      </c>
      <c r="H94" s="2">
        <v>20967642.05118674</v>
      </c>
      <c r="I94" s="2">
        <v>404</v>
      </c>
      <c r="J94" s="2">
        <v>40323420.63373437</v>
      </c>
      <c r="K94" s="2">
        <v>16169292.43233903</v>
      </c>
      <c r="L94" s="2">
        <v>5975573.580476504</v>
      </c>
      <c r="M94" s="2">
        <v>11663816.27122311</v>
      </c>
      <c r="N94" s="3">
        <v>2.5</v>
      </c>
      <c r="O94" s="3">
        <v>4</v>
      </c>
      <c r="P94" s="2">
        <v>307468.4663562176</v>
      </c>
      <c r="Q94" s="2">
        <v>889567.7668618086</v>
      </c>
      <c r="R94" s="2">
        <v>307468.4663562176</v>
      </c>
      <c r="S94" s="2">
        <v>344364.6823189636</v>
      </c>
      <c r="T94" s="2">
        <v>4538234.563417771</v>
      </c>
      <c r="U94" s="2">
        <f>M94+P94+Q94+R94+S94+T94</f>
        <v>18050920.216534093</v>
      </c>
      <c r="V94" s="2">
        <f>F94-K94-L94-U94</f>
        <v>18402411.900001764</v>
      </c>
      <c r="W94" s="2">
        <v>100805.9198421291</v>
      </c>
      <c r="X94" s="2">
        <v>333030.3191478979</v>
      </c>
      <c r="Y94" s="2">
        <f>W94+X94</f>
        <v>433836.23899002705</v>
      </c>
      <c r="Z94" s="2">
        <v>10290651.80112789</v>
      </c>
      <c r="AA94" s="2">
        <v>0</v>
      </c>
      <c r="AB94" s="2">
        <v>0</v>
      </c>
      <c r="AC94" s="2">
        <v>0</v>
      </c>
      <c r="AD94" s="2">
        <v>375208.3065921981</v>
      </c>
      <c r="AE94" s="2">
        <v>3939687.219218075</v>
      </c>
      <c r="AF94" s="2">
        <f>F94-H94-L94-U94-AA94-AC94-AD94</f>
        <v>13228853.974561857</v>
      </c>
      <c r="AG94" s="2">
        <f>F94-H94-L94-U94-AA94-AB94-AD94-Y94</f>
        <v>12795017.73557183</v>
      </c>
      <c r="AH94" s="2">
        <f>AH93+AG94</f>
        <v>360989399.435793</v>
      </c>
      <c r="AI94" s="2">
        <v>56682444.96657237</v>
      </c>
      <c r="AJ94" s="2">
        <f>AH94-AI94</f>
        <v>304306954.46922064</v>
      </c>
      <c r="AK94" s="3">
        <v>0.25</v>
      </c>
    </row>
    <row r="95" spans="1:37">
      <c r="A95" s="2">
        <v>94</v>
      </c>
      <c r="B95" s="2">
        <v>2034</v>
      </c>
      <c r="C95" s="2">
        <v>192</v>
      </c>
      <c r="D95" s="2">
        <v>430443.5541600503</v>
      </c>
      <c r="E95" s="2">
        <v>82645162.39872967</v>
      </c>
      <c r="F95" s="2">
        <f>E95/1.19</f>
        <v>69449716.3014535</v>
      </c>
      <c r="G95" s="2">
        <v>250</v>
      </c>
      <c r="H95" s="2">
        <v>24961478.63236517</v>
      </c>
      <c r="I95" s="2">
        <v>462</v>
      </c>
      <c r="J95" s="2">
        <v>46118690.30724463</v>
      </c>
      <c r="K95" s="2">
        <v>19166208.95885491</v>
      </c>
      <c r="L95" s="2">
        <v>7082369.529614327</v>
      </c>
      <c r="M95" s="2">
        <v>11663816.27122311</v>
      </c>
      <c r="N95" s="3">
        <v>2.5</v>
      </c>
      <c r="O95" s="3">
        <v>4</v>
      </c>
      <c r="P95" s="2">
        <v>307468.4663562176</v>
      </c>
      <c r="Q95" s="2">
        <v>889567.7668618086</v>
      </c>
      <c r="R95" s="2">
        <v>307468.4663562176</v>
      </c>
      <c r="S95" s="2">
        <v>344364.6823189636</v>
      </c>
      <c r="T95" s="2">
        <v>4538234.563417771</v>
      </c>
      <c r="U95" s="2">
        <f>M95+P95+Q95+R95+S95+T95</f>
        <v>18050920.216534093</v>
      </c>
      <c r="V95" s="2">
        <f>F95-K95-L95-U95</f>
        <v>25150217.596450165</v>
      </c>
      <c r="W95" s="2">
        <v>97645.86410279662</v>
      </c>
      <c r="X95" s="2">
        <v>336190.3748872305</v>
      </c>
      <c r="Y95" s="2">
        <f>W95+X95</f>
        <v>433836.2389900271</v>
      </c>
      <c r="Z95" s="2">
        <v>9954461.42624066</v>
      </c>
      <c r="AA95" s="2">
        <v>0</v>
      </c>
      <c r="AB95" s="2">
        <v>0</v>
      </c>
      <c r="AC95" s="2">
        <v>0</v>
      </c>
      <c r="AD95" s="2">
        <v>750416.6131843948</v>
      </c>
      <c r="AE95" s="2">
        <v>4690103.83240247</v>
      </c>
      <c r="AF95" s="2">
        <f>F95-H95-L95-U95-AA95-AC95-AD95</f>
        <v>18604531.309755515</v>
      </c>
      <c r="AG95" s="2">
        <f>F95-H95-L95-U95-AA95-AB95-AD95-Y95</f>
        <v>18170695.070765488</v>
      </c>
      <c r="AH95" s="2">
        <f>AH94+AG95</f>
        <v>379160094.5065585</v>
      </c>
      <c r="AI95" s="2">
        <v>56682444.96657237</v>
      </c>
      <c r="AJ95" s="2">
        <f>AH95-AI95</f>
        <v>322477649.53998613</v>
      </c>
      <c r="AK95" s="3">
        <v>0.25</v>
      </c>
    </row>
    <row r="96" spans="1:37">
      <c r="A96" s="2">
        <v>95</v>
      </c>
      <c r="B96" s="2">
        <v>2034</v>
      </c>
      <c r="C96" s="2">
        <v>207</v>
      </c>
      <c r="D96" s="2">
        <v>430443.5541600503</v>
      </c>
      <c r="E96" s="2">
        <v>89101815.71113041</v>
      </c>
      <c r="F96" s="2">
        <f>E96/1.19</f>
        <v>74875475.38750455</v>
      </c>
      <c r="G96" s="2">
        <v>30</v>
      </c>
      <c r="H96" s="2">
        <v>2995377.435883821</v>
      </c>
      <c r="I96" s="2">
        <v>285</v>
      </c>
      <c r="J96" s="2">
        <v>28450222.16827562</v>
      </c>
      <c r="K96" s="2">
        <v>20663845.57485282</v>
      </c>
      <c r="L96" s="2">
        <v>7635701.772402436</v>
      </c>
      <c r="M96" s="2">
        <v>11663816.27122311</v>
      </c>
      <c r="N96" s="3">
        <v>2.5</v>
      </c>
      <c r="O96" s="3">
        <v>4</v>
      </c>
      <c r="P96" s="2">
        <v>307468.4663562176</v>
      </c>
      <c r="Q96" s="2">
        <v>889567.7668618086</v>
      </c>
      <c r="R96" s="2">
        <v>307468.4663562176</v>
      </c>
      <c r="S96" s="2">
        <v>344364.6823189636</v>
      </c>
      <c r="T96" s="2">
        <v>4538234.563417771</v>
      </c>
      <c r="U96" s="2">
        <f>M96+P96+Q96+R96+S96+T96</f>
        <v>18050920.216534093</v>
      </c>
      <c r="V96" s="2">
        <f>F96-K96-L96-U96</f>
        <v>28525007.823715195</v>
      </c>
      <c r="W96" s="2">
        <v>94455.82324889184</v>
      </c>
      <c r="X96" s="2">
        <v>339380.4157411352</v>
      </c>
      <c r="Y96" s="2">
        <f>W96+X96</f>
        <v>433836.23899002705</v>
      </c>
      <c r="Z96" s="2">
        <v>9615081.010499526</v>
      </c>
      <c r="AA96" s="2">
        <v>0</v>
      </c>
      <c r="AB96" s="2">
        <v>0</v>
      </c>
      <c r="AC96" s="2">
        <v>0</v>
      </c>
      <c r="AD96" s="2">
        <v>-4127291.372514173</v>
      </c>
      <c r="AE96" s="2">
        <v>562812.4598882963</v>
      </c>
      <c r="AF96" s="2">
        <f>F96-H96-L96-U96-AA96-AC96-AD96</f>
        <v>50320767.33519837</v>
      </c>
      <c r="AG96" s="2">
        <f>F96-H96-L96-U96-AA96-AB96-AD96-Y96</f>
        <v>49886931.09620835</v>
      </c>
      <c r="AH96" s="2">
        <f>AH95+AG96</f>
        <v>429047025.6027668</v>
      </c>
      <c r="AI96" s="2">
        <v>56682444.96657237</v>
      </c>
      <c r="AJ96" s="2">
        <f>AH96-AI96</f>
        <v>372364580.63619447</v>
      </c>
      <c r="AK96" s="3">
        <v>0.25</v>
      </c>
    </row>
    <row r="97" spans="1:37">
      <c r="A97" s="2">
        <v>96</v>
      </c>
      <c r="B97" s="2">
        <v>2034</v>
      </c>
      <c r="C97" s="2">
        <v>251</v>
      </c>
      <c r="D97" s="2">
        <v>430443.5541600503</v>
      </c>
      <c r="E97" s="2">
        <v>108041332.0941726</v>
      </c>
      <c r="F97" s="2">
        <f>E97/1.19</f>
        <v>90791035.37325431</v>
      </c>
      <c r="G97" s="2">
        <v>50</v>
      </c>
      <c r="H97" s="2">
        <v>4992295.726473034</v>
      </c>
      <c r="I97" s="2">
        <v>84</v>
      </c>
      <c r="J97" s="2">
        <v>8385586.576593693</v>
      </c>
      <c r="K97" s="2">
        <v>25056931.31815496</v>
      </c>
      <c r="L97" s="2">
        <v>9258811.151490884</v>
      </c>
      <c r="M97" s="2">
        <v>11663816.27122311</v>
      </c>
      <c r="N97" s="3">
        <v>2.5</v>
      </c>
      <c r="O97" s="3">
        <v>4</v>
      </c>
      <c r="P97" s="2">
        <v>307468.4663562176</v>
      </c>
      <c r="Q97" s="2">
        <v>889567.7668618086</v>
      </c>
      <c r="R97" s="2">
        <v>307468.4663562176</v>
      </c>
      <c r="S97" s="2">
        <v>344364.6823189636</v>
      </c>
      <c r="T97" s="2">
        <v>4538234.563417771</v>
      </c>
      <c r="U97" s="2">
        <f>M97+P97+Q97+R97+S97+T97</f>
        <v>18050920.216534093</v>
      </c>
      <c r="V97" s="2">
        <f>F97-K97-L97-U97</f>
        <v>38424372.68707438</v>
      </c>
      <c r="W97" s="2">
        <v>91235.51275787152</v>
      </c>
      <c r="X97" s="2">
        <v>342600.7262321555</v>
      </c>
      <c r="Y97" s="2">
        <f>W97+X97</f>
        <v>433836.23899002705</v>
      </c>
      <c r="Z97" s="2">
        <v>9272480.28426737</v>
      </c>
      <c r="AA97" s="2">
        <v>0</v>
      </c>
      <c r="AB97" s="2">
        <v>28445287.71952442</v>
      </c>
      <c r="AC97" s="2">
        <v>28770499.23675274</v>
      </c>
      <c r="AD97" s="2">
        <v>375208.3065921976</v>
      </c>
      <c r="AE97" s="2">
        <v>938020.7664804939</v>
      </c>
      <c r="AF97" s="2">
        <f>F97-H97-L97-U97-AA97-AC97-AD97</f>
        <v>29343300.73541137</v>
      </c>
      <c r="AG97" s="2">
        <f>F97-H97-L97-U97-AA97-AB97-AD97-Y97</f>
        <v>29234676.01364966</v>
      </c>
      <c r="AH97" s="2">
        <f>AH96+AG97</f>
        <v>458281701.61641645</v>
      </c>
      <c r="AI97" s="2">
        <v>56682444.96657237</v>
      </c>
      <c r="AJ97" s="2">
        <f>AH97-AI97</f>
        <v>401599256.6498441</v>
      </c>
      <c r="AK97" s="3">
        <v>0.25</v>
      </c>
    </row>
    <row r="98" spans="1:37">
      <c r="A98" s="2">
        <v>97</v>
      </c>
      <c r="B98" s="2">
        <v>2035</v>
      </c>
      <c r="C98" s="2">
        <v>31</v>
      </c>
      <c r="D98" s="2">
        <v>443356.8607848518</v>
      </c>
      <c r="E98" s="2">
        <v>13744062.68433041</v>
      </c>
      <c r="F98" s="2">
        <f>E98/1.19</f>
        <v>11549632.50784068</v>
      </c>
      <c r="G98" s="2">
        <v>60</v>
      </c>
      <c r="H98" s="2">
        <v>6170477.51792067</v>
      </c>
      <c r="I98" s="2">
        <v>113</v>
      </c>
      <c r="J98" s="2">
        <v>11422466.96305641</v>
      </c>
      <c r="K98" s="2">
        <v>3133597.131457953</v>
      </c>
      <c r="L98" s="2">
        <v>1173510.139871253</v>
      </c>
      <c r="M98" s="2">
        <v>12013730.75935981</v>
      </c>
      <c r="N98" s="3">
        <v>2.5</v>
      </c>
      <c r="O98" s="3">
        <v>4</v>
      </c>
      <c r="P98" s="2">
        <v>316692.5203469041</v>
      </c>
      <c r="Q98" s="2">
        <v>984407.0302463167</v>
      </c>
      <c r="R98" s="2">
        <v>316692.5203469041</v>
      </c>
      <c r="S98" s="2">
        <v>354695.6227885326</v>
      </c>
      <c r="T98" s="2">
        <v>4908734.065377014</v>
      </c>
      <c r="U98" s="2">
        <f>M98+P98+Q98+R98+S98+T98</f>
        <v>18894952.518465478</v>
      </c>
      <c r="V98" s="2">
        <f>F98-K98-L98-U98</f>
        <v>-11652427.281954005</v>
      </c>
      <c r="W98" s="2">
        <v>87984.64540741681</v>
      </c>
      <c r="X98" s="2">
        <v>345851.5935826103</v>
      </c>
      <c r="Y98" s="2">
        <f>W98+X98</f>
        <v>433836.23899002705</v>
      </c>
      <c r="Z98" s="2">
        <v>8926628.69068476</v>
      </c>
      <c r="AA98" s="2">
        <v>0</v>
      </c>
      <c r="AB98" s="2">
        <v>0</v>
      </c>
      <c r="AC98" s="2">
        <v>0</v>
      </c>
      <c r="AD98" s="2">
        <v>221372.9008893966</v>
      </c>
      <c r="AE98" s="2">
        <v>1159393.66736989</v>
      </c>
      <c r="AF98" s="2">
        <f>F98-H98-L98-U98-AA98-AC98-AD98</f>
        <v>-14910680.569306118</v>
      </c>
      <c r="AG98" s="2">
        <f>F98-H98-L98-U98-AA98-AB98-AD98-Y98</f>
        <v>-15344516.808296146</v>
      </c>
      <c r="AH98" s="2">
        <f>AH97+AG98</f>
        <v>442937184.8081203</v>
      </c>
      <c r="AI98" s="2">
        <v>59214541.87236652</v>
      </c>
      <c r="AJ98" s="2">
        <f>AH98-AI98</f>
        <v>383722642.9357538</v>
      </c>
      <c r="AK98" s="3">
        <v>0.25</v>
      </c>
    </row>
    <row r="99" spans="1:37">
      <c r="A99" s="2">
        <v>98</v>
      </c>
      <c r="B99" s="2">
        <v>2035</v>
      </c>
      <c r="C99" s="2">
        <v>47</v>
      </c>
      <c r="D99" s="2">
        <v>443356.8607848518</v>
      </c>
      <c r="E99" s="2">
        <v>20837772.45688804</v>
      </c>
      <c r="F99" s="2">
        <f>E99/1.19</f>
        <v>17510733.157048773</v>
      </c>
      <c r="G99" s="2">
        <v>80</v>
      </c>
      <c r="H99" s="2">
        <v>8227303.35722756</v>
      </c>
      <c r="I99" s="2">
        <v>146</v>
      </c>
      <c r="J99" s="2">
        <v>14864593.09202829</v>
      </c>
      <c r="K99" s="2">
        <v>4785177.228255683</v>
      </c>
      <c r="L99" s="2">
        <v>1781931.964056164</v>
      </c>
      <c r="M99" s="2">
        <v>12013730.75935981</v>
      </c>
      <c r="N99" s="3">
        <v>2.5</v>
      </c>
      <c r="O99" s="3">
        <v>4</v>
      </c>
      <c r="P99" s="2">
        <v>316692.5203469041</v>
      </c>
      <c r="Q99" s="2">
        <v>984407.0302463167</v>
      </c>
      <c r="R99" s="2">
        <v>316692.5203469041</v>
      </c>
      <c r="S99" s="2">
        <v>354695.6227885326</v>
      </c>
      <c r="T99" s="2">
        <v>4908734.065377014</v>
      </c>
      <c r="U99" s="2">
        <f>M99+P99+Q99+R99+S99+T99</f>
        <v>18894952.518465478</v>
      </c>
      <c r="V99" s="2">
        <f>F99-K99-L99-U99</f>
        <v>-7951328.553728551</v>
      </c>
      <c r="W99" s="2">
        <v>84702.93124981585</v>
      </c>
      <c r="X99" s="2">
        <v>349133.3077402112</v>
      </c>
      <c r="Y99" s="2">
        <f>W99+X99</f>
        <v>433836.23899002705</v>
      </c>
      <c r="Z99" s="2">
        <v>8577495.382944549</v>
      </c>
      <c r="AA99" s="2">
        <v>0</v>
      </c>
      <c r="AB99" s="2">
        <v>0</v>
      </c>
      <c r="AC99" s="2">
        <v>0</v>
      </c>
      <c r="AD99" s="2">
        <v>386464.5557899633</v>
      </c>
      <c r="AE99" s="2">
        <v>1545858.223159854</v>
      </c>
      <c r="AF99" s="2">
        <f>F99-H99-L99-U99-AA99-AC99-AD99</f>
        <v>-11779919.238490392</v>
      </c>
      <c r="AG99" s="2">
        <f>F99-H99-L99-U99-AA99-AB99-AD99-Y99</f>
        <v>-12213755.477480419</v>
      </c>
      <c r="AH99" s="2">
        <f>AH98+AG99</f>
        <v>430723429.3306399</v>
      </c>
      <c r="AI99" s="2">
        <v>59214541.87236652</v>
      </c>
      <c r="AJ99" s="2">
        <f>AH99-AI99</f>
        <v>371508887.4582734</v>
      </c>
      <c r="AK99" s="3">
        <v>0.25</v>
      </c>
    </row>
    <row r="100" spans="1:37">
      <c r="A100" s="2">
        <v>99</v>
      </c>
      <c r="B100" s="2">
        <v>2035</v>
      </c>
      <c r="C100" s="2">
        <v>62</v>
      </c>
      <c r="D100" s="2">
        <v>443356.8607848518</v>
      </c>
      <c r="E100" s="2">
        <v>27488125.36866082</v>
      </c>
      <c r="F100" s="2">
        <f>E100/1.19</f>
        <v>23099265.01568136</v>
      </c>
      <c r="G100" s="2">
        <v>90</v>
      </c>
      <c r="H100" s="2">
        <v>9255716.276881007</v>
      </c>
      <c r="I100" s="2">
        <v>174</v>
      </c>
      <c r="J100" s="2">
        <v>17783617.92453482</v>
      </c>
      <c r="K100" s="2">
        <v>6336691.444374477</v>
      </c>
      <c r="L100" s="2">
        <v>2352580.054259192</v>
      </c>
      <c r="M100" s="2">
        <v>12013730.75935981</v>
      </c>
      <c r="N100" s="3">
        <v>2.5</v>
      </c>
      <c r="O100" s="3">
        <v>4</v>
      </c>
      <c r="P100" s="2">
        <v>316692.5203469041</v>
      </c>
      <c r="Q100" s="2">
        <v>984407.0302463167</v>
      </c>
      <c r="R100" s="2">
        <v>316692.5203469041</v>
      </c>
      <c r="S100" s="2">
        <v>354695.6227885326</v>
      </c>
      <c r="T100" s="2">
        <v>4908734.065377014</v>
      </c>
      <c r="U100" s="2">
        <f>M100+P100+Q100+R100+S100+T100</f>
        <v>18894952.518465478</v>
      </c>
      <c r="V100" s="2">
        <f>F100-K100-L100-U100</f>
        <v>-4484959.001417786</v>
      </c>
      <c r="W100" s="2">
        <v>81390.07758610293</v>
      </c>
      <c r="X100" s="2">
        <v>352446.1614039241</v>
      </c>
      <c r="Y100" s="2">
        <f>W100+X100</f>
        <v>433836.23899002705</v>
      </c>
      <c r="Z100" s="2">
        <v>8225049.221540624</v>
      </c>
      <c r="AA100" s="2">
        <v>0</v>
      </c>
      <c r="AB100" s="2">
        <v>0</v>
      </c>
      <c r="AC100" s="2">
        <v>0</v>
      </c>
      <c r="AD100" s="2">
        <v>193232.2778949821</v>
      </c>
      <c r="AE100" s="2">
        <v>1739090.501054836</v>
      </c>
      <c r="AF100" s="2">
        <f>F100-H100-L100-U100-AA100-AC100-AD100</f>
        <v>-7597216.1118193</v>
      </c>
      <c r="AG100" s="2">
        <f>F100-H100-L100-U100-AA100-AB100-AD100-Y100</f>
        <v>-8031052.350809327</v>
      </c>
      <c r="AH100" s="2">
        <f>AH99+AG100</f>
        <v>422692376.97983056</v>
      </c>
      <c r="AI100" s="2">
        <v>59214541.87236652</v>
      </c>
      <c r="AJ100" s="2">
        <f>AH100-AI100</f>
        <v>363477835.1074641</v>
      </c>
      <c r="AK100" s="3">
        <v>0.25</v>
      </c>
    </row>
    <row r="101" spans="1:37">
      <c r="A101" s="2">
        <v>100</v>
      </c>
      <c r="B101" s="2">
        <v>2035</v>
      </c>
      <c r="C101" s="2">
        <v>78</v>
      </c>
      <c r="D101" s="2">
        <v>443356.8607848518</v>
      </c>
      <c r="E101" s="2">
        <v>34581835.14121845</v>
      </c>
      <c r="F101" s="2">
        <f>E101/1.19</f>
        <v>29060365.66488945</v>
      </c>
      <c r="G101" s="2">
        <v>110</v>
      </c>
      <c r="H101" s="2">
        <v>11312542.11618789</v>
      </c>
      <c r="I101" s="2">
        <v>206</v>
      </c>
      <c r="J101" s="2">
        <v>21104961.15629887</v>
      </c>
      <c r="K101" s="2">
        <v>7991198.884423844</v>
      </c>
      <c r="L101" s="2">
        <v>2961236.065904235</v>
      </c>
      <c r="M101" s="2">
        <v>12013730.75935981</v>
      </c>
      <c r="N101" s="3">
        <v>2.5</v>
      </c>
      <c r="O101" s="3">
        <v>4</v>
      </c>
      <c r="P101" s="2">
        <v>316692.5203469041</v>
      </c>
      <c r="Q101" s="2">
        <v>984407.0302463167</v>
      </c>
      <c r="R101" s="2">
        <v>316692.5203469041</v>
      </c>
      <c r="S101" s="2">
        <v>354695.6227885326</v>
      </c>
      <c r="T101" s="2">
        <v>4908734.065377014</v>
      </c>
      <c r="U101" s="2">
        <f>M101+P101+Q101+R101+S101+T101</f>
        <v>18894952.518465478</v>
      </c>
      <c r="V101" s="2">
        <f>F101-K101-L101-U101</f>
        <v>-787021.803904105</v>
      </c>
      <c r="W101" s="2">
        <v>78045.78893995246</v>
      </c>
      <c r="X101" s="2">
        <v>355790.4500500746</v>
      </c>
      <c r="Y101" s="2">
        <f>W101+X101</f>
        <v>433836.23899002705</v>
      </c>
      <c r="Z101" s="2">
        <v>7869258.77149055</v>
      </c>
      <c r="AA101" s="2">
        <v>0</v>
      </c>
      <c r="AB101" s="2">
        <v>0</v>
      </c>
      <c r="AC101" s="2">
        <v>0</v>
      </c>
      <c r="AD101" s="2">
        <v>386464.5557899633</v>
      </c>
      <c r="AE101" s="2">
        <v>2125555.056844799</v>
      </c>
      <c r="AF101" s="2">
        <f>F101-H101-L101-U101-AA101-AC101-AD101</f>
        <v>-4494829.59145812</v>
      </c>
      <c r="AG101" s="2">
        <f>F101-H101-L101-U101-AA101-AB101-AD101-Y101</f>
        <v>-4928665.830448148</v>
      </c>
      <c r="AH101" s="2">
        <f>AH100+AG101</f>
        <v>417763711.1493824</v>
      </c>
      <c r="AI101" s="2">
        <v>59214541.87236652</v>
      </c>
      <c r="AJ101" s="2">
        <f>AH101-AI101</f>
        <v>358549169.2770159</v>
      </c>
      <c r="AK101" s="3">
        <v>0.25</v>
      </c>
    </row>
    <row r="102" spans="1:37">
      <c r="A102" s="2">
        <v>101</v>
      </c>
      <c r="B102" s="2">
        <v>2035</v>
      </c>
      <c r="C102" s="2">
        <v>93</v>
      </c>
      <c r="D102" s="2">
        <v>443356.8607848518</v>
      </c>
      <c r="E102" s="2">
        <v>41232188.05299122</v>
      </c>
      <c r="F102" s="2">
        <f>E102/1.19</f>
        <v>34648897.523522034</v>
      </c>
      <c r="G102" s="2">
        <v>120</v>
      </c>
      <c r="H102" s="2">
        <v>12340955.03584134</v>
      </c>
      <c r="I102" s="2">
        <v>233</v>
      </c>
      <c r="J102" s="2">
        <v>23904596.54223518</v>
      </c>
      <c r="K102" s="2">
        <v>9541319.64990503</v>
      </c>
      <c r="L102" s="2">
        <v>3531772.680056253</v>
      </c>
      <c r="M102" s="2">
        <v>12013730.75935981</v>
      </c>
      <c r="N102" s="3">
        <v>2.5</v>
      </c>
      <c r="O102" s="3">
        <v>4</v>
      </c>
      <c r="P102" s="2">
        <v>316692.5203469041</v>
      </c>
      <c r="Q102" s="2">
        <v>984407.0302463167</v>
      </c>
      <c r="R102" s="2">
        <v>316692.5203469041</v>
      </c>
      <c r="S102" s="2">
        <v>354695.6227885326</v>
      </c>
      <c r="T102" s="2">
        <v>4908734.065377014</v>
      </c>
      <c r="U102" s="2">
        <f>M102+P102+Q102+R102+S102+T102</f>
        <v>18894952.518465478</v>
      </c>
      <c r="V102" s="2">
        <f>F102-K102-L102-U102</f>
        <v>2680852.6750952713</v>
      </c>
      <c r="W102" s="2">
        <v>74669.76703132519</v>
      </c>
      <c r="X102" s="2">
        <v>359166.4719587018</v>
      </c>
      <c r="Y102" s="2">
        <f>W102+X102</f>
        <v>433836.23899002705</v>
      </c>
      <c r="Z102" s="2">
        <v>7510092.299531848</v>
      </c>
      <c r="AA102" s="2">
        <v>0</v>
      </c>
      <c r="AB102" s="2">
        <v>0</v>
      </c>
      <c r="AC102" s="2">
        <v>0</v>
      </c>
      <c r="AD102" s="2">
        <v>193232.2778949817</v>
      </c>
      <c r="AE102" s="2">
        <v>2318787.334739781</v>
      </c>
      <c r="AF102" s="2">
        <f>F102-H102-L102-U102-AA102-AC102-AD102</f>
        <v>-312014.9887360153</v>
      </c>
      <c r="AG102" s="2">
        <f>F102-H102-L102-U102-AA102-AB102-AD102-Y102</f>
        <v>-745851.2277260423</v>
      </c>
      <c r="AH102" s="2">
        <f>AH101+AG102</f>
        <v>417017859.92165637</v>
      </c>
      <c r="AI102" s="2">
        <v>59214541.87236652</v>
      </c>
      <c r="AJ102" s="2">
        <f>AH102-AI102</f>
        <v>357803318.0492898</v>
      </c>
      <c r="AK102" s="3">
        <v>0.25</v>
      </c>
    </row>
    <row r="103" spans="1:37">
      <c r="A103" s="2">
        <v>102</v>
      </c>
      <c r="B103" s="2">
        <v>2035</v>
      </c>
      <c r="C103" s="2">
        <v>109</v>
      </c>
      <c r="D103" s="2">
        <v>443356.8607848518</v>
      </c>
      <c r="E103" s="2">
        <v>48325897.82554885</v>
      </c>
      <c r="F103" s="2">
        <f>E103/1.19</f>
        <v>40609998.172730125</v>
      </c>
      <c r="G103" s="2">
        <v>160</v>
      </c>
      <c r="H103" s="2">
        <v>16454606.71445512</v>
      </c>
      <c r="I103" s="2">
        <v>284</v>
      </c>
      <c r="J103" s="2">
        <v>29165429.32544541</v>
      </c>
      <c r="K103" s="2">
        <v>11193773.93124489</v>
      </c>
      <c r="L103" s="2">
        <v>4140264.439004535</v>
      </c>
      <c r="M103" s="2">
        <v>12013730.75935981</v>
      </c>
      <c r="N103" s="3">
        <v>2.5</v>
      </c>
      <c r="O103" s="3">
        <v>4</v>
      </c>
      <c r="P103" s="2">
        <v>316692.5203469041</v>
      </c>
      <c r="Q103" s="2">
        <v>984407.0302463167</v>
      </c>
      <c r="R103" s="2">
        <v>316692.5203469041</v>
      </c>
      <c r="S103" s="2">
        <v>354695.6227885326</v>
      </c>
      <c r="T103" s="2">
        <v>4908734.065377014</v>
      </c>
      <c r="U103" s="2">
        <f>M103+P103+Q103+R103+S103+T103</f>
        <v>18894952.518465478</v>
      </c>
      <c r="V103" s="2">
        <f>F103-K103-L103-U103</f>
        <v>6381007.284015216</v>
      </c>
      <c r="W103" s="2">
        <v>71261.71074986435</v>
      </c>
      <c r="X103" s="2">
        <v>362574.5282401627</v>
      </c>
      <c r="Y103" s="2">
        <f>W103+X103</f>
        <v>433836.23899002705</v>
      </c>
      <c r="Z103" s="2">
        <v>7147517.771291685</v>
      </c>
      <c r="AA103" s="2">
        <v>0</v>
      </c>
      <c r="AB103" s="2">
        <v>0</v>
      </c>
      <c r="AC103" s="2">
        <v>0</v>
      </c>
      <c r="AD103" s="2">
        <v>772929.1115799267</v>
      </c>
      <c r="AE103" s="2">
        <v>3091716.446319708</v>
      </c>
      <c r="AF103" s="2">
        <f>F103-H103-L103-U103-AA103-AC103-AD103</f>
        <v>347245.38922506385</v>
      </c>
      <c r="AG103" s="2">
        <f>F103-H103-L103-U103-AA103-AB103-AD103-Y103</f>
        <v>-86590.8497649632</v>
      </c>
      <c r="AH103" s="2">
        <f>AH102+AG103</f>
        <v>416931269.0718914</v>
      </c>
      <c r="AI103" s="2">
        <v>59214541.87236652</v>
      </c>
      <c r="AJ103" s="2">
        <f>AH103-AI103</f>
        <v>357716727.1995249</v>
      </c>
      <c r="AK103" s="3">
        <v>0.25</v>
      </c>
    </row>
    <row r="104" spans="1:37">
      <c r="A104" s="2">
        <v>103</v>
      </c>
      <c r="B104" s="2">
        <v>2035</v>
      </c>
      <c r="C104" s="2">
        <v>124</v>
      </c>
      <c r="D104" s="2">
        <v>443356.8607848518</v>
      </c>
      <c r="E104" s="2">
        <v>54976250.73732163</v>
      </c>
      <c r="F104" s="2">
        <f>E104/1.19</f>
        <v>46198530.03136272</v>
      </c>
      <c r="G104" s="2">
        <v>170</v>
      </c>
      <c r="H104" s="2">
        <v>17483019.63410857</v>
      </c>
      <c r="I104" s="2">
        <v>330</v>
      </c>
      <c r="J104" s="2">
        <v>33907462.90011632</v>
      </c>
      <c r="K104" s="2">
        <v>12740986.05943765</v>
      </c>
      <c r="L104" s="2">
        <v>4710568.36217348</v>
      </c>
      <c r="M104" s="2">
        <v>12013730.75935981</v>
      </c>
      <c r="N104" s="3">
        <v>2.5</v>
      </c>
      <c r="O104" s="3">
        <v>4</v>
      </c>
      <c r="P104" s="2">
        <v>316692.5203469041</v>
      </c>
      <c r="Q104" s="2">
        <v>984407.0302463167</v>
      </c>
      <c r="R104" s="2">
        <v>316692.5203469041</v>
      </c>
      <c r="S104" s="2">
        <v>354695.6227885326</v>
      </c>
      <c r="T104" s="2">
        <v>4908734.065377014</v>
      </c>
      <c r="U104" s="2">
        <f>M104+P104+Q104+R104+S104+T104</f>
        <v>18894952.518465478</v>
      </c>
      <c r="V104" s="2">
        <f>F104-K104-L104-U104</f>
        <v>9852023.091286115</v>
      </c>
      <c r="W104" s="2">
        <v>67821.3161280393</v>
      </c>
      <c r="X104" s="2">
        <v>366014.9228619877</v>
      </c>
      <c r="Y104" s="2">
        <f>W104+X104</f>
        <v>433836.238990027</v>
      </c>
      <c r="Z104" s="2">
        <v>6781502.848429698</v>
      </c>
      <c r="AA104" s="2">
        <v>0</v>
      </c>
      <c r="AB104" s="2">
        <v>0</v>
      </c>
      <c r="AC104" s="2">
        <v>0</v>
      </c>
      <c r="AD104" s="2">
        <v>193232.2778949821</v>
      </c>
      <c r="AE104" s="2">
        <v>3284948.72421469</v>
      </c>
      <c r="AF104" s="2">
        <f>F104-H104-L104-U104-AA104-AC104-AD104</f>
        <v>4916757.238720211</v>
      </c>
      <c r="AG104" s="2">
        <f>F104-H104-L104-U104-AA104-AB104-AD104-Y104</f>
        <v>4482920.999730185</v>
      </c>
      <c r="AH104" s="2">
        <f>AH103+AG104</f>
        <v>421414190.0716216</v>
      </c>
      <c r="AI104" s="2">
        <v>59214541.87236652</v>
      </c>
      <c r="AJ104" s="2">
        <f>AH104-AI104</f>
        <v>362199648.1992551</v>
      </c>
      <c r="AK104" s="3">
        <v>0.25</v>
      </c>
    </row>
    <row r="105" spans="1:37">
      <c r="A105" s="2">
        <v>104</v>
      </c>
      <c r="B105" s="2">
        <v>2035</v>
      </c>
      <c r="C105" s="2">
        <v>155</v>
      </c>
      <c r="D105" s="2">
        <v>443356.8607848518</v>
      </c>
      <c r="E105" s="2">
        <v>68720313.42165203</v>
      </c>
      <c r="F105" s="2">
        <f>E105/1.19</f>
        <v>57748162.53920339</v>
      </c>
      <c r="G105" s="2">
        <v>200</v>
      </c>
      <c r="H105" s="2">
        <v>20568258.3930689</v>
      </c>
      <c r="I105" s="2">
        <v>375</v>
      </c>
      <c r="J105" s="2">
        <v>38544142.42442351</v>
      </c>
      <c r="K105" s="2">
        <v>15931578.86876172</v>
      </c>
      <c r="L105" s="2">
        <v>5888638.156274023</v>
      </c>
      <c r="M105" s="2">
        <v>12013730.75935981</v>
      </c>
      <c r="N105" s="3">
        <v>2.5</v>
      </c>
      <c r="O105" s="3">
        <v>4</v>
      </c>
      <c r="P105" s="2">
        <v>316692.5203469041</v>
      </c>
      <c r="Q105" s="2">
        <v>984407.0302463167</v>
      </c>
      <c r="R105" s="2">
        <v>316692.5203469041</v>
      </c>
      <c r="S105" s="2">
        <v>354695.6227885326</v>
      </c>
      <c r="T105" s="2">
        <v>4908734.065377014</v>
      </c>
      <c r="U105" s="2">
        <f>M105+P105+Q105+R105+S105+T105</f>
        <v>18894952.518465478</v>
      </c>
      <c r="V105" s="2">
        <f>F105-K105-L105-U105</f>
        <v>17032992.995702174</v>
      </c>
      <c r="W105" s="2">
        <v>64348.27631403451</v>
      </c>
      <c r="X105" s="2">
        <v>369487.9626759925</v>
      </c>
      <c r="Y105" s="2">
        <f>W105+X105</f>
        <v>433836.23899002705</v>
      </c>
      <c r="Z105" s="2">
        <v>6412014.885753705</v>
      </c>
      <c r="AA105" s="2">
        <v>0</v>
      </c>
      <c r="AB105" s="2">
        <v>0</v>
      </c>
      <c r="AC105" s="2">
        <v>0</v>
      </c>
      <c r="AD105" s="2">
        <v>579696.8336849455</v>
      </c>
      <c r="AE105" s="2">
        <v>3864645.557899635</v>
      </c>
      <c r="AF105" s="2">
        <f>F105-H105-L105-U105-AA105-AC105-AD105</f>
        <v>11816616.637710044</v>
      </c>
      <c r="AG105" s="2">
        <f>F105-H105-L105-U105-AA105-AB105-AD105-Y105</f>
        <v>11382780.398720017</v>
      </c>
      <c r="AH105" s="2">
        <f>AH104+AG105</f>
        <v>432796970.4703416</v>
      </c>
      <c r="AI105" s="2">
        <v>59214541.87236652</v>
      </c>
      <c r="AJ105" s="2">
        <f>AH105-AI105</f>
        <v>373582428.59797513</v>
      </c>
      <c r="AK105" s="3">
        <v>0.25</v>
      </c>
    </row>
    <row r="106" spans="1:37">
      <c r="A106" s="2">
        <v>105</v>
      </c>
      <c r="B106" s="2">
        <v>2035</v>
      </c>
      <c r="C106" s="2">
        <v>170</v>
      </c>
      <c r="D106" s="2">
        <v>443356.8607848518</v>
      </c>
      <c r="E106" s="2">
        <v>75370666.33342482</v>
      </c>
      <c r="F106" s="2">
        <f>E106/1.19</f>
        <v>63336694.397835985</v>
      </c>
      <c r="G106" s="2">
        <v>220</v>
      </c>
      <c r="H106" s="2">
        <v>22625084.23237579</v>
      </c>
      <c r="I106" s="2">
        <v>425</v>
      </c>
      <c r="J106" s="2">
        <v>43692304.75485664</v>
      </c>
      <c r="K106" s="2">
        <v>17476921.90194266</v>
      </c>
      <c r="L106" s="2">
        <v>6458792.551842023</v>
      </c>
      <c r="M106" s="2">
        <v>12013730.75935981</v>
      </c>
      <c r="N106" s="3">
        <v>2.5</v>
      </c>
      <c r="O106" s="3">
        <v>4</v>
      </c>
      <c r="P106" s="2">
        <v>316692.5203469041</v>
      </c>
      <c r="Q106" s="2">
        <v>984407.0302463167</v>
      </c>
      <c r="R106" s="2">
        <v>316692.5203469041</v>
      </c>
      <c r="S106" s="2">
        <v>354695.6227885326</v>
      </c>
      <c r="T106" s="2">
        <v>4908734.065377014</v>
      </c>
      <c r="U106" s="2">
        <f>M106+P106+Q106+R106+S106+T106</f>
        <v>18894952.518465478</v>
      </c>
      <c r="V106" s="2">
        <f>F106-K106-L106-U106</f>
        <v>20506027.425585832</v>
      </c>
      <c r="W106" s="2">
        <v>60842.28154438108</v>
      </c>
      <c r="X106" s="2">
        <v>372993.957445646</v>
      </c>
      <c r="Y106" s="2">
        <f>W106+X106</f>
        <v>433836.23899002705</v>
      </c>
      <c r="Z106" s="2">
        <v>6039020.928308059</v>
      </c>
      <c r="AA106" s="2">
        <v>0</v>
      </c>
      <c r="AB106" s="2">
        <v>0</v>
      </c>
      <c r="AC106" s="2">
        <v>0</v>
      </c>
      <c r="AD106" s="2">
        <v>386464.5557899633</v>
      </c>
      <c r="AE106" s="2">
        <v>4251110.113689599</v>
      </c>
      <c r="AF106" s="2">
        <f>F106-H106-L106-U106-AA106-AC106-AD106</f>
        <v>14971400.53936274</v>
      </c>
      <c r="AG106" s="2">
        <f>F106-H106-L106-U106-AA106-AB106-AD106-Y106</f>
        <v>14537564.300372712</v>
      </c>
      <c r="AH106" s="2">
        <f>AH105+AG106</f>
        <v>447334534.77071434</v>
      </c>
      <c r="AI106" s="2">
        <v>59214541.87236652</v>
      </c>
      <c r="AJ106" s="2">
        <f>AH106-AI106</f>
        <v>388119992.89834785</v>
      </c>
      <c r="AK106" s="3">
        <v>0.25</v>
      </c>
    </row>
    <row r="107" spans="1:37">
      <c r="A107" s="2">
        <v>106</v>
      </c>
      <c r="B107" s="2">
        <v>2035</v>
      </c>
      <c r="C107" s="2">
        <v>201</v>
      </c>
      <c r="D107" s="2">
        <v>443356.8607848518</v>
      </c>
      <c r="E107" s="2">
        <v>89114729.01775523</v>
      </c>
      <c r="F107" s="2">
        <f>E107/1.19</f>
        <v>74886326.90567666</v>
      </c>
      <c r="G107" s="2">
        <v>260</v>
      </c>
      <c r="H107" s="2">
        <v>26738735.91098957</v>
      </c>
      <c r="I107" s="2">
        <v>484</v>
      </c>
      <c r="J107" s="2">
        <v>49764414.13470009</v>
      </c>
      <c r="K107" s="2">
        <v>20666626.53114612</v>
      </c>
      <c r="L107" s="2">
        <v>7636791.291532916</v>
      </c>
      <c r="M107" s="2">
        <v>12013730.75935981</v>
      </c>
      <c r="N107" s="3">
        <v>2.5</v>
      </c>
      <c r="O107" s="3">
        <v>4</v>
      </c>
      <c r="P107" s="2">
        <v>316692.5203469041</v>
      </c>
      <c r="Q107" s="2">
        <v>984407.0302463167</v>
      </c>
      <c r="R107" s="2">
        <v>316692.5203469041</v>
      </c>
      <c r="S107" s="2">
        <v>354695.6227885326</v>
      </c>
      <c r="T107" s="2">
        <v>4908734.065377014</v>
      </c>
      <c r="U107" s="2">
        <f>M107+P107+Q107+R107+S107+T107</f>
        <v>18894952.518465478</v>
      </c>
      <c r="V107" s="2">
        <f>F107-K107-L107-U107</f>
        <v>27687956.56453215</v>
      </c>
      <c r="W107" s="2">
        <v>57303.01911632866</v>
      </c>
      <c r="X107" s="2">
        <v>376533.2198736984</v>
      </c>
      <c r="Y107" s="2">
        <f>W107+X107</f>
        <v>433836.23899002705</v>
      </c>
      <c r="Z107" s="2">
        <v>5662487.708434361</v>
      </c>
      <c r="AA107" s="2">
        <v>0</v>
      </c>
      <c r="AB107" s="2">
        <v>0</v>
      </c>
      <c r="AC107" s="2">
        <v>0</v>
      </c>
      <c r="AD107" s="2">
        <v>772929.1115799267</v>
      </c>
      <c r="AE107" s="2">
        <v>5024039.225269525</v>
      </c>
      <c r="AF107" s="2">
        <f>F107-H107-L107-U107-AA107-AC107-AD107</f>
        <v>20842918.07310877</v>
      </c>
      <c r="AG107" s="2">
        <f>F107-H107-L107-U107-AA107-AB107-AD107-Y107</f>
        <v>20409081.834118742</v>
      </c>
      <c r="AH107" s="2">
        <f>AH106+AG107</f>
        <v>467743616.60483307</v>
      </c>
      <c r="AI107" s="2">
        <v>59214541.87236652</v>
      </c>
      <c r="AJ107" s="2">
        <f>AH107-AI107</f>
        <v>408529074.7324666</v>
      </c>
      <c r="AK107" s="3">
        <v>0.25</v>
      </c>
    </row>
    <row r="108" spans="1:37">
      <c r="A108" s="2">
        <v>107</v>
      </c>
      <c r="B108" s="2">
        <v>2035</v>
      </c>
      <c r="C108" s="2">
        <v>217</v>
      </c>
      <c r="D108" s="2">
        <v>443356.8607848518</v>
      </c>
      <c r="E108" s="2">
        <v>96208438.79031286</v>
      </c>
      <c r="F108" s="2">
        <f>E108/1.19</f>
        <v>80847427.55488476</v>
      </c>
      <c r="G108" s="2">
        <v>30</v>
      </c>
      <c r="H108" s="2">
        <v>3085238.758960335</v>
      </c>
      <c r="I108" s="2">
        <v>297</v>
      </c>
      <c r="J108" s="2">
        <v>30537639.90158978</v>
      </c>
      <c r="K108" s="2">
        <v>22312012.99207065</v>
      </c>
      <c r="L108" s="2">
        <v>8244717.624847971</v>
      </c>
      <c r="M108" s="2">
        <v>12013730.75935981</v>
      </c>
      <c r="N108" s="3">
        <v>2.5</v>
      </c>
      <c r="O108" s="3">
        <v>4</v>
      </c>
      <c r="P108" s="2">
        <v>316692.5203469041</v>
      </c>
      <c r="Q108" s="2">
        <v>984407.0302463167</v>
      </c>
      <c r="R108" s="2">
        <v>316692.5203469041</v>
      </c>
      <c r="S108" s="2">
        <v>354695.6227885326</v>
      </c>
      <c r="T108" s="2">
        <v>4908734.065377014</v>
      </c>
      <c r="U108" s="2">
        <f>M108+P108+Q108+R108+S108+T108</f>
        <v>18894952.518465478</v>
      </c>
      <c r="V108" s="2">
        <f>F108-K108-L108-U108</f>
        <v>31395744.419500668</v>
      </c>
      <c r="W108" s="2">
        <v>53730.1733599553</v>
      </c>
      <c r="X108" s="2">
        <v>380106.0656300717</v>
      </c>
      <c r="Y108" s="2">
        <f>W108+X108</f>
        <v>433836.23899002705</v>
      </c>
      <c r="Z108" s="2">
        <v>5282381.642804289</v>
      </c>
      <c r="AA108" s="2">
        <v>0</v>
      </c>
      <c r="AB108" s="2">
        <v>0</v>
      </c>
      <c r="AC108" s="2">
        <v>0</v>
      </c>
      <c r="AD108" s="2">
        <v>-4444342.39158458</v>
      </c>
      <c r="AE108" s="2">
        <v>579696.8336849452</v>
      </c>
      <c r="AF108" s="2">
        <f>F108-H108-L108-U108-AA108-AC108-AD108</f>
        <v>55066861.044195555</v>
      </c>
      <c r="AG108" s="2">
        <f>F108-H108-L108-U108-AA108-AB108-AD108-Y108</f>
        <v>54633024.80520553</v>
      </c>
      <c r="AH108" s="2">
        <f>AH107+AG108</f>
        <v>522376641.4100386</v>
      </c>
      <c r="AI108" s="2">
        <v>59214541.87236652</v>
      </c>
      <c r="AJ108" s="2">
        <f>AH108-AI108</f>
        <v>463162099.53767204</v>
      </c>
      <c r="AK108" s="3">
        <v>0.25</v>
      </c>
    </row>
    <row r="109" spans="1:37">
      <c r="A109" s="2">
        <v>108</v>
      </c>
      <c r="B109" s="2">
        <v>2035</v>
      </c>
      <c r="C109" s="2">
        <v>263</v>
      </c>
      <c r="D109" s="2">
        <v>443356.8607848518</v>
      </c>
      <c r="E109" s="2">
        <v>116602854.386416</v>
      </c>
      <c r="F109" s="2">
        <f>E109/1.19</f>
        <v>97985591.92135802</v>
      </c>
      <c r="G109" s="2">
        <v>50</v>
      </c>
      <c r="H109" s="2">
        <v>5142064.598267226</v>
      </c>
      <c r="I109" s="2">
        <v>84</v>
      </c>
      <c r="J109" s="2">
        <v>8637161.896218985</v>
      </c>
      <c r="K109" s="2">
        <v>27042542.60363802</v>
      </c>
      <c r="L109" s="2">
        <v>9992509.316041503</v>
      </c>
      <c r="M109" s="2">
        <v>12013730.75935981</v>
      </c>
      <c r="N109" s="3">
        <v>2.5</v>
      </c>
      <c r="O109" s="3">
        <v>4</v>
      </c>
      <c r="P109" s="2">
        <v>316692.5203469041</v>
      </c>
      <c r="Q109" s="2">
        <v>984407.0302463167</v>
      </c>
      <c r="R109" s="2">
        <v>316692.5203469041</v>
      </c>
      <c r="S109" s="2">
        <v>354695.6227885326</v>
      </c>
      <c r="T109" s="2">
        <v>4908734.065377014</v>
      </c>
      <c r="U109" s="2">
        <f>M109+P109+Q109+R109+S109+T109</f>
        <v>18894952.518465478</v>
      </c>
      <c r="V109" s="2">
        <f>F109-K109-L109-U109</f>
        <v>42055587.48321302</v>
      </c>
      <c r="W109" s="2">
        <v>50123.42561001252</v>
      </c>
      <c r="X109" s="2">
        <v>383712.8133800145</v>
      </c>
      <c r="Y109" s="2">
        <f>W109+X109</f>
        <v>433836.238990027</v>
      </c>
      <c r="Z109" s="2">
        <v>4898668.829424275</v>
      </c>
      <c r="AA109" s="2">
        <v>0</v>
      </c>
      <c r="AB109" s="2">
        <v>32908164.14131587</v>
      </c>
      <c r="AC109" s="2">
        <v>33116219.99457518</v>
      </c>
      <c r="AD109" s="2">
        <v>386464.5557899636</v>
      </c>
      <c r="AE109" s="2">
        <v>966161.3894749088</v>
      </c>
      <c r="AF109" s="2">
        <f>F109-H109-L109-U109-AA109-AC109-AD109</f>
        <v>30453380.93821868</v>
      </c>
      <c r="AG109" s="2">
        <f>F109-H109-L109-U109-AA109-AB109-AD109-Y109</f>
        <v>30227600.55248796</v>
      </c>
      <c r="AH109" s="2">
        <f>AH108+AG109</f>
        <v>552604241.9625266</v>
      </c>
      <c r="AI109" s="2">
        <v>59214541.87236652</v>
      </c>
      <c r="AJ109" s="2">
        <f>AH109-AI109</f>
        <v>493389700.09016</v>
      </c>
      <c r="AK109" s="3">
        <v>0.25</v>
      </c>
    </row>
    <row r="110" spans="1:37">
      <c r="A110" s="2">
        <v>109</v>
      </c>
      <c r="B110" s="2">
        <v>2036</v>
      </c>
      <c r="C110" s="2">
        <v>32</v>
      </c>
      <c r="D110" s="2">
        <v>456657.5666083974</v>
      </c>
      <c r="E110" s="2">
        <v>14613042.13146872</v>
      </c>
      <c r="F110" s="2">
        <f>E110/1.19</f>
        <v>12279867.33736867</v>
      </c>
      <c r="G110" s="2">
        <v>70</v>
      </c>
      <c r="H110" s="2">
        <v>7414857.150701339</v>
      </c>
      <c r="I110" s="2">
        <v>122</v>
      </c>
      <c r="J110" s="2">
        <v>12716534.56963818</v>
      </c>
      <c r="K110" s="2">
        <v>3335484.477282146</v>
      </c>
      <c r="L110" s="2">
        <v>1248007.316051223</v>
      </c>
      <c r="M110" s="2">
        <v>13034684.10645416</v>
      </c>
      <c r="N110" s="3">
        <v>2.5</v>
      </c>
      <c r="O110" s="3">
        <v>4.5</v>
      </c>
      <c r="P110" s="2">
        <v>339241.0277956037</v>
      </c>
      <c r="Q110" s="2">
        <v>1054909.119125945</v>
      </c>
      <c r="R110" s="2">
        <v>326193.2959573112</v>
      </c>
      <c r="S110" s="2">
        <v>365336.4914721886</v>
      </c>
      <c r="T110" s="2">
        <v>5310426.858185027</v>
      </c>
      <c r="U110" s="2">
        <f>M110+P110+Q110+R110+S110+T110</f>
        <v>20430790.898990232</v>
      </c>
      <c r="V110" s="2">
        <f>F110-K110-L110-U110</f>
        <v>-12734415.35495493</v>
      </c>
      <c r="W110" s="2">
        <v>46482.45417750326</v>
      </c>
      <c r="X110" s="2">
        <v>387353.7848125238</v>
      </c>
      <c r="Y110" s="2">
        <f>W110+X110</f>
        <v>433836.23899002705</v>
      </c>
      <c r="Z110" s="2">
        <v>4511315.044611751</v>
      </c>
      <c r="AA110" s="2">
        <v>1957159.775743867</v>
      </c>
      <c r="AB110" s="2">
        <v>0</v>
      </c>
      <c r="AC110" s="2">
        <v>0</v>
      </c>
      <c r="AD110" s="2">
        <v>427043.3341479094</v>
      </c>
      <c r="AE110" s="2">
        <v>1393204.723622818</v>
      </c>
      <c r="AF110" s="2">
        <f>F110-H110-L110-U110-AA110-AC110-AD110</f>
        <v>-19197991.1382659</v>
      </c>
      <c r="AG110" s="2">
        <f>F110-H110-L110-U110-AA110-AB110-AD110-Y110</f>
        <v>-19631827.377255928</v>
      </c>
      <c r="AH110" s="2">
        <f>AH109+AG110</f>
        <v>532972414.58527064</v>
      </c>
      <c r="AI110" s="2">
        <v>63822057.01394078</v>
      </c>
      <c r="AJ110" s="2">
        <f>AH110-AI110</f>
        <v>469150357.57132983</v>
      </c>
      <c r="AK110" s="3">
        <v>0.25</v>
      </c>
    </row>
    <row r="111" spans="1:37">
      <c r="A111" s="2">
        <v>110</v>
      </c>
      <c r="B111" s="2">
        <v>2036</v>
      </c>
      <c r="C111" s="2">
        <v>49</v>
      </c>
      <c r="D111" s="2">
        <v>456657.5666083974</v>
      </c>
      <c r="E111" s="2">
        <v>22376220.76381147</v>
      </c>
      <c r="F111" s="2">
        <f>E111/1.19</f>
        <v>18803546.860345777</v>
      </c>
      <c r="G111" s="2">
        <v>80</v>
      </c>
      <c r="H111" s="2">
        <v>8474122.457944388</v>
      </c>
      <c r="I111" s="2">
        <v>153</v>
      </c>
      <c r="J111" s="2">
        <v>16050349.13475313</v>
      </c>
      <c r="K111" s="2">
        <v>5140307.892829434</v>
      </c>
      <c r="L111" s="2">
        <v>1913638.985662726</v>
      </c>
      <c r="M111" s="2">
        <v>13034684.10645416</v>
      </c>
      <c r="N111" s="3">
        <v>2.5</v>
      </c>
      <c r="O111" s="3">
        <v>4.5</v>
      </c>
      <c r="P111" s="2">
        <v>339241.0277956037</v>
      </c>
      <c r="Q111" s="2">
        <v>1054909.119125945</v>
      </c>
      <c r="R111" s="2">
        <v>326193.2959573112</v>
      </c>
      <c r="S111" s="2">
        <v>365336.4914721886</v>
      </c>
      <c r="T111" s="2">
        <v>5310426.858185027</v>
      </c>
      <c r="U111" s="2">
        <f>M111+P111+Q111+R111+S111+T111</f>
        <v>20430790.898990232</v>
      </c>
      <c r="V111" s="2">
        <f>F111-K111-L111-U111</f>
        <v>-8681190.917136615</v>
      </c>
      <c r="W111" s="2">
        <v>42806.93432099018</v>
      </c>
      <c r="X111" s="2">
        <v>391029.3046690369</v>
      </c>
      <c r="Y111" s="2">
        <f>W111+X111</f>
        <v>433836.23899002705</v>
      </c>
      <c r="Z111" s="2">
        <v>4120285.739942714</v>
      </c>
      <c r="AA111" s="2">
        <v>0</v>
      </c>
      <c r="AB111" s="2">
        <v>0</v>
      </c>
      <c r="AC111" s="2">
        <v>0</v>
      </c>
      <c r="AD111" s="2">
        <v>199029.2462318314</v>
      </c>
      <c r="AE111" s="2">
        <v>1592233.96985465</v>
      </c>
      <c r="AF111" s="2">
        <f>F111-H111-L111-U111-AA111-AC111-AD111</f>
        <v>-12214034.728483401</v>
      </c>
      <c r="AG111" s="2">
        <f>F111-H111-L111-U111-AA111-AB111-AD111-Y111</f>
        <v>-12647870.967473429</v>
      </c>
      <c r="AH111" s="2">
        <f>AH110+AG111</f>
        <v>520324543.6177972</v>
      </c>
      <c r="AI111" s="2">
        <v>63822057.01394078</v>
      </c>
      <c r="AJ111" s="2">
        <f>AH111-AI111</f>
        <v>456502486.60385644</v>
      </c>
      <c r="AK111" s="3">
        <v>0.25</v>
      </c>
    </row>
    <row r="112" spans="1:37">
      <c r="A112" s="2">
        <v>111</v>
      </c>
      <c r="B112" s="2">
        <v>2036</v>
      </c>
      <c r="C112" s="2">
        <v>65</v>
      </c>
      <c r="D112" s="2">
        <v>456657.5666083974</v>
      </c>
      <c r="E112" s="2">
        <v>29682741.82954583</v>
      </c>
      <c r="F112" s="2">
        <f>E112/1.19</f>
        <v>24943480.529030114</v>
      </c>
      <c r="G112" s="2">
        <v>100</v>
      </c>
      <c r="H112" s="2">
        <v>10592653.07243049</v>
      </c>
      <c r="I112" s="2">
        <v>188</v>
      </c>
      <c r="J112" s="2">
        <v>19797962.11442893</v>
      </c>
      <c r="K112" s="2">
        <v>6845040.092754685</v>
      </c>
      <c r="L112" s="2">
        <v>2540601.840591072</v>
      </c>
      <c r="M112" s="2">
        <v>13034684.10645416</v>
      </c>
      <c r="N112" s="3">
        <v>2.5</v>
      </c>
      <c r="O112" s="3">
        <v>4.5</v>
      </c>
      <c r="P112" s="2">
        <v>339241.0277956037</v>
      </c>
      <c r="Q112" s="2">
        <v>1054909.119125945</v>
      </c>
      <c r="R112" s="2">
        <v>326193.2959573112</v>
      </c>
      <c r="S112" s="2">
        <v>365336.4914721886</v>
      </c>
      <c r="T112" s="2">
        <v>5310426.858185027</v>
      </c>
      <c r="U112" s="2">
        <f>M112+P112+Q112+R112+S112+T112</f>
        <v>20430790.898990232</v>
      </c>
      <c r="V112" s="2">
        <f>F112-K112-L112-U112</f>
        <v>-4872952.3033058755</v>
      </c>
      <c r="W112" s="2">
        <v>39096.5382176317</v>
      </c>
      <c r="X112" s="2">
        <v>394739.7007723954</v>
      </c>
      <c r="Y112" s="2">
        <f>W112+X112</f>
        <v>433836.23899002705</v>
      </c>
      <c r="Z112" s="2">
        <v>3725546.039170319</v>
      </c>
      <c r="AA112" s="2">
        <v>0</v>
      </c>
      <c r="AB112" s="2">
        <v>0</v>
      </c>
      <c r="AC112" s="2">
        <v>0</v>
      </c>
      <c r="AD112" s="2">
        <v>398058.4924636625</v>
      </c>
      <c r="AE112" s="2">
        <v>1990292.462318312</v>
      </c>
      <c r="AF112" s="2">
        <f>F112-H112-L112-U112-AA112-AC112-AD112</f>
        <v>-9018623.775445338</v>
      </c>
      <c r="AG112" s="2">
        <f>F112-H112-L112-U112-AA112-AB112-AD112-Y112</f>
        <v>-9452460.014435366</v>
      </c>
      <c r="AH112" s="2">
        <f>AH111+AG112</f>
        <v>510872083.60336185</v>
      </c>
      <c r="AI112" s="2">
        <v>63822057.01394078</v>
      </c>
      <c r="AJ112" s="2">
        <f>AH112-AI112</f>
        <v>447050026.58942103</v>
      </c>
      <c r="AK112" s="3">
        <v>0.25</v>
      </c>
    </row>
    <row r="113" spans="1:37">
      <c r="A113" s="2">
        <v>112</v>
      </c>
      <c r="B113" s="2">
        <v>2036</v>
      </c>
      <c r="C113" s="2">
        <v>81</v>
      </c>
      <c r="D113" s="2">
        <v>456657.5666083974</v>
      </c>
      <c r="E113" s="2">
        <v>36989262.89528019</v>
      </c>
      <c r="F113" s="2">
        <f>E113/1.19</f>
        <v>31083414.197714448</v>
      </c>
      <c r="G113" s="2">
        <v>110</v>
      </c>
      <c r="H113" s="2">
        <v>11651918.37967353</v>
      </c>
      <c r="I113" s="2">
        <v>217</v>
      </c>
      <c r="J113" s="2">
        <v>22901423.04436321</v>
      </c>
      <c r="K113" s="2">
        <v>8548457.449739261</v>
      </c>
      <c r="L113" s="2">
        <v>3167459.508084164</v>
      </c>
      <c r="M113" s="2">
        <v>13034684.10645416</v>
      </c>
      <c r="N113" s="3">
        <v>2.5</v>
      </c>
      <c r="O113" s="3">
        <v>4.5</v>
      </c>
      <c r="P113" s="2">
        <v>339241.0277956037</v>
      </c>
      <c r="Q113" s="2">
        <v>1054909.119125945</v>
      </c>
      <c r="R113" s="2">
        <v>326193.2959573112</v>
      </c>
      <c r="S113" s="2">
        <v>365336.4914721886</v>
      </c>
      <c r="T113" s="2">
        <v>5310426.858185027</v>
      </c>
      <c r="U113" s="2">
        <f>M113+P113+Q113+R113+S113+T113</f>
        <v>20430790.898990232</v>
      </c>
      <c r="V113" s="2">
        <f>F113-K113-L113-U113</f>
        <v>-1063293.65909921</v>
      </c>
      <c r="W113" s="2">
        <v>35350.93493394317</v>
      </c>
      <c r="X113" s="2">
        <v>398485.3040560839</v>
      </c>
      <c r="Y113" s="2">
        <f>W113+X113</f>
        <v>433836.23899002705</v>
      </c>
      <c r="Z113" s="2">
        <v>3327060.735114235</v>
      </c>
      <c r="AA113" s="2">
        <v>0</v>
      </c>
      <c r="AB113" s="2">
        <v>0</v>
      </c>
      <c r="AC113" s="2">
        <v>0</v>
      </c>
      <c r="AD113" s="2">
        <v>199029.2462318309</v>
      </c>
      <c r="AE113" s="2">
        <v>2189321.708550143</v>
      </c>
      <c r="AF113" s="2">
        <f>F113-H113-L113-U113-AA113-AC113-AD113</f>
        <v>-4365783.835265311</v>
      </c>
      <c r="AG113" s="2">
        <f>F113-H113-L113-U113-AA113-AB113-AD113-Y113</f>
        <v>-4799620.074255339</v>
      </c>
      <c r="AH113" s="2">
        <f>AH112+AG113</f>
        <v>506072463.5291065</v>
      </c>
      <c r="AI113" s="2">
        <v>63822057.01394078</v>
      </c>
      <c r="AJ113" s="2">
        <f>AH113-AI113</f>
        <v>442250406.5151657</v>
      </c>
      <c r="AK113" s="3">
        <v>0.25</v>
      </c>
    </row>
    <row r="114" spans="1:37">
      <c r="A114" s="2">
        <v>113</v>
      </c>
      <c r="B114" s="2">
        <v>2036</v>
      </c>
      <c r="C114" s="2">
        <v>98</v>
      </c>
      <c r="D114" s="2">
        <v>456657.5666083974</v>
      </c>
      <c r="E114" s="2">
        <v>44752441.52762295</v>
      </c>
      <c r="F114" s="2">
        <f>E114/1.19</f>
        <v>37607093.720691554</v>
      </c>
      <c r="G114" s="2">
        <v>130</v>
      </c>
      <c r="H114" s="2">
        <v>13770448.99415963</v>
      </c>
      <c r="I114" s="2">
        <v>249</v>
      </c>
      <c r="J114" s="2">
        <v>26314974.45991985</v>
      </c>
      <c r="K114" s="2">
        <v>10356897.57860299</v>
      </c>
      <c r="L114" s="2">
        <v>3833380.514760983</v>
      </c>
      <c r="M114" s="2">
        <v>13034684.10645416</v>
      </c>
      <c r="N114" s="3">
        <v>2.5</v>
      </c>
      <c r="O114" s="3">
        <v>4.5</v>
      </c>
      <c r="P114" s="2">
        <v>339241.0277956037</v>
      </c>
      <c r="Q114" s="2">
        <v>1054909.119125945</v>
      </c>
      <c r="R114" s="2">
        <v>326193.2959573112</v>
      </c>
      <c r="S114" s="2">
        <v>365336.4914721886</v>
      </c>
      <c r="T114" s="2">
        <v>5310426.858185027</v>
      </c>
      <c r="U114" s="2">
        <f>M114+P114+Q114+R114+S114+T114</f>
        <v>20430790.898990232</v>
      </c>
      <c r="V114" s="2">
        <f>F114-K114-L114-U114</f>
        <v>2986024.7283373475</v>
      </c>
      <c r="W114" s="2">
        <v>31569.79039628063</v>
      </c>
      <c r="X114" s="2">
        <v>402266.4485937464</v>
      </c>
      <c r="Y114" s="2">
        <f>W114+X114</f>
        <v>433836.23899002705</v>
      </c>
      <c r="Z114" s="2">
        <v>2924794.286520489</v>
      </c>
      <c r="AA114" s="2">
        <v>0</v>
      </c>
      <c r="AB114" s="2">
        <v>0</v>
      </c>
      <c r="AC114" s="2">
        <v>0</v>
      </c>
      <c r="AD114" s="2">
        <v>398058.4924636628</v>
      </c>
      <c r="AE114" s="2">
        <v>2587380.201013806</v>
      </c>
      <c r="AF114" s="2">
        <f>F114-H114-L114-U114-AA114-AC114-AD114</f>
        <v>-825585.1796829547</v>
      </c>
      <c r="AG114" s="2">
        <f>F114-H114-L114-U114-AA114-AB114-AD114-Y114</f>
        <v>-1259421.4186729817</v>
      </c>
      <c r="AH114" s="2">
        <f>AH113+AG114</f>
        <v>504813042.1104335</v>
      </c>
      <c r="AI114" s="2">
        <v>63822057.01394078</v>
      </c>
      <c r="AJ114" s="2">
        <f>AH114-AI114</f>
        <v>440990985.09649277</v>
      </c>
      <c r="AK114" s="3">
        <v>0.25</v>
      </c>
    </row>
    <row r="115" spans="1:37">
      <c r="A115" s="2">
        <v>114</v>
      </c>
      <c r="B115" s="2">
        <v>2036</v>
      </c>
      <c r="C115" s="2">
        <v>114</v>
      </c>
      <c r="D115" s="2">
        <v>456657.5666083974</v>
      </c>
      <c r="E115" s="2">
        <v>52058962.59335731</v>
      </c>
      <c r="F115" s="2">
        <f>E115/1.19</f>
        <v>43747027.389375895</v>
      </c>
      <c r="G115" s="2">
        <v>160</v>
      </c>
      <c r="H115" s="2">
        <v>16948244.91588878</v>
      </c>
      <c r="I115" s="2">
        <v>295</v>
      </c>
      <c r="J115" s="2">
        <v>31204522.5326737</v>
      </c>
      <c r="K115" s="2">
        <v>12058696.84313492</v>
      </c>
      <c r="L115" s="2">
        <v>4460108.734857863</v>
      </c>
      <c r="M115" s="2">
        <v>13034684.10645416</v>
      </c>
      <c r="N115" s="3">
        <v>2.5</v>
      </c>
      <c r="O115" s="3">
        <v>4.5</v>
      </c>
      <c r="P115" s="2">
        <v>339241.0277956037</v>
      </c>
      <c r="Q115" s="2">
        <v>1054909.119125945</v>
      </c>
      <c r="R115" s="2">
        <v>326193.2959573112</v>
      </c>
      <c r="S115" s="2">
        <v>365336.4914721886</v>
      </c>
      <c r="T115" s="2">
        <v>5310426.858185027</v>
      </c>
      <c r="U115" s="2">
        <f>M115+P115+Q115+R115+S115+T115</f>
        <v>20430790.898990232</v>
      </c>
      <c r="V115" s="2">
        <f>F115-K115-L115-U115</f>
        <v>6797430.912392873</v>
      </c>
      <c r="W115" s="2">
        <v>27752.76736104447</v>
      </c>
      <c r="X115" s="2">
        <v>406083.4716289826</v>
      </c>
      <c r="Y115" s="2">
        <f>W115+X115</f>
        <v>433836.23899002705</v>
      </c>
      <c r="Z115" s="2">
        <v>2518710.814891506</v>
      </c>
      <c r="AA115" s="2">
        <v>0</v>
      </c>
      <c r="AB115" s="2">
        <v>0</v>
      </c>
      <c r="AC115" s="2">
        <v>0</v>
      </c>
      <c r="AD115" s="2">
        <v>597087.7386954934</v>
      </c>
      <c r="AE115" s="2">
        <v>3184467.939709299</v>
      </c>
      <c r="AF115" s="2">
        <f>F115-H115-L115-U115-AA115-AC115-AD115</f>
        <v>1310795.1009435332</v>
      </c>
      <c r="AG115" s="2">
        <f>F115-H115-L115-U115-AA115-AB115-AD115-Y115</f>
        <v>876958.8619535062</v>
      </c>
      <c r="AH115" s="2">
        <f>AH114+AG115</f>
        <v>505690000.972387</v>
      </c>
      <c r="AI115" s="2">
        <v>63822057.01394078</v>
      </c>
      <c r="AJ115" s="2">
        <f>AH115-AI115</f>
        <v>441867943.95844626</v>
      </c>
      <c r="AK115" s="3">
        <v>0.25</v>
      </c>
    </row>
    <row r="116" spans="1:37">
      <c r="A116" s="2">
        <v>115</v>
      </c>
      <c r="B116" s="2">
        <v>2036</v>
      </c>
      <c r="C116" s="2">
        <v>130</v>
      </c>
      <c r="D116" s="2">
        <v>456657.5666083974</v>
      </c>
      <c r="E116" s="2">
        <v>59365483.65909167</v>
      </c>
      <c r="F116" s="2">
        <f>E116/1.19</f>
        <v>49886961.05806023</v>
      </c>
      <c r="G116" s="2">
        <v>180</v>
      </c>
      <c r="H116" s="2">
        <v>19066775.53037487</v>
      </c>
      <c r="I116" s="2">
        <v>345</v>
      </c>
      <c r="J116" s="2">
        <v>36512837.54053002</v>
      </c>
      <c r="K116" s="2">
        <v>13758460.52251856</v>
      </c>
      <c r="L116" s="2">
        <v>5086674.108142879</v>
      </c>
      <c r="M116" s="2">
        <v>13034684.10645416</v>
      </c>
      <c r="N116" s="3">
        <v>2.5</v>
      </c>
      <c r="O116" s="3">
        <v>4.5</v>
      </c>
      <c r="P116" s="2">
        <v>339241.0277956037</v>
      </c>
      <c r="Q116" s="2">
        <v>1054909.119125945</v>
      </c>
      <c r="R116" s="2">
        <v>326193.2959573112</v>
      </c>
      <c r="S116" s="2">
        <v>365336.4914721886</v>
      </c>
      <c r="T116" s="2">
        <v>5310426.858185027</v>
      </c>
      <c r="U116" s="2">
        <f>M116+P116+Q116+R116+S116+T116</f>
        <v>20430790.898990232</v>
      </c>
      <c r="V116" s="2">
        <f>F116-K116-L116-U116</f>
        <v>10611035.528408557</v>
      </c>
      <c r="W116" s="2">
        <v>23899.52538460043</v>
      </c>
      <c r="X116" s="2">
        <v>409936.7136054266</v>
      </c>
      <c r="Y116" s="2">
        <f>W116+X116</f>
        <v>433836.23899002705</v>
      </c>
      <c r="Z116" s="2">
        <v>2108774.101286079</v>
      </c>
      <c r="AA116" s="2">
        <v>0</v>
      </c>
      <c r="AB116" s="2">
        <v>0</v>
      </c>
      <c r="AC116" s="2">
        <v>0</v>
      </c>
      <c r="AD116" s="2">
        <v>398058.4924636632</v>
      </c>
      <c r="AE116" s="2">
        <v>3582526.432172962</v>
      </c>
      <c r="AF116" s="2">
        <f>F116-H116-L116-U116-AA116-AC116-AD116</f>
        <v>4904662.028088581</v>
      </c>
      <c r="AG116" s="2">
        <f>F116-H116-L116-U116-AA116-AB116-AD116-Y116</f>
        <v>4470825.789098553</v>
      </c>
      <c r="AH116" s="2">
        <f>AH115+AG116</f>
        <v>510160826.7614856</v>
      </c>
      <c r="AI116" s="2">
        <v>63822057.01394078</v>
      </c>
      <c r="AJ116" s="2">
        <f>AH116-AI116</f>
        <v>446338769.74754477</v>
      </c>
      <c r="AK116" s="3">
        <v>0.25</v>
      </c>
    </row>
    <row r="117" spans="1:37">
      <c r="A117" s="2">
        <v>116</v>
      </c>
      <c r="B117" s="2">
        <v>2036</v>
      </c>
      <c r="C117" s="2">
        <v>163</v>
      </c>
      <c r="D117" s="2">
        <v>456657.5666083974</v>
      </c>
      <c r="E117" s="2">
        <v>74435183.35716878</v>
      </c>
      <c r="F117" s="2">
        <f>E117/1.19</f>
        <v>62550574.24972167</v>
      </c>
      <c r="G117" s="2">
        <v>210</v>
      </c>
      <c r="H117" s="2">
        <v>22244571.45210402</v>
      </c>
      <c r="I117" s="2">
        <v>392</v>
      </c>
      <c r="J117" s="2">
        <v>41500728.5137163</v>
      </c>
      <c r="K117" s="2">
        <v>17256680.47891775</v>
      </c>
      <c r="L117" s="2">
        <v>6378361.77995686</v>
      </c>
      <c r="M117" s="2">
        <v>13034684.10645416</v>
      </c>
      <c r="N117" s="3">
        <v>2.5</v>
      </c>
      <c r="O117" s="3">
        <v>4.5</v>
      </c>
      <c r="P117" s="2">
        <v>339241.0277956037</v>
      </c>
      <c r="Q117" s="2">
        <v>1054909.119125945</v>
      </c>
      <c r="R117" s="2">
        <v>326193.2959573112</v>
      </c>
      <c r="S117" s="2">
        <v>365336.4914721886</v>
      </c>
      <c r="T117" s="2">
        <v>5310426.858185027</v>
      </c>
      <c r="U117" s="2">
        <f>M117+P117+Q117+R117+S117+T117</f>
        <v>20430790.898990232</v>
      </c>
      <c r="V117" s="2">
        <f>F117-K117-L117-U117</f>
        <v>18484741.091856826</v>
      </c>
      <c r="W117" s="2">
        <v>20009.72079291506</v>
      </c>
      <c r="X117" s="2">
        <v>413826.518197112</v>
      </c>
      <c r="Y117" s="2">
        <f>W117+X117</f>
        <v>433836.2389900271</v>
      </c>
      <c r="Z117" s="2">
        <v>1694947.583088967</v>
      </c>
      <c r="AA117" s="2">
        <v>0</v>
      </c>
      <c r="AB117" s="2">
        <v>0</v>
      </c>
      <c r="AC117" s="2">
        <v>0</v>
      </c>
      <c r="AD117" s="2">
        <v>597087.738695493</v>
      </c>
      <c r="AE117" s="2">
        <v>4179614.170868455</v>
      </c>
      <c r="AF117" s="2">
        <f>F117-H117-L117-U117-AA117-AC117-AD117</f>
        <v>12899762.379975056</v>
      </c>
      <c r="AG117" s="2">
        <f>F117-H117-L117-U117-AA117-AB117-AD117-Y117</f>
        <v>12465926.140985029</v>
      </c>
      <c r="AH117" s="2">
        <f>AH116+AG117</f>
        <v>522626752.9024706</v>
      </c>
      <c r="AI117" s="2">
        <v>63822057.01394078</v>
      </c>
      <c r="AJ117" s="2">
        <f>AH117-AI117</f>
        <v>458804695.8885298</v>
      </c>
      <c r="AK117" s="3">
        <v>0.25</v>
      </c>
    </row>
    <row r="118" spans="1:37">
      <c r="A118" s="2">
        <v>117</v>
      </c>
      <c r="B118" s="2">
        <v>2036</v>
      </c>
      <c r="C118" s="2">
        <v>179</v>
      </c>
      <c r="D118" s="2">
        <v>456657.5666083974</v>
      </c>
      <c r="E118" s="2">
        <v>81741704.42290314</v>
      </c>
      <c r="F118" s="2">
        <f>E118/1.19</f>
        <v>68690507.918406</v>
      </c>
      <c r="G118" s="2">
        <v>230</v>
      </c>
      <c r="H118" s="2">
        <v>24363102.06659012</v>
      </c>
      <c r="I118" s="2">
        <v>443</v>
      </c>
      <c r="J118" s="2">
        <v>46909448.46796743</v>
      </c>
      <c r="K118" s="2">
        <v>18954382.11233898</v>
      </c>
      <c r="L118" s="2">
        <v>7004762.189564885</v>
      </c>
      <c r="M118" s="2">
        <v>13034684.10645416</v>
      </c>
      <c r="N118" s="3">
        <v>2.5</v>
      </c>
      <c r="O118" s="3">
        <v>4.5</v>
      </c>
      <c r="P118" s="2">
        <v>339241.0277956037</v>
      </c>
      <c r="Q118" s="2">
        <v>1054909.119125945</v>
      </c>
      <c r="R118" s="2">
        <v>326193.2959573112</v>
      </c>
      <c r="S118" s="2">
        <v>365336.4914721886</v>
      </c>
      <c r="T118" s="2">
        <v>5310426.858185027</v>
      </c>
      <c r="U118" s="2">
        <f>M118+P118+Q118+R118+S118+T118</f>
        <v>20430790.898990232</v>
      </c>
      <c r="V118" s="2">
        <f>F118-K118-L118-U118</f>
        <v>22300572.717511896</v>
      </c>
      <c r="W118" s="2">
        <v>16083.0066509032</v>
      </c>
      <c r="X118" s="2">
        <v>417753.2323391238</v>
      </c>
      <c r="Y118" s="2">
        <f>W118+X118</f>
        <v>433836.23899002705</v>
      </c>
      <c r="Z118" s="2">
        <v>1277194.350749843</v>
      </c>
      <c r="AA118" s="2">
        <v>0</v>
      </c>
      <c r="AB118" s="2">
        <v>0</v>
      </c>
      <c r="AC118" s="2">
        <v>0</v>
      </c>
      <c r="AD118" s="2">
        <v>398058.4924636623</v>
      </c>
      <c r="AE118" s="2">
        <v>4577672.663332118</v>
      </c>
      <c r="AF118" s="2">
        <f>F118-H118-L118-U118-AA118-AC118-AD118</f>
        <v>16493794.2707971</v>
      </c>
      <c r="AG118" s="2">
        <f>F118-H118-L118-U118-AA118-AB118-AD118-Y118</f>
        <v>16059958.031807072</v>
      </c>
      <c r="AH118" s="2">
        <f>AH117+AG118</f>
        <v>538686710.9342777</v>
      </c>
      <c r="AI118" s="2">
        <v>63822057.01394078</v>
      </c>
      <c r="AJ118" s="2">
        <f>AH118-AI118</f>
        <v>474864653.92033684</v>
      </c>
      <c r="AK118" s="3">
        <v>0.25</v>
      </c>
    </row>
    <row r="119" spans="1:37">
      <c r="A119" s="2">
        <v>118</v>
      </c>
      <c r="B119" s="2">
        <v>2036</v>
      </c>
      <c r="C119" s="2">
        <v>212</v>
      </c>
      <c r="D119" s="2">
        <v>456657.5666083974</v>
      </c>
      <c r="E119" s="2">
        <v>96811404.12098025</v>
      </c>
      <c r="F119" s="2">
        <f>E119/1.19</f>
        <v>81354121.11006744</v>
      </c>
      <c r="G119" s="2">
        <v>280</v>
      </c>
      <c r="H119" s="2">
        <v>29659428.60280536</v>
      </c>
      <c r="I119" s="2">
        <v>511</v>
      </c>
      <c r="J119" s="2">
        <v>54117145.48155586</v>
      </c>
      <c r="K119" s="2">
        <v>22451731.58921692</v>
      </c>
      <c r="L119" s="2">
        <v>8296380.223017165</v>
      </c>
      <c r="M119" s="2">
        <v>13034684.10645416</v>
      </c>
      <c r="N119" s="3">
        <v>2.5</v>
      </c>
      <c r="O119" s="3">
        <v>4.5</v>
      </c>
      <c r="P119" s="2">
        <v>339241.0277956037</v>
      </c>
      <c r="Q119" s="2">
        <v>1054909.119125945</v>
      </c>
      <c r="R119" s="2">
        <v>326193.2959573112</v>
      </c>
      <c r="S119" s="2">
        <v>365336.4914721886</v>
      </c>
      <c r="T119" s="2">
        <v>5310426.858185027</v>
      </c>
      <c r="U119" s="2">
        <f>M119+P119+Q119+R119+S119+T119</f>
        <v>20430790.898990232</v>
      </c>
      <c r="V119" s="2">
        <f>F119-K119-L119-U119</f>
        <v>30175218.39884313</v>
      </c>
      <c r="W119" s="2">
        <v>12119.03273148449</v>
      </c>
      <c r="X119" s="2">
        <v>421717.2062585425</v>
      </c>
      <c r="Y119" s="2">
        <f>W119+X119</f>
        <v>433836.23899002705</v>
      </c>
      <c r="Z119" s="2">
        <v>855477.1444913007</v>
      </c>
      <c r="AA119" s="2">
        <v>0</v>
      </c>
      <c r="AB119" s="2">
        <v>0</v>
      </c>
      <c r="AC119" s="2">
        <v>0</v>
      </c>
      <c r="AD119" s="2">
        <v>995146.2311591553</v>
      </c>
      <c r="AE119" s="2">
        <v>5572818.894491273</v>
      </c>
      <c r="AF119" s="2">
        <f>F119-H119-L119-U119-AA119-AC119-AD119</f>
        <v>21972375.15409553</v>
      </c>
      <c r="AG119" s="2">
        <f>F119-H119-L119-U119-AA119-AB119-AD119-Y119</f>
        <v>21538538.915105503</v>
      </c>
      <c r="AH119" s="2">
        <f>AH118+AG119</f>
        <v>560225249.8493831</v>
      </c>
      <c r="AI119" s="2">
        <v>63822057.01394078</v>
      </c>
      <c r="AJ119" s="2">
        <f>AH119-AI119</f>
        <v>496403192.8354423</v>
      </c>
      <c r="AK119" s="3">
        <v>0.25</v>
      </c>
    </row>
    <row r="120" spans="1:37">
      <c r="A120" s="2">
        <v>119</v>
      </c>
      <c r="B120" s="2">
        <v>2036</v>
      </c>
      <c r="C120" s="2">
        <v>228</v>
      </c>
      <c r="D120" s="2">
        <v>456657.5666083974</v>
      </c>
      <c r="E120" s="2">
        <v>104117925.1867146</v>
      </c>
      <c r="F120" s="2">
        <f>E120/1.19</f>
        <v>87494054.77875179</v>
      </c>
      <c r="G120" s="2">
        <v>30</v>
      </c>
      <c r="H120" s="2">
        <v>3177795.921729145</v>
      </c>
      <c r="I120" s="2">
        <v>313</v>
      </c>
      <c r="J120" s="2">
        <v>33148459.62888763</v>
      </c>
      <c r="K120" s="2">
        <v>24146481.77439738</v>
      </c>
      <c r="L120" s="2">
        <v>8922544.51676593</v>
      </c>
      <c r="M120" s="2">
        <v>13034684.10645416</v>
      </c>
      <c r="N120" s="3">
        <v>2.5</v>
      </c>
      <c r="O120" s="3">
        <v>4.5</v>
      </c>
      <c r="P120" s="2">
        <v>339241.0277956037</v>
      </c>
      <c r="Q120" s="2">
        <v>1054909.119125945</v>
      </c>
      <c r="R120" s="2">
        <v>326193.2959573112</v>
      </c>
      <c r="S120" s="2">
        <v>365336.4914721886</v>
      </c>
      <c r="T120" s="2">
        <v>5310426.858185027</v>
      </c>
      <c r="U120" s="2">
        <f>M120+P120+Q120+R120+S120+T120</f>
        <v>20430790.898990232</v>
      </c>
      <c r="V120" s="2">
        <f>F120-K120-L120-U120</f>
        <v>33994237.58859825</v>
      </c>
      <c r="W120" s="2">
        <v>8117.445484346334</v>
      </c>
      <c r="X120" s="2">
        <v>425718.7935056807</v>
      </c>
      <c r="Y120" s="2">
        <f>W120+X120</f>
        <v>433836.23899002705</v>
      </c>
      <c r="Z120" s="2">
        <v>429758.35098562</v>
      </c>
      <c r="AA120" s="2">
        <v>0</v>
      </c>
      <c r="AB120" s="2">
        <v>0</v>
      </c>
      <c r="AC120" s="2">
        <v>0</v>
      </c>
      <c r="AD120" s="2">
        <v>-4975731.155795779</v>
      </c>
      <c r="AE120" s="2">
        <v>597087.7386954936</v>
      </c>
      <c r="AF120" s="2">
        <f>F120-H120-L120-U120-AA120-AC120-AD120</f>
        <v>59938654.597062275</v>
      </c>
      <c r="AG120" s="2">
        <f>F120-H120-L120-U120-AA120-AB120-AD120-Y120</f>
        <v>59504818.35807225</v>
      </c>
      <c r="AH120" s="2">
        <f>AH119+AG120</f>
        <v>619730068.2074554</v>
      </c>
      <c r="AI120" s="2">
        <v>63822057.01394078</v>
      </c>
      <c r="AJ120" s="2">
        <f>AH120-AI120</f>
        <v>555908011.1935146</v>
      </c>
      <c r="AK120" s="3">
        <v>0.25</v>
      </c>
    </row>
    <row r="121" spans="1:37">
      <c r="A121" s="2">
        <v>120</v>
      </c>
      <c r="B121" s="2">
        <v>2036</v>
      </c>
      <c r="C121" s="2">
        <v>277</v>
      </c>
      <c r="D121" s="2">
        <v>456657.5666083974</v>
      </c>
      <c r="E121" s="2">
        <v>126494145.9505261</v>
      </c>
      <c r="F121" s="2">
        <f>E121/1.19</f>
        <v>106297601.63909756</v>
      </c>
      <c r="G121" s="2">
        <v>50</v>
      </c>
      <c r="H121" s="2">
        <v>5296326.536215243</v>
      </c>
      <c r="I121" s="2">
        <v>86</v>
      </c>
      <c r="J121" s="2">
        <v>9108131.157572579</v>
      </c>
      <c r="K121" s="2">
        <v>29336655.00753029</v>
      </c>
      <c r="L121" s="2">
        <v>10840172.72965293</v>
      </c>
      <c r="M121" s="2">
        <v>13034684.10645416</v>
      </c>
      <c r="N121" s="3">
        <v>2.5</v>
      </c>
      <c r="O121" s="3">
        <v>4.5</v>
      </c>
      <c r="P121" s="2">
        <v>339241.0277956037</v>
      </c>
      <c r="Q121" s="2">
        <v>1054909.119125945</v>
      </c>
      <c r="R121" s="2">
        <v>326193.2959573112</v>
      </c>
      <c r="S121" s="2">
        <v>365336.4914721886</v>
      </c>
      <c r="T121" s="2">
        <v>5310426.858185027</v>
      </c>
      <c r="U121" s="2">
        <f>M121+P121+Q121+R121+S121+T121</f>
        <v>20430790.898990232</v>
      </c>
      <c r="V121" s="2">
        <f>F121-K121-L121-U121</f>
        <v>45689983.0029241</v>
      </c>
      <c r="W121" s="2">
        <v>4077.888004410412</v>
      </c>
      <c r="X121" s="2">
        <v>429758.3509856166</v>
      </c>
      <c r="Y121" s="2">
        <f>W121+X121</f>
        <v>433836.23899002705</v>
      </c>
      <c r="Z121" s="2">
        <v>3.37604433298111E-09</v>
      </c>
      <c r="AA121" s="2">
        <v>0</v>
      </c>
      <c r="AB121" s="2">
        <v>35237974.16470572</v>
      </c>
      <c r="AC121" s="2">
        <v>35314815.67431973</v>
      </c>
      <c r="AD121" s="2">
        <v>398058.4924636625</v>
      </c>
      <c r="AE121" s="2">
        <v>995146.2311591561</v>
      </c>
      <c r="AF121" s="2">
        <f>F121-H121-L121-U121-AA121-AC121-AD121</f>
        <v>34017437.30745576</v>
      </c>
      <c r="AG121" s="2">
        <f>F121-H121-L121-U121-AA121-AB121-AD121-Y121</f>
        <v>33660442.57807975</v>
      </c>
      <c r="AH121" s="2">
        <f>AH120+AG121</f>
        <v>653390510.7855351</v>
      </c>
      <c r="AI121" s="2">
        <v>63822057.01394078</v>
      </c>
      <c r="AJ121" s="2">
        <f>AH121-AI121</f>
        <v>589568453.7715943</v>
      </c>
      <c r="AK121" s="3">
        <v>0.25</v>
      </c>
    </row>
    <row r="122" spans="1:37">
      <c r="A122" s="2">
        <v>121</v>
      </c>
      <c r="B122" s="2">
        <v>2037</v>
      </c>
      <c r="C122" s="2">
        <v>34</v>
      </c>
      <c r="D122" s="2">
        <v>470357.2936066493</v>
      </c>
      <c r="E122" s="2">
        <v>15992147.98262608</v>
      </c>
      <c r="F122" s="2">
        <f>E122/1.19</f>
        <v>13438779.817332838</v>
      </c>
      <c r="G122" s="2">
        <v>70</v>
      </c>
      <c r="H122" s="2">
        <v>7637302.865222379</v>
      </c>
      <c r="I122" s="2">
        <v>122</v>
      </c>
      <c r="J122" s="2">
        <v>13095788.14603195</v>
      </c>
      <c r="K122" s="2">
        <v>3649645.876763004</v>
      </c>
      <c r="L122" s="2">
        <v>1365738.010658545</v>
      </c>
      <c r="M122" s="2">
        <v>13425724.62964778</v>
      </c>
      <c r="N122" s="3">
        <v>2.5</v>
      </c>
      <c r="O122" s="3">
        <v>4.5</v>
      </c>
      <c r="P122" s="2">
        <v>349418.2586294718</v>
      </c>
      <c r="Q122" s="2">
        <v>1130838.437399112</v>
      </c>
      <c r="R122" s="2">
        <v>335979.0948360306</v>
      </c>
      <c r="S122" s="2">
        <v>376296.5862163542</v>
      </c>
      <c r="T122" s="2">
        <v>5741882.730747762</v>
      </c>
      <c r="U122" s="2">
        <f>M122+P122+Q122+R122+S122+T122</f>
        <v>21360139.73747651</v>
      </c>
      <c r="V122" s="2">
        <f>F122-K122-L122-U122</f>
        <v>-12936743.807565222</v>
      </c>
      <c r="W122" s="2">
        <v>0</v>
      </c>
      <c r="X122" s="2">
        <v>0</v>
      </c>
      <c r="Y122" s="2">
        <f>W122+X122</f>
        <v>0</v>
      </c>
      <c r="Z122" s="2">
        <v>3.37604433298111E-09</v>
      </c>
      <c r="AA122" s="2">
        <v>0</v>
      </c>
      <c r="AB122" s="2">
        <v>0</v>
      </c>
      <c r="AC122" s="2">
        <v>0</v>
      </c>
      <c r="AD122" s="2">
        <v>439854.6341723468</v>
      </c>
      <c r="AE122" s="2">
        <v>1435000.865331503</v>
      </c>
      <c r="AF122" s="2">
        <f>F122-H122-L122-U122-AA122-AC122-AD122</f>
        <v>-17364255.43019694</v>
      </c>
      <c r="AG122" s="2">
        <f>F122-H122-L122-U122-AA122-AB122-AD122-Y122</f>
        <v>-17364255.43019694</v>
      </c>
      <c r="AH122" s="2">
        <f>AH121+AG122</f>
        <v>636026255.3553381</v>
      </c>
      <c r="AI122" s="2">
        <v>65308594.81242952</v>
      </c>
      <c r="AJ122" s="2">
        <f>AH122-AI122</f>
        <v>570717660.5429085</v>
      </c>
      <c r="AK122" s="3">
        <v>0.25</v>
      </c>
    </row>
    <row r="123" spans="1:37">
      <c r="A123" s="2">
        <v>122</v>
      </c>
      <c r="B123" s="2">
        <v>2037</v>
      </c>
      <c r="C123" s="2">
        <v>51</v>
      </c>
      <c r="D123" s="2">
        <v>470357.2936066493</v>
      </c>
      <c r="E123" s="2">
        <v>23988221.97393912</v>
      </c>
      <c r="F123" s="2">
        <f>E123/1.19</f>
        <v>20158169.72599926</v>
      </c>
      <c r="G123" s="2">
        <v>90</v>
      </c>
      <c r="H123" s="2">
        <v>9819389.398143061</v>
      </c>
      <c r="I123" s="2">
        <v>161</v>
      </c>
      <c r="J123" s="2">
        <v>17402564.07835933</v>
      </c>
      <c r="K123" s="2">
        <v>5512613.465815687</v>
      </c>
      <c r="L123" s="2">
        <v>2051658.588041512</v>
      </c>
      <c r="M123" s="2">
        <v>13425724.62964778</v>
      </c>
      <c r="N123" s="3">
        <v>2.5</v>
      </c>
      <c r="O123" s="3">
        <v>4.5</v>
      </c>
      <c r="P123" s="2">
        <v>349418.2586294718</v>
      </c>
      <c r="Q123" s="2">
        <v>1130838.437399112</v>
      </c>
      <c r="R123" s="2">
        <v>335979.0948360306</v>
      </c>
      <c r="S123" s="2">
        <v>376296.5862163542</v>
      </c>
      <c r="T123" s="2">
        <v>5741882.730747762</v>
      </c>
      <c r="U123" s="2">
        <f>M123+P123+Q123+R123+S123+T123</f>
        <v>21360139.73747651</v>
      </c>
      <c r="V123" s="2">
        <f>F123-K123-L123-U123</f>
        <v>-8766242.065334449</v>
      </c>
      <c r="W123" s="2">
        <v>0</v>
      </c>
      <c r="X123" s="2">
        <v>0</v>
      </c>
      <c r="Y123" s="2">
        <f>W123+X123</f>
        <v>0</v>
      </c>
      <c r="Z123" s="2">
        <v>3.37604433298111E-09</v>
      </c>
      <c r="AA123" s="2">
        <v>0</v>
      </c>
      <c r="AB123" s="2">
        <v>0</v>
      </c>
      <c r="AC123" s="2">
        <v>0</v>
      </c>
      <c r="AD123" s="2">
        <v>410000.2472375724</v>
      </c>
      <c r="AE123" s="2">
        <v>1845001.112569075</v>
      </c>
      <c r="AF123" s="2">
        <f>F123-H123-L123-U123-AA123-AC123-AD123</f>
        <v>-13483018.244899396</v>
      </c>
      <c r="AG123" s="2">
        <f>F123-H123-L123-U123-AA123-AB123-AD123-Y123</f>
        <v>-13483018.244899396</v>
      </c>
      <c r="AH123" s="2">
        <f>AH122+AG123</f>
        <v>622543237.1104387</v>
      </c>
      <c r="AI123" s="2">
        <v>65308594.81242952</v>
      </c>
      <c r="AJ123" s="2">
        <f>AH123-AI123</f>
        <v>557234642.2980092</v>
      </c>
      <c r="AK123" s="3">
        <v>0.25</v>
      </c>
    </row>
    <row r="124" spans="1:37">
      <c r="A124" s="2">
        <v>123</v>
      </c>
      <c r="B124" s="2">
        <v>2037</v>
      </c>
      <c r="C124" s="2">
        <v>68</v>
      </c>
      <c r="D124" s="2">
        <v>470357.2936066493</v>
      </c>
      <c r="E124" s="2">
        <v>31984295.96525215</v>
      </c>
      <c r="F124" s="2">
        <f>E124/1.19</f>
        <v>26877559.634665675</v>
      </c>
      <c r="G124" s="2">
        <v>100</v>
      </c>
      <c r="H124" s="2">
        <v>10910432.6646034</v>
      </c>
      <c r="I124" s="2">
        <v>193</v>
      </c>
      <c r="J124" s="2">
        <v>20936430.54173106</v>
      </c>
      <c r="K124" s="2">
        <v>7376566.201231668</v>
      </c>
      <c r="L124" s="2">
        <v>2737657.977133543</v>
      </c>
      <c r="M124" s="2">
        <v>13425724.62964778</v>
      </c>
      <c r="N124" s="3">
        <v>2.5</v>
      </c>
      <c r="O124" s="3">
        <v>4.5</v>
      </c>
      <c r="P124" s="2">
        <v>349418.2586294718</v>
      </c>
      <c r="Q124" s="2">
        <v>1130838.437399112</v>
      </c>
      <c r="R124" s="2">
        <v>335979.0948360306</v>
      </c>
      <c r="S124" s="2">
        <v>376296.5862163542</v>
      </c>
      <c r="T124" s="2">
        <v>5741882.730747762</v>
      </c>
      <c r="U124" s="2">
        <f>M124+P124+Q124+R124+S124+T124</f>
        <v>21360139.73747651</v>
      </c>
      <c r="V124" s="2">
        <f>F124-K124-L124-U124</f>
        <v>-4596804.281176042</v>
      </c>
      <c r="W124" s="2">
        <v>0</v>
      </c>
      <c r="X124" s="2">
        <v>0</v>
      </c>
      <c r="Y124" s="2">
        <f>W124+X124</f>
        <v>0</v>
      </c>
      <c r="Z124" s="2">
        <v>3.37604433298111E-09</v>
      </c>
      <c r="AA124" s="2">
        <v>0</v>
      </c>
      <c r="AB124" s="2">
        <v>0</v>
      </c>
      <c r="AC124" s="2">
        <v>0</v>
      </c>
      <c r="AD124" s="2">
        <v>205000.1236187862</v>
      </c>
      <c r="AE124" s="2">
        <v>2050001.236187862</v>
      </c>
      <c r="AF124" s="2">
        <f>F124-H124-L124-U124-AA124-AC124-AD124</f>
        <v>-8335670.868166563</v>
      </c>
      <c r="AG124" s="2">
        <f>F124-H124-L124-U124-AA124-AB124-AD124-Y124</f>
        <v>-8335670.868166563</v>
      </c>
      <c r="AH124" s="2">
        <f>AH123+AG124</f>
        <v>614207566.2422721</v>
      </c>
      <c r="AI124" s="2">
        <v>65308594.81242952</v>
      </c>
      <c r="AJ124" s="2">
        <f>AH124-AI124</f>
        <v>548898971.4298426</v>
      </c>
      <c r="AK124" s="3">
        <v>0.25</v>
      </c>
    </row>
    <row r="125" spans="1:37">
      <c r="A125" s="2">
        <v>124</v>
      </c>
      <c r="B125" s="2">
        <v>2037</v>
      </c>
      <c r="C125" s="2">
        <v>85</v>
      </c>
      <c r="D125" s="2">
        <v>470357.2936066493</v>
      </c>
      <c r="E125" s="2">
        <v>39980369.95656519</v>
      </c>
      <c r="F125" s="2">
        <f>E125/1.19</f>
        <v>33596949.5433321</v>
      </c>
      <c r="G125" s="2">
        <v>120</v>
      </c>
      <c r="H125" s="2">
        <v>13092519.19752408</v>
      </c>
      <c r="I125" s="2">
        <v>228</v>
      </c>
      <c r="J125" s="2">
        <v>24787861.15191748</v>
      </c>
      <c r="K125" s="2">
        <v>9241088.587337656</v>
      </c>
      <c r="L125" s="2">
        <v>3423702.938280775</v>
      </c>
      <c r="M125" s="2">
        <v>13425724.62964778</v>
      </c>
      <c r="N125" s="3">
        <v>2.5</v>
      </c>
      <c r="O125" s="3">
        <v>4.5</v>
      </c>
      <c r="P125" s="2">
        <v>349418.2586294718</v>
      </c>
      <c r="Q125" s="2">
        <v>1130838.437399112</v>
      </c>
      <c r="R125" s="2">
        <v>335979.0948360306</v>
      </c>
      <c r="S125" s="2">
        <v>376296.5862163542</v>
      </c>
      <c r="T125" s="2">
        <v>5741882.730747762</v>
      </c>
      <c r="U125" s="2">
        <f>M125+P125+Q125+R125+S125+T125</f>
        <v>21360139.73747651</v>
      </c>
      <c r="V125" s="2">
        <f>F125-K125-L125-U125</f>
        <v>-427981.7197628431</v>
      </c>
      <c r="W125" s="2">
        <v>0</v>
      </c>
      <c r="X125" s="2">
        <v>0</v>
      </c>
      <c r="Y125" s="2">
        <f>W125+X125</f>
        <v>0</v>
      </c>
      <c r="Z125" s="2">
        <v>3.37604433298111E-09</v>
      </c>
      <c r="AA125" s="2">
        <v>0</v>
      </c>
      <c r="AB125" s="2">
        <v>0</v>
      </c>
      <c r="AC125" s="2">
        <v>0</v>
      </c>
      <c r="AD125" s="2">
        <v>410000.2472375722</v>
      </c>
      <c r="AE125" s="2">
        <v>2460001.483425434</v>
      </c>
      <c r="AF125" s="2">
        <f>F125-H125-L125-U125-AA125-AC125-AD125</f>
        <v>-4689412.577186836</v>
      </c>
      <c r="AG125" s="2">
        <f>F125-H125-L125-U125-AA125-AB125-AD125-Y125</f>
        <v>-4689412.577186836</v>
      </c>
      <c r="AH125" s="2">
        <f>AH124+AG125</f>
        <v>609518153.6650853</v>
      </c>
      <c r="AI125" s="2">
        <v>65308594.81242952</v>
      </c>
      <c r="AJ125" s="2">
        <f>AH125-AI125</f>
        <v>544209558.8526558</v>
      </c>
      <c r="AK125" s="3">
        <v>0.25</v>
      </c>
    </row>
    <row r="126" spans="1:37">
      <c r="A126" s="2">
        <v>125</v>
      </c>
      <c r="B126" s="2">
        <v>2037</v>
      </c>
      <c r="C126" s="2">
        <v>103</v>
      </c>
      <c r="D126" s="2">
        <v>470357.2936066493</v>
      </c>
      <c r="E126" s="2">
        <v>48446801.24148488</v>
      </c>
      <c r="F126" s="2">
        <f>E126/1.19</f>
        <v>40711597.68192007</v>
      </c>
      <c r="G126" s="2">
        <v>140</v>
      </c>
      <c r="H126" s="2">
        <v>15274605.73044476</v>
      </c>
      <c r="I126" s="2">
        <v>265</v>
      </c>
      <c r="J126" s="2">
        <v>28849330.77126628</v>
      </c>
      <c r="K126" s="2">
        <v>11213136.11109595</v>
      </c>
      <c r="L126" s="2">
        <v>4149931.273396588</v>
      </c>
      <c r="M126" s="2">
        <v>13425724.62964778</v>
      </c>
      <c r="N126" s="3">
        <v>2.5</v>
      </c>
      <c r="O126" s="3">
        <v>4.5</v>
      </c>
      <c r="P126" s="2">
        <v>349418.2586294718</v>
      </c>
      <c r="Q126" s="2">
        <v>1130838.437399112</v>
      </c>
      <c r="R126" s="2">
        <v>335979.0948360306</v>
      </c>
      <c r="S126" s="2">
        <v>376296.5862163542</v>
      </c>
      <c r="T126" s="2">
        <v>5741882.730747762</v>
      </c>
      <c r="U126" s="2">
        <f>M126+P126+Q126+R126+S126+T126</f>
        <v>21360139.73747651</v>
      </c>
      <c r="V126" s="2">
        <f>F126-K126-L126-U126</f>
        <v>3988390.559951015</v>
      </c>
      <c r="W126" s="2">
        <v>0</v>
      </c>
      <c r="X126" s="2">
        <v>0</v>
      </c>
      <c r="Y126" s="2">
        <f>W126+X126</f>
        <v>0</v>
      </c>
      <c r="Z126" s="2">
        <v>3.37604433298111E-09</v>
      </c>
      <c r="AA126" s="2">
        <v>0</v>
      </c>
      <c r="AB126" s="2">
        <v>0</v>
      </c>
      <c r="AC126" s="2">
        <v>0</v>
      </c>
      <c r="AD126" s="2">
        <v>410000.247237572</v>
      </c>
      <c r="AE126" s="2">
        <v>2870001.730663006</v>
      </c>
      <c r="AF126" s="2">
        <f>F126-H126-L126-U126-AA126-AC126-AD126</f>
        <v>-483079.30663536256</v>
      </c>
      <c r="AG126" s="2">
        <f>F126-H126-L126-U126-AA126-AB126-AD126-Y126</f>
        <v>-483079.30663536256</v>
      </c>
      <c r="AH126" s="2">
        <f>AH125+AG126</f>
        <v>609035074.3584499</v>
      </c>
      <c r="AI126" s="2">
        <v>65308594.81242952</v>
      </c>
      <c r="AJ126" s="2">
        <f>AH126-AI126</f>
        <v>543726479.5460204</v>
      </c>
      <c r="AK126" s="3">
        <v>0.25</v>
      </c>
    </row>
    <row r="127" spans="1:37">
      <c r="A127" s="2">
        <v>126</v>
      </c>
      <c r="B127" s="2">
        <v>2037</v>
      </c>
      <c r="C127" s="2">
        <v>120</v>
      </c>
      <c r="D127" s="2">
        <v>470357.2936066493</v>
      </c>
      <c r="E127" s="2">
        <v>56442875.23279792</v>
      </c>
      <c r="F127" s="2">
        <f>E127/1.19</f>
        <v>47430987.59058649</v>
      </c>
      <c r="G127" s="2">
        <v>170</v>
      </c>
      <c r="H127" s="2">
        <v>18547735.52982578</v>
      </c>
      <c r="I127" s="2">
        <v>315</v>
      </c>
      <c r="J127" s="2">
        <v>34322013.52837701</v>
      </c>
      <c r="K127" s="2">
        <v>13075052.77271505</v>
      </c>
      <c r="L127" s="2">
        <v>4835767.776584868</v>
      </c>
      <c r="M127" s="2">
        <v>13425724.62964778</v>
      </c>
      <c r="N127" s="3">
        <v>2.5</v>
      </c>
      <c r="O127" s="3">
        <v>4.5</v>
      </c>
      <c r="P127" s="2">
        <v>349418.2586294718</v>
      </c>
      <c r="Q127" s="2">
        <v>1130838.437399112</v>
      </c>
      <c r="R127" s="2">
        <v>335979.0948360306</v>
      </c>
      <c r="S127" s="2">
        <v>376296.5862163542</v>
      </c>
      <c r="T127" s="2">
        <v>5741882.730747762</v>
      </c>
      <c r="U127" s="2">
        <f>M127+P127+Q127+R127+S127+T127</f>
        <v>21360139.73747651</v>
      </c>
      <c r="V127" s="2">
        <f>F127-K127-L127-U127</f>
        <v>8160027.30381006</v>
      </c>
      <c r="W127" s="2">
        <v>0</v>
      </c>
      <c r="X127" s="2">
        <v>0</v>
      </c>
      <c r="Y127" s="2">
        <f>W127+X127</f>
        <v>0</v>
      </c>
      <c r="Z127" s="2">
        <v>3.37604433298111E-09</v>
      </c>
      <c r="AA127" s="2">
        <v>0</v>
      </c>
      <c r="AB127" s="2">
        <v>0</v>
      </c>
      <c r="AC127" s="2">
        <v>0</v>
      </c>
      <c r="AD127" s="2">
        <v>615000.3708563587</v>
      </c>
      <c r="AE127" s="2">
        <v>3485002.101519364</v>
      </c>
      <c r="AF127" s="2">
        <f>F127-H127-L127-U127-AA127-AC127-AD127</f>
        <v>2072344.1758429753</v>
      </c>
      <c r="AG127" s="2">
        <f>F127-H127-L127-U127-AA127-AB127-AD127-Y127</f>
        <v>2072344.1758429753</v>
      </c>
      <c r="AH127" s="2">
        <f>AH126+AG127</f>
        <v>611107418.5342929</v>
      </c>
      <c r="AI127" s="2">
        <v>65308594.81242952</v>
      </c>
      <c r="AJ127" s="2">
        <f>AH127-AI127</f>
        <v>545798823.7218634</v>
      </c>
      <c r="AK127" s="3">
        <v>0.25</v>
      </c>
    </row>
    <row r="128" spans="1:37">
      <c r="A128" s="2">
        <v>127</v>
      </c>
      <c r="B128" s="2">
        <v>2037</v>
      </c>
      <c r="C128" s="2">
        <v>137</v>
      </c>
      <c r="D128" s="2">
        <v>470357.2936066493</v>
      </c>
      <c r="E128" s="2">
        <v>64438949.22411096</v>
      </c>
      <c r="F128" s="2">
        <f>E128/1.19</f>
        <v>54150377.49925291</v>
      </c>
      <c r="G128" s="2">
        <v>190</v>
      </c>
      <c r="H128" s="2">
        <v>20729822.06274646</v>
      </c>
      <c r="I128" s="2">
        <v>368</v>
      </c>
      <c r="J128" s="2">
        <v>40116981.18323453</v>
      </c>
      <c r="K128" s="2">
        <v>14934854.40788894</v>
      </c>
      <c r="L128" s="2">
        <v>5521435.077657532</v>
      </c>
      <c r="M128" s="2">
        <v>13425724.62964778</v>
      </c>
      <c r="N128" s="3">
        <v>2.5</v>
      </c>
      <c r="O128" s="3">
        <v>4.5</v>
      </c>
      <c r="P128" s="2">
        <v>349418.2586294718</v>
      </c>
      <c r="Q128" s="2">
        <v>1130838.437399112</v>
      </c>
      <c r="R128" s="2">
        <v>335979.0948360306</v>
      </c>
      <c r="S128" s="2">
        <v>376296.5862163542</v>
      </c>
      <c r="T128" s="2">
        <v>5741882.730747762</v>
      </c>
      <c r="U128" s="2">
        <f>M128+P128+Q128+R128+S128+T128</f>
        <v>21360139.73747651</v>
      </c>
      <c r="V128" s="2">
        <f>F128-K128-L128-U128</f>
        <v>12333948.276229922</v>
      </c>
      <c r="W128" s="2">
        <v>0</v>
      </c>
      <c r="X128" s="2">
        <v>0</v>
      </c>
      <c r="Y128" s="2">
        <f>W128+X128</f>
        <v>0</v>
      </c>
      <c r="Z128" s="2">
        <v>3.37604433298111E-09</v>
      </c>
      <c r="AA128" s="2">
        <v>0</v>
      </c>
      <c r="AB128" s="2">
        <v>0</v>
      </c>
      <c r="AC128" s="2">
        <v>0</v>
      </c>
      <c r="AD128" s="2">
        <v>410000.2472375724</v>
      </c>
      <c r="AE128" s="2">
        <v>3895002.348756937</v>
      </c>
      <c r="AF128" s="2">
        <f>F128-H128-L128-U128-AA128-AC128-AD128</f>
        <v>6128980.374134833</v>
      </c>
      <c r="AG128" s="2">
        <f>F128-H128-L128-U128-AA128-AB128-AD128-Y128</f>
        <v>6128980.374134833</v>
      </c>
      <c r="AH128" s="2">
        <f>AH127+AG128</f>
        <v>617236398.9084277</v>
      </c>
      <c r="AI128" s="2">
        <v>65308594.81242952</v>
      </c>
      <c r="AJ128" s="2">
        <f>AH128-AI128</f>
        <v>551927804.0959982</v>
      </c>
      <c r="AK128" s="3">
        <v>0.25</v>
      </c>
    </row>
    <row r="129" spans="1:37">
      <c r="A129" s="2">
        <v>128</v>
      </c>
      <c r="B129" s="2">
        <v>2037</v>
      </c>
      <c r="C129" s="2">
        <v>171</v>
      </c>
      <c r="D129" s="2">
        <v>470357.2936066493</v>
      </c>
      <c r="E129" s="2">
        <v>80431097.20673704</v>
      </c>
      <c r="F129" s="2">
        <f>E129/1.19</f>
        <v>67589157.31658575</v>
      </c>
      <c r="G129" s="2">
        <v>220</v>
      </c>
      <c r="H129" s="2">
        <v>24002951.86212748</v>
      </c>
      <c r="I129" s="2">
        <v>417</v>
      </c>
      <c r="J129" s="2">
        <v>45472809.65972102</v>
      </c>
      <c r="K129" s="2">
        <v>18647123.38564099</v>
      </c>
      <c r="L129" s="2">
        <v>6892182.936395201</v>
      </c>
      <c r="M129" s="2">
        <v>13425724.62964778</v>
      </c>
      <c r="N129" s="3">
        <v>2.5</v>
      </c>
      <c r="O129" s="3">
        <v>4.5</v>
      </c>
      <c r="P129" s="2">
        <v>349418.2586294718</v>
      </c>
      <c r="Q129" s="2">
        <v>1130838.437399112</v>
      </c>
      <c r="R129" s="2">
        <v>335979.0948360306</v>
      </c>
      <c r="S129" s="2">
        <v>376296.5862163542</v>
      </c>
      <c r="T129" s="2">
        <v>5741882.730747762</v>
      </c>
      <c r="U129" s="2">
        <f>M129+P129+Q129+R129+S129+T129</f>
        <v>21360139.73747651</v>
      </c>
      <c r="V129" s="2">
        <f>F129-K129-L129-U129</f>
        <v>20689711.25707305</v>
      </c>
      <c r="W129" s="2">
        <v>0</v>
      </c>
      <c r="X129" s="2">
        <v>0</v>
      </c>
      <c r="Y129" s="2">
        <f>W129+X129</f>
        <v>0</v>
      </c>
      <c r="Z129" s="2">
        <v>3.37604433298111E-09</v>
      </c>
      <c r="AA129" s="2">
        <v>0</v>
      </c>
      <c r="AB129" s="2">
        <v>0</v>
      </c>
      <c r="AC129" s="2">
        <v>0</v>
      </c>
      <c r="AD129" s="2">
        <v>615000.3708563582</v>
      </c>
      <c r="AE129" s="2">
        <v>4510002.719613295</v>
      </c>
      <c r="AF129" s="2">
        <f>F129-H129-L129-U129-AA129-AC129-AD129</f>
        <v>14718882.409730209</v>
      </c>
      <c r="AG129" s="2">
        <f>F129-H129-L129-U129-AA129-AB129-AD129-Y129</f>
        <v>14718882.409730209</v>
      </c>
      <c r="AH129" s="2">
        <f>AH128+AG129</f>
        <v>631955281.3181579</v>
      </c>
      <c r="AI129" s="2">
        <v>65308594.81242952</v>
      </c>
      <c r="AJ129" s="2">
        <f>AH129-AI129</f>
        <v>566646686.5057284</v>
      </c>
      <c r="AK129" s="3">
        <v>0.25</v>
      </c>
    </row>
    <row r="130" spans="1:37">
      <c r="A130" s="2">
        <v>129</v>
      </c>
      <c r="B130" s="2">
        <v>2037</v>
      </c>
      <c r="C130" s="2">
        <v>188</v>
      </c>
      <c r="D130" s="2">
        <v>470357.2936066493</v>
      </c>
      <c r="E130" s="2">
        <v>88427171.19805008</v>
      </c>
      <c r="F130" s="2">
        <f>E130/1.19</f>
        <v>74308547.22525217</v>
      </c>
      <c r="G130" s="2">
        <v>240</v>
      </c>
      <c r="H130" s="2">
        <v>26185038.39504816</v>
      </c>
      <c r="I130" s="2">
        <v>469</v>
      </c>
      <c r="J130" s="2">
        <v>51153014.82144101</v>
      </c>
      <c r="K130" s="2">
        <v>20504833.23332817</v>
      </c>
      <c r="L130" s="2">
        <v>7577682.894468928</v>
      </c>
      <c r="M130" s="2">
        <v>13425724.62964778</v>
      </c>
      <c r="N130" s="3">
        <v>2.5</v>
      </c>
      <c r="O130" s="3">
        <v>4.5</v>
      </c>
      <c r="P130" s="2">
        <v>349418.2586294718</v>
      </c>
      <c r="Q130" s="2">
        <v>1130838.437399112</v>
      </c>
      <c r="R130" s="2">
        <v>335979.0948360306</v>
      </c>
      <c r="S130" s="2">
        <v>376296.5862163542</v>
      </c>
      <c r="T130" s="2">
        <v>5741882.730747762</v>
      </c>
      <c r="U130" s="2">
        <f>M130+P130+Q130+R130+S130+T130</f>
        <v>21360139.73747651</v>
      </c>
      <c r="V130" s="2">
        <f>F130-K130-L130-U130</f>
        <v>24865891.359978568</v>
      </c>
      <c r="W130" s="2">
        <v>0</v>
      </c>
      <c r="X130" s="2">
        <v>0</v>
      </c>
      <c r="Y130" s="2">
        <f>W130+X130</f>
        <v>0</v>
      </c>
      <c r="Z130" s="2">
        <v>3.37604433298111E-09</v>
      </c>
      <c r="AA130" s="2">
        <v>0</v>
      </c>
      <c r="AB130" s="2">
        <v>0</v>
      </c>
      <c r="AC130" s="2">
        <v>0</v>
      </c>
      <c r="AD130" s="2">
        <v>410000.2472375724</v>
      </c>
      <c r="AE130" s="2">
        <v>4920002.966850867</v>
      </c>
      <c r="AF130" s="2">
        <f>F130-H130-L130-U130-AA130-AC130-AD130</f>
        <v>18775685.951021</v>
      </c>
      <c r="AG130" s="2">
        <f>F130-H130-L130-U130-AA130-AB130-AD130-Y130</f>
        <v>18775685.951021</v>
      </c>
      <c r="AH130" s="2">
        <f>AH129+AG130</f>
        <v>650730967.2691789</v>
      </c>
      <c r="AI130" s="2">
        <v>65308594.81242952</v>
      </c>
      <c r="AJ130" s="2">
        <f>AH130-AI130</f>
        <v>585422372.4567493</v>
      </c>
      <c r="AK130" s="3">
        <v>0.25</v>
      </c>
    </row>
    <row r="131" spans="1:37">
      <c r="A131" s="2">
        <v>130</v>
      </c>
      <c r="B131" s="2">
        <v>2037</v>
      </c>
      <c r="C131" s="2">
        <v>222</v>
      </c>
      <c r="D131" s="2">
        <v>470357.2936066493</v>
      </c>
      <c r="E131" s="2">
        <v>104419319.1806761</v>
      </c>
      <c r="F131" s="2">
        <f>E131/1.19</f>
        <v>87747327.042585</v>
      </c>
      <c r="G131" s="2">
        <v>290</v>
      </c>
      <c r="H131" s="2">
        <v>31640254.72734986</v>
      </c>
      <c r="I131" s="2">
        <v>537</v>
      </c>
      <c r="J131" s="2">
        <v>58577056.32108128</v>
      </c>
      <c r="K131" s="2">
        <v>24216213.22770958</v>
      </c>
      <c r="L131" s="2">
        <v>8948359.634536944</v>
      </c>
      <c r="M131" s="2">
        <v>13425724.62964778</v>
      </c>
      <c r="N131" s="3">
        <v>2.5</v>
      </c>
      <c r="O131" s="3">
        <v>4.5</v>
      </c>
      <c r="P131" s="2">
        <v>349418.2586294718</v>
      </c>
      <c r="Q131" s="2">
        <v>1130838.437399112</v>
      </c>
      <c r="R131" s="2">
        <v>335979.0948360306</v>
      </c>
      <c r="S131" s="2">
        <v>376296.5862163542</v>
      </c>
      <c r="T131" s="2">
        <v>5741882.730747762</v>
      </c>
      <c r="U131" s="2">
        <f>M131+P131+Q131+R131+S131+T131</f>
        <v>21360139.73747651</v>
      </c>
      <c r="V131" s="2">
        <f>F131-K131-L131-U131</f>
        <v>33222614.442861963</v>
      </c>
      <c r="W131" s="2">
        <v>0</v>
      </c>
      <c r="X131" s="2">
        <v>0</v>
      </c>
      <c r="Y131" s="2">
        <f>W131+X131</f>
        <v>0</v>
      </c>
      <c r="Z131" s="2">
        <v>3.37604433298111E-09</v>
      </c>
      <c r="AA131" s="2">
        <v>0</v>
      </c>
      <c r="AB131" s="2">
        <v>0</v>
      </c>
      <c r="AC131" s="2">
        <v>0</v>
      </c>
      <c r="AD131" s="2">
        <v>1025000.618093931</v>
      </c>
      <c r="AE131" s="2">
        <v>5945003.584944799</v>
      </c>
      <c r="AF131" s="2">
        <f>F131-H131-L131-U131-AA131-AC131-AD131</f>
        <v>24773572.325127754</v>
      </c>
      <c r="AG131" s="2">
        <f>F131-H131-L131-U131-AA131-AB131-AD131-Y131</f>
        <v>24773572.325127754</v>
      </c>
      <c r="AH131" s="2">
        <f>AH130+AG131</f>
        <v>675504539.5943066</v>
      </c>
      <c r="AI131" s="2">
        <v>65308594.81242952</v>
      </c>
      <c r="AJ131" s="2">
        <f>AH131-AI131</f>
        <v>610195944.781877</v>
      </c>
      <c r="AK131" s="3">
        <v>0.25</v>
      </c>
    </row>
    <row r="132" spans="1:37">
      <c r="A132" s="2">
        <v>131</v>
      </c>
      <c r="B132" s="2">
        <v>2037</v>
      </c>
      <c r="C132" s="2">
        <v>239</v>
      </c>
      <c r="D132" s="2">
        <v>470357.2936066493</v>
      </c>
      <c r="E132" s="2">
        <v>112415393.1719892</v>
      </c>
      <c r="F132" s="2">
        <f>E132/1.19</f>
        <v>94466716.95125142</v>
      </c>
      <c r="G132" s="2">
        <v>30</v>
      </c>
      <c r="H132" s="2">
        <v>3273129.79938102</v>
      </c>
      <c r="I132" s="2">
        <v>328</v>
      </c>
      <c r="J132" s="2">
        <v>35779296.38009106</v>
      </c>
      <c r="K132" s="2">
        <v>26070889.74037123</v>
      </c>
      <c r="L132" s="2">
        <v>9633616.925808631</v>
      </c>
      <c r="M132" s="2">
        <v>13425724.62964778</v>
      </c>
      <c r="N132" s="3">
        <v>2.5</v>
      </c>
      <c r="O132" s="3">
        <v>4.5</v>
      </c>
      <c r="P132" s="2">
        <v>349418.2586294718</v>
      </c>
      <c r="Q132" s="2">
        <v>1130838.437399112</v>
      </c>
      <c r="R132" s="2">
        <v>335979.0948360306</v>
      </c>
      <c r="S132" s="2">
        <v>376296.5862163542</v>
      </c>
      <c r="T132" s="2">
        <v>5741882.730747762</v>
      </c>
      <c r="U132" s="2">
        <f>M132+P132+Q132+R132+S132+T132</f>
        <v>21360139.73747651</v>
      </c>
      <c r="V132" s="2">
        <f>F132-K132-L132-U132</f>
        <v>37402070.547595054</v>
      </c>
      <c r="W132" s="2">
        <v>0</v>
      </c>
      <c r="X132" s="2">
        <v>0</v>
      </c>
      <c r="Y132" s="2">
        <f>W132+X132</f>
        <v>0</v>
      </c>
      <c r="Z132" s="2">
        <v>3.37604433298111E-09</v>
      </c>
      <c r="AA132" s="2">
        <v>0</v>
      </c>
      <c r="AB132" s="2">
        <v>0</v>
      </c>
      <c r="AC132" s="2">
        <v>0</v>
      </c>
      <c r="AD132" s="2">
        <v>-5330003.21408844</v>
      </c>
      <c r="AE132" s="2">
        <v>615000.3708563584</v>
      </c>
      <c r="AF132" s="2">
        <f>F132-H132-L132-U132-AA132-AC132-AD132</f>
        <v>65529833.70267369</v>
      </c>
      <c r="AG132" s="2">
        <f>F132-H132-L132-U132-AA132-AB132-AD132-Y132</f>
        <v>65529833.70267369</v>
      </c>
      <c r="AH132" s="2">
        <f>AH131+AG132</f>
        <v>741034373.2969803</v>
      </c>
      <c r="AI132" s="2">
        <v>65308594.81242952</v>
      </c>
      <c r="AJ132" s="2">
        <f>AH132-AI132</f>
        <v>675725778.4845507</v>
      </c>
      <c r="AK132" s="3">
        <v>0.25</v>
      </c>
    </row>
    <row r="133" spans="1:37">
      <c r="A133" s="2">
        <v>132</v>
      </c>
      <c r="B133" s="2">
        <v>2037</v>
      </c>
      <c r="C133" s="2">
        <v>291</v>
      </c>
      <c r="D133" s="2">
        <v>470357.2936066493</v>
      </c>
      <c r="E133" s="2">
        <v>136873972.439535</v>
      </c>
      <c r="F133" s="2">
        <f>E133/1.19</f>
        <v>115020144.90717225</v>
      </c>
      <c r="G133" s="2">
        <v>60</v>
      </c>
      <c r="H133" s="2">
        <v>6546259.598762039</v>
      </c>
      <c r="I133" s="2">
        <v>97</v>
      </c>
      <c r="J133" s="2">
        <v>10581388.99471327</v>
      </c>
      <c r="K133" s="2">
        <v>31744166.98413983</v>
      </c>
      <c r="L133" s="2">
        <v>11729709.97904277</v>
      </c>
      <c r="M133" s="2">
        <v>13425724.62964778</v>
      </c>
      <c r="N133" s="3">
        <v>2.5</v>
      </c>
      <c r="O133" s="3">
        <v>4.5</v>
      </c>
      <c r="P133" s="2">
        <v>349418.2586294718</v>
      </c>
      <c r="Q133" s="2">
        <v>1130838.437399112</v>
      </c>
      <c r="R133" s="2">
        <v>335979.0948360306</v>
      </c>
      <c r="S133" s="2">
        <v>376296.5862163542</v>
      </c>
      <c r="T133" s="2">
        <v>5741882.730747762</v>
      </c>
      <c r="U133" s="2">
        <f>M133+P133+Q133+R133+S133+T133</f>
        <v>21360139.73747651</v>
      </c>
      <c r="V133" s="2">
        <f>F133-K133-L133-U133</f>
        <v>50186128.20651314</v>
      </c>
      <c r="W133" s="2">
        <v>0</v>
      </c>
      <c r="X133" s="2">
        <v>0</v>
      </c>
      <c r="Y133" s="2">
        <f>W133+X133</f>
        <v>0</v>
      </c>
      <c r="Z133" s="2">
        <v>3.37604433298111E-09</v>
      </c>
      <c r="AA133" s="2">
        <v>0</v>
      </c>
      <c r="AB133" s="2">
        <v>40661938.06075837</v>
      </c>
      <c r="AC133" s="2">
        <v>40661938.06075837</v>
      </c>
      <c r="AD133" s="2">
        <v>615000.3708563584</v>
      </c>
      <c r="AE133" s="2">
        <v>1230000.741712717</v>
      </c>
      <c r="AF133" s="2">
        <f>F133-H133-L133-U133-AA133-AC133-AD133</f>
        <v>34107097.1602762</v>
      </c>
      <c r="AG133" s="2">
        <f>F133-H133-L133-U133-AA133-AB133-AD133-Y133</f>
        <v>34107097.1602762</v>
      </c>
      <c r="AH133" s="2">
        <f>AH132+AG133</f>
        <v>775141470.4572564</v>
      </c>
      <c r="AI133" s="2">
        <v>65308594.81242952</v>
      </c>
      <c r="AJ133" s="2">
        <f>AH133-AI133</f>
        <v>709832875.6448269</v>
      </c>
      <c r="AK133" s="3">
        <v>0.25</v>
      </c>
    </row>
    <row r="134" spans="1:37">
      <c r="A134" s="2">
        <v>133</v>
      </c>
      <c r="B134" s="2">
        <v>2038</v>
      </c>
      <c r="C134" s="2">
        <v>36</v>
      </c>
      <c r="D134" s="2">
        <v>484468.0124148488</v>
      </c>
      <c r="E134" s="2">
        <v>17440848.44693456</v>
      </c>
      <c r="F134" s="2">
        <f>E134/1.19</f>
        <v>14656175.165491227</v>
      </c>
      <c r="G134" s="2">
        <v>70</v>
      </c>
      <c r="H134" s="2">
        <v>7866421.951179051</v>
      </c>
      <c r="I134" s="2">
        <v>131</v>
      </c>
      <c r="J134" s="2">
        <v>14471037.32881374</v>
      </c>
      <c r="K134" s="2">
        <v>3976773.617078585</v>
      </c>
      <c r="L134" s="2">
        <v>1489178.827789495</v>
      </c>
      <c r="M134" s="2">
        <v>15136597.37637182</v>
      </c>
      <c r="N134" s="3">
        <v>3</v>
      </c>
      <c r="O134" s="3">
        <v>5</v>
      </c>
      <c r="P134" s="2">
        <v>387585.4838028449</v>
      </c>
      <c r="Q134" s="2">
        <v>1212588.870754615</v>
      </c>
      <c r="R134" s="2">
        <v>346058.4676811115</v>
      </c>
      <c r="S134" s="2">
        <v>387585.4838028449</v>
      </c>
      <c r="T134" s="2">
        <v>6208288.91019914</v>
      </c>
      <c r="U134" s="2">
        <f>M134+P134+Q134+R134+S134+T134</f>
        <v>23678704.59261237</v>
      </c>
      <c r="V134" s="2">
        <f>F134-K134-L134-U134</f>
        <v>-14488481.871989222</v>
      </c>
      <c r="W134" s="2">
        <v>0</v>
      </c>
      <c r="X134" s="2">
        <v>0</v>
      </c>
      <c r="Y134" s="2">
        <f>W134+X134</f>
        <v>0</v>
      </c>
      <c r="Z134" s="2">
        <v>3.37604433298111E-09</v>
      </c>
      <c r="AA134" s="2">
        <v>0</v>
      </c>
      <c r="AB134" s="2">
        <v>0</v>
      </c>
      <c r="AC134" s="2">
        <v>0</v>
      </c>
      <c r="AD134" s="2">
        <v>248050.149578731</v>
      </c>
      <c r="AE134" s="2">
        <v>1478050.891291448</v>
      </c>
      <c r="AF134" s="2">
        <f>F134-H134-L134-U134-AA134-AC134-AD134</f>
        <v>-18626180.35566842</v>
      </c>
      <c r="AG134" s="2">
        <f>F134-H134-L134-U134-AA134-AB134-AD134-Y134</f>
        <v>-18626180.35566842</v>
      </c>
      <c r="AH134" s="2">
        <f>AH133+AG134</f>
        <v>756515290.101588</v>
      </c>
      <c r="AI134" s="2">
        <v>72264289.37783711</v>
      </c>
      <c r="AJ134" s="2">
        <f>AH134-AI134</f>
        <v>684251000.723751</v>
      </c>
      <c r="AK134" s="3">
        <v>0.25</v>
      </c>
    </row>
    <row r="135" spans="1:37">
      <c r="A135" s="2">
        <v>134</v>
      </c>
      <c r="B135" s="2">
        <v>2038</v>
      </c>
      <c r="C135" s="2">
        <v>54</v>
      </c>
      <c r="D135" s="2">
        <v>484468.0124148488</v>
      </c>
      <c r="E135" s="2">
        <v>26161272.67040184</v>
      </c>
      <c r="F135" s="2">
        <f>E135/1.19</f>
        <v>21984262.74823684</v>
      </c>
      <c r="G135" s="2">
        <v>90</v>
      </c>
      <c r="H135" s="2">
        <v>10113971.08008735</v>
      </c>
      <c r="I135" s="2">
        <v>167</v>
      </c>
      <c r="J135" s="2">
        <v>18577811.78410173</v>
      </c>
      <c r="K135" s="2">
        <v>6007196.624799362</v>
      </c>
      <c r="L135" s="2">
        <v>2237131.137618762</v>
      </c>
      <c r="M135" s="2">
        <v>15136597.37637182</v>
      </c>
      <c r="N135" s="3">
        <v>3</v>
      </c>
      <c r="O135" s="3">
        <v>5</v>
      </c>
      <c r="P135" s="2">
        <v>387585.4838028449</v>
      </c>
      <c r="Q135" s="2">
        <v>1212588.870754615</v>
      </c>
      <c r="R135" s="2">
        <v>346058.4676811115</v>
      </c>
      <c r="S135" s="2">
        <v>387585.4838028449</v>
      </c>
      <c r="T135" s="2">
        <v>6208288.91019914</v>
      </c>
      <c r="U135" s="2">
        <f>M135+P135+Q135+R135+S135+T135</f>
        <v>23678704.59261237</v>
      </c>
      <c r="V135" s="2">
        <f>F135-K135-L135-U135</f>
        <v>-9938769.606793657</v>
      </c>
      <c r="W135" s="2">
        <v>0</v>
      </c>
      <c r="X135" s="2">
        <v>0</v>
      </c>
      <c r="Y135" s="2">
        <f>W135+X135</f>
        <v>0</v>
      </c>
      <c r="Z135" s="2">
        <v>3.37604433298111E-09</v>
      </c>
      <c r="AA135" s="2">
        <v>0</v>
      </c>
      <c r="AB135" s="2">
        <v>0</v>
      </c>
      <c r="AC135" s="2">
        <v>0</v>
      </c>
      <c r="AD135" s="2">
        <v>422300.2546546999</v>
      </c>
      <c r="AE135" s="2">
        <v>1900351.145946148</v>
      </c>
      <c r="AF135" s="2">
        <f>F135-H135-L135-U135-AA135-AC135-AD135</f>
        <v>-14467844.316736346</v>
      </c>
      <c r="AG135" s="2">
        <f>F135-H135-L135-U135-AA135-AB135-AD135-Y135</f>
        <v>-14467844.316736346</v>
      </c>
      <c r="AH135" s="2">
        <f>AH134+AG135</f>
        <v>742047445.7848517</v>
      </c>
      <c r="AI135" s="2">
        <v>72264289.37783711</v>
      </c>
      <c r="AJ135" s="2">
        <f>AH135-AI135</f>
        <v>669783156.4070146</v>
      </c>
      <c r="AK135" s="3">
        <v>0.25</v>
      </c>
    </row>
    <row r="136" spans="1:37">
      <c r="A136" s="2">
        <v>135</v>
      </c>
      <c r="B136" s="2">
        <v>2038</v>
      </c>
      <c r="C136" s="2">
        <v>72</v>
      </c>
      <c r="D136" s="2">
        <v>484468.0124148488</v>
      </c>
      <c r="E136" s="2">
        <v>34881696.89386912</v>
      </c>
      <c r="F136" s="2">
        <f>E136/1.19</f>
        <v>29312350.330982454</v>
      </c>
      <c r="G136" s="2">
        <v>110</v>
      </c>
      <c r="H136" s="2">
        <v>12361520.20899565</v>
      </c>
      <c r="I136" s="2">
        <v>205</v>
      </c>
      <c r="J136" s="2">
        <v>22897339.56167857</v>
      </c>
      <c r="K136" s="2">
        <v>8041992.431418814</v>
      </c>
      <c r="L136" s="2">
        <v>2985433.271359921</v>
      </c>
      <c r="M136" s="2">
        <v>15136597.37637182</v>
      </c>
      <c r="N136" s="3">
        <v>3</v>
      </c>
      <c r="O136" s="3">
        <v>5</v>
      </c>
      <c r="P136" s="2">
        <v>387585.4838028449</v>
      </c>
      <c r="Q136" s="2">
        <v>1212588.870754615</v>
      </c>
      <c r="R136" s="2">
        <v>346058.4676811115</v>
      </c>
      <c r="S136" s="2">
        <v>387585.4838028449</v>
      </c>
      <c r="T136" s="2">
        <v>6208288.91019914</v>
      </c>
      <c r="U136" s="2">
        <f>M136+P136+Q136+R136+S136+T136</f>
        <v>23678704.59261237</v>
      </c>
      <c r="V136" s="2">
        <f>F136-K136-L136-U136</f>
        <v>-5393779.964408651</v>
      </c>
      <c r="W136" s="2">
        <v>0</v>
      </c>
      <c r="X136" s="2">
        <v>0</v>
      </c>
      <c r="Y136" s="2">
        <f>W136+X136</f>
        <v>0</v>
      </c>
      <c r="Z136" s="2">
        <v>3.37604433298111E-09</v>
      </c>
      <c r="AA136" s="2">
        <v>0</v>
      </c>
      <c r="AB136" s="2">
        <v>0</v>
      </c>
      <c r="AC136" s="2">
        <v>0</v>
      </c>
      <c r="AD136" s="2">
        <v>422300.254654699</v>
      </c>
      <c r="AE136" s="2">
        <v>2322651.400600847</v>
      </c>
      <c r="AF136" s="2">
        <f>F136-H136-L136-U136-AA136-AC136-AD136</f>
        <v>-10135607.996640187</v>
      </c>
      <c r="AG136" s="2">
        <f>F136-H136-L136-U136-AA136-AB136-AD136-Y136</f>
        <v>-10135607.996640187</v>
      </c>
      <c r="AH136" s="2">
        <f>AH135+AG136</f>
        <v>731911837.7882115</v>
      </c>
      <c r="AI136" s="2">
        <v>72264289.37783711</v>
      </c>
      <c r="AJ136" s="2">
        <f>AH136-AI136</f>
        <v>659647548.4103744</v>
      </c>
      <c r="AK136" s="3">
        <v>0.25</v>
      </c>
    </row>
    <row r="137" spans="1:37">
      <c r="A137" s="2">
        <v>136</v>
      </c>
      <c r="B137" s="2">
        <v>2038</v>
      </c>
      <c r="C137" s="2">
        <v>90</v>
      </c>
      <c r="D137" s="2">
        <v>484468.0124148488</v>
      </c>
      <c r="E137" s="2">
        <v>43602121.11733639</v>
      </c>
      <c r="F137" s="2">
        <f>E137/1.19</f>
        <v>36640437.913728066</v>
      </c>
      <c r="G137" s="2">
        <v>120</v>
      </c>
      <c r="H137" s="2">
        <v>13485294.7734498</v>
      </c>
      <c r="I137" s="2">
        <v>235</v>
      </c>
      <c r="J137" s="2">
        <v>26307443.28847744</v>
      </c>
      <c r="K137" s="2">
        <v>10075191.04665093</v>
      </c>
      <c r="L137" s="2">
        <v>3733607.629790095</v>
      </c>
      <c r="M137" s="2">
        <v>15136597.37637182</v>
      </c>
      <c r="N137" s="3">
        <v>3</v>
      </c>
      <c r="O137" s="3">
        <v>5</v>
      </c>
      <c r="P137" s="2">
        <v>387585.4838028449</v>
      </c>
      <c r="Q137" s="2">
        <v>1212588.870754615</v>
      </c>
      <c r="R137" s="2">
        <v>346058.4676811115</v>
      </c>
      <c r="S137" s="2">
        <v>387585.4838028449</v>
      </c>
      <c r="T137" s="2">
        <v>6208288.91019914</v>
      </c>
      <c r="U137" s="2">
        <f>M137+P137+Q137+R137+S137+T137</f>
        <v>23678704.59261237</v>
      </c>
      <c r="V137" s="2">
        <f>F137-K137-L137-U137</f>
        <v>-847065.35532533</v>
      </c>
      <c r="W137" s="2">
        <v>0</v>
      </c>
      <c r="X137" s="2">
        <v>0</v>
      </c>
      <c r="Y137" s="2">
        <f>W137+X137</f>
        <v>0</v>
      </c>
      <c r="Z137" s="2">
        <v>3.37604433298111E-09</v>
      </c>
      <c r="AA137" s="2">
        <v>0</v>
      </c>
      <c r="AB137" s="2">
        <v>0</v>
      </c>
      <c r="AC137" s="2">
        <v>0</v>
      </c>
      <c r="AD137" s="2">
        <v>211150.12732735</v>
      </c>
      <c r="AE137" s="2">
        <v>2533801.527928197</v>
      </c>
      <c r="AF137" s="2">
        <f>F137-H137-L137-U137-AA137-AC137-AD137</f>
        <v>-4468319.20945155</v>
      </c>
      <c r="AG137" s="2">
        <f>F137-H137-L137-U137-AA137-AB137-AD137-Y137</f>
        <v>-4468319.20945155</v>
      </c>
      <c r="AH137" s="2">
        <f>AH136+AG137</f>
        <v>727443518.5787599</v>
      </c>
      <c r="AI137" s="2">
        <v>72264289.37783711</v>
      </c>
      <c r="AJ137" s="2">
        <f>AH137-AI137</f>
        <v>655179229.2009228</v>
      </c>
      <c r="AK137" s="3">
        <v>0.25</v>
      </c>
    </row>
    <row r="138" spans="1:37">
      <c r="A138" s="2">
        <v>137</v>
      </c>
      <c r="B138" s="2">
        <v>2038</v>
      </c>
      <c r="C138" s="2">
        <v>108</v>
      </c>
      <c r="D138" s="2">
        <v>484468.0124148488</v>
      </c>
      <c r="E138" s="2">
        <v>52322545.34080368</v>
      </c>
      <c r="F138" s="2">
        <f>E138/1.19</f>
        <v>43968525.49647368</v>
      </c>
      <c r="G138" s="2">
        <v>150</v>
      </c>
      <c r="H138" s="2">
        <v>16856618.46681225</v>
      </c>
      <c r="I138" s="2">
        <v>277</v>
      </c>
      <c r="J138" s="2">
        <v>31055701.57458505</v>
      </c>
      <c r="K138" s="2">
        <v>12108360.18070464</v>
      </c>
      <c r="L138" s="2">
        <v>4481779.629725996</v>
      </c>
      <c r="M138" s="2">
        <v>15136597.37637182</v>
      </c>
      <c r="N138" s="3">
        <v>3</v>
      </c>
      <c r="O138" s="3">
        <v>5</v>
      </c>
      <c r="P138" s="2">
        <v>387585.4838028449</v>
      </c>
      <c r="Q138" s="2">
        <v>1212588.870754615</v>
      </c>
      <c r="R138" s="2">
        <v>346058.4676811115</v>
      </c>
      <c r="S138" s="2">
        <v>387585.4838028449</v>
      </c>
      <c r="T138" s="2">
        <v>6208288.91019914</v>
      </c>
      <c r="U138" s="2">
        <f>M138+P138+Q138+R138+S138+T138</f>
        <v>23678704.59261237</v>
      </c>
      <c r="V138" s="2">
        <f>F138-K138-L138-U138</f>
        <v>3699681.093430672</v>
      </c>
      <c r="W138" s="2">
        <v>0</v>
      </c>
      <c r="X138" s="2">
        <v>0</v>
      </c>
      <c r="Y138" s="2">
        <f>W138+X138</f>
        <v>0</v>
      </c>
      <c r="Z138" s="2">
        <v>3.37604433298111E-09</v>
      </c>
      <c r="AA138" s="2">
        <v>0</v>
      </c>
      <c r="AB138" s="2">
        <v>0</v>
      </c>
      <c r="AC138" s="2">
        <v>0</v>
      </c>
      <c r="AD138" s="2">
        <v>633450.381982049</v>
      </c>
      <c r="AE138" s="2">
        <v>3167251.909910246</v>
      </c>
      <c r="AF138" s="2">
        <f>F138-H138-L138-U138-AA138-AC138-AD138</f>
        <v>-1682027.5746589918</v>
      </c>
      <c r="AG138" s="2">
        <f>F138-H138-L138-U138-AA138-AB138-AD138-Y138</f>
        <v>-1682027.5746589918</v>
      </c>
      <c r="AH138" s="2">
        <f>AH137+AG138</f>
        <v>725761491.0041009</v>
      </c>
      <c r="AI138" s="2">
        <v>72264289.37783711</v>
      </c>
      <c r="AJ138" s="2">
        <f>AH138-AI138</f>
        <v>653497201.6262639</v>
      </c>
      <c r="AK138" s="3">
        <v>0.25</v>
      </c>
    </row>
    <row r="139" spans="1:37">
      <c r="A139" s="2">
        <v>138</v>
      </c>
      <c r="B139" s="2">
        <v>2038</v>
      </c>
      <c r="C139" s="2">
        <v>126</v>
      </c>
      <c r="D139" s="2">
        <v>484468.0124148488</v>
      </c>
      <c r="E139" s="2">
        <v>61042969.56427095</v>
      </c>
      <c r="F139" s="2">
        <f>E139/1.19</f>
        <v>51296613.07921929</v>
      </c>
      <c r="G139" s="2">
        <v>180</v>
      </c>
      <c r="H139" s="2">
        <v>20227942.16017471</v>
      </c>
      <c r="I139" s="2">
        <v>331</v>
      </c>
      <c r="J139" s="2">
        <v>37144170.84508858</v>
      </c>
      <c r="K139" s="2">
        <v>14139472.88967118</v>
      </c>
      <c r="L139" s="2">
        <v>5229787.115654923</v>
      </c>
      <c r="M139" s="2">
        <v>15136597.37637182</v>
      </c>
      <c r="N139" s="3">
        <v>3</v>
      </c>
      <c r="O139" s="3">
        <v>5</v>
      </c>
      <c r="P139" s="2">
        <v>387585.4838028449</v>
      </c>
      <c r="Q139" s="2">
        <v>1212588.870754615</v>
      </c>
      <c r="R139" s="2">
        <v>346058.4676811115</v>
      </c>
      <c r="S139" s="2">
        <v>387585.4838028449</v>
      </c>
      <c r="T139" s="2">
        <v>6208288.91019914</v>
      </c>
      <c r="U139" s="2">
        <f>M139+P139+Q139+R139+S139+T139</f>
        <v>23678704.59261237</v>
      </c>
      <c r="V139" s="2">
        <f>F139-K139-L139-U139</f>
        <v>8248648.481280819</v>
      </c>
      <c r="W139" s="2">
        <v>0</v>
      </c>
      <c r="X139" s="2">
        <v>0</v>
      </c>
      <c r="Y139" s="2">
        <f>W139+X139</f>
        <v>0</v>
      </c>
      <c r="Z139" s="2">
        <v>3.37604433298111E-09</v>
      </c>
      <c r="AA139" s="2">
        <v>0</v>
      </c>
      <c r="AB139" s="2">
        <v>0</v>
      </c>
      <c r="AC139" s="2">
        <v>0</v>
      </c>
      <c r="AD139" s="2">
        <v>633450.3819820499</v>
      </c>
      <c r="AE139" s="2">
        <v>3800702.291892296</v>
      </c>
      <c r="AF139" s="2">
        <f>F139-H139-L139-U139-AA139-AC139-AD139</f>
        <v>1526728.8287952403</v>
      </c>
      <c r="AG139" s="2">
        <f>F139-H139-L139-U139-AA139-AB139-AD139-Y139</f>
        <v>1526728.8287952403</v>
      </c>
      <c r="AH139" s="2">
        <f>AH138+AG139</f>
        <v>727288219.8328961</v>
      </c>
      <c r="AI139" s="2">
        <v>72264289.37783711</v>
      </c>
      <c r="AJ139" s="2">
        <f>AH139-AI139</f>
        <v>655023930.455059</v>
      </c>
      <c r="AK139" s="3">
        <v>0.25</v>
      </c>
    </row>
    <row r="140" spans="1:37">
      <c r="A140" s="2">
        <v>139</v>
      </c>
      <c r="B140" s="2">
        <v>2038</v>
      </c>
      <c r="C140" s="2">
        <v>143</v>
      </c>
      <c r="D140" s="2">
        <v>484468.0124148488</v>
      </c>
      <c r="E140" s="2">
        <v>69278925.77532338</v>
      </c>
      <c r="F140" s="2">
        <f>E140/1.19</f>
        <v>58217584.6851457</v>
      </c>
      <c r="G140" s="2">
        <v>190</v>
      </c>
      <c r="H140" s="2">
        <v>21351716.72462885</v>
      </c>
      <c r="I140" s="2">
        <v>378</v>
      </c>
      <c r="J140" s="2">
        <v>42440394.43637848</v>
      </c>
      <c r="K140" s="2">
        <v>16055493.13333895</v>
      </c>
      <c r="L140" s="2">
        <v>5936058.40051486</v>
      </c>
      <c r="M140" s="2">
        <v>15136597.37637182</v>
      </c>
      <c r="N140" s="3">
        <v>3</v>
      </c>
      <c r="O140" s="3">
        <v>5</v>
      </c>
      <c r="P140" s="2">
        <v>387585.4838028449</v>
      </c>
      <c r="Q140" s="2">
        <v>1212588.870754615</v>
      </c>
      <c r="R140" s="2">
        <v>346058.4676811115</v>
      </c>
      <c r="S140" s="2">
        <v>387585.4838028449</v>
      </c>
      <c r="T140" s="2">
        <v>6208288.91019914</v>
      </c>
      <c r="U140" s="2">
        <f>M140+P140+Q140+R140+S140+T140</f>
        <v>23678704.59261237</v>
      </c>
      <c r="V140" s="2">
        <f>F140-K140-L140-U140</f>
        <v>12547328.558679521</v>
      </c>
      <c r="W140" s="2">
        <v>0</v>
      </c>
      <c r="X140" s="2">
        <v>0</v>
      </c>
      <c r="Y140" s="2">
        <f>W140+X140</f>
        <v>0</v>
      </c>
      <c r="Z140" s="2">
        <v>3.37604433298111E-09</v>
      </c>
      <c r="AA140" s="2">
        <v>0</v>
      </c>
      <c r="AB140" s="2">
        <v>0</v>
      </c>
      <c r="AC140" s="2">
        <v>0</v>
      </c>
      <c r="AD140" s="2">
        <v>211150.1273273495</v>
      </c>
      <c r="AE140" s="2">
        <v>4011852.419219645</v>
      </c>
      <c r="AF140" s="2">
        <f>F140-H140-L140-U140-AA140-AC140-AD140</f>
        <v>7039954.840062261</v>
      </c>
      <c r="AG140" s="2">
        <f>F140-H140-L140-U140-AA140-AB140-AD140-Y140</f>
        <v>7039954.840062261</v>
      </c>
      <c r="AH140" s="2">
        <f>AH139+AG140</f>
        <v>734328174.6729584</v>
      </c>
      <c r="AI140" s="2">
        <v>72264289.37783711</v>
      </c>
      <c r="AJ140" s="2">
        <f>AH140-AI140</f>
        <v>662063885.2951213</v>
      </c>
      <c r="AK140" s="3">
        <v>0.25</v>
      </c>
    </row>
    <row r="141" spans="1:37">
      <c r="A141" s="2">
        <v>140</v>
      </c>
      <c r="B141" s="2">
        <v>2038</v>
      </c>
      <c r="C141" s="2">
        <v>179</v>
      </c>
      <c r="D141" s="2">
        <v>484468.0124148488</v>
      </c>
      <c r="E141" s="2">
        <v>86719774.22225794</v>
      </c>
      <c r="F141" s="2">
        <f>E141/1.19</f>
        <v>72873759.85063693</v>
      </c>
      <c r="G141" s="2">
        <v>240</v>
      </c>
      <c r="H141" s="2">
        <v>26970589.5468996</v>
      </c>
      <c r="I141" s="2">
        <v>439</v>
      </c>
      <c r="J141" s="2">
        <v>49306508.03990142</v>
      </c>
      <c r="K141" s="2">
        <v>20104475.94337666</v>
      </c>
      <c r="L141" s="2">
        <v>7431013.963741085</v>
      </c>
      <c r="M141" s="2">
        <v>15136597.37637182</v>
      </c>
      <c r="N141" s="3">
        <v>3</v>
      </c>
      <c r="O141" s="3">
        <v>5</v>
      </c>
      <c r="P141" s="2">
        <v>387585.4838028449</v>
      </c>
      <c r="Q141" s="2">
        <v>1212588.870754615</v>
      </c>
      <c r="R141" s="2">
        <v>346058.4676811115</v>
      </c>
      <c r="S141" s="2">
        <v>387585.4838028449</v>
      </c>
      <c r="T141" s="2">
        <v>6208288.91019914</v>
      </c>
      <c r="U141" s="2">
        <f>M141+P141+Q141+R141+S141+T141</f>
        <v>23678704.59261237</v>
      </c>
      <c r="V141" s="2">
        <f>F141-K141-L141-U141</f>
        <v>21659565.35090681</v>
      </c>
      <c r="W141" s="2">
        <v>0</v>
      </c>
      <c r="X141" s="2">
        <v>0</v>
      </c>
      <c r="Y141" s="2">
        <f>W141+X141</f>
        <v>0</v>
      </c>
      <c r="Z141" s="2">
        <v>3.37604433298111E-09</v>
      </c>
      <c r="AA141" s="2">
        <v>0</v>
      </c>
      <c r="AB141" s="2">
        <v>0</v>
      </c>
      <c r="AC141" s="2">
        <v>0</v>
      </c>
      <c r="AD141" s="2">
        <v>1055750.636636748</v>
      </c>
      <c r="AE141" s="2">
        <v>5067603.055856394</v>
      </c>
      <c r="AF141" s="2">
        <f>F141-H141-L141-U141-AA141-AC141-AD141</f>
        <v>13737701.110747121</v>
      </c>
      <c r="AG141" s="2">
        <f>F141-H141-L141-U141-AA141-AB141-AD141-Y141</f>
        <v>13737701.110747121</v>
      </c>
      <c r="AH141" s="2">
        <f>AH140+AG141</f>
        <v>748065875.7837055</v>
      </c>
      <c r="AI141" s="2">
        <v>72264289.37783711</v>
      </c>
      <c r="AJ141" s="2">
        <f>AH141-AI141</f>
        <v>675801586.4058684</v>
      </c>
      <c r="AK141" s="3">
        <v>0.25</v>
      </c>
    </row>
    <row r="142" spans="1:37">
      <c r="A142" s="2">
        <v>141</v>
      </c>
      <c r="B142" s="2">
        <v>2038</v>
      </c>
      <c r="C142" s="2">
        <v>197</v>
      </c>
      <c r="D142" s="2">
        <v>484468.0124148488</v>
      </c>
      <c r="E142" s="2">
        <v>95440198.44572522</v>
      </c>
      <c r="F142" s="2">
        <f>E142/1.19</f>
        <v>80201847.43338254</v>
      </c>
      <c r="G142" s="2">
        <v>250</v>
      </c>
      <c r="H142" s="2">
        <v>28094364.11135375</v>
      </c>
      <c r="I142" s="2">
        <v>492</v>
      </c>
      <c r="J142" s="2">
        <v>55270288.9672243</v>
      </c>
      <c r="K142" s="2">
        <v>22130583.18403087</v>
      </c>
      <c r="L142" s="2">
        <v>8178621.012205026</v>
      </c>
      <c r="M142" s="2">
        <v>15136597.37637182</v>
      </c>
      <c r="N142" s="3">
        <v>3</v>
      </c>
      <c r="O142" s="3">
        <v>5</v>
      </c>
      <c r="P142" s="2">
        <v>387585.4838028449</v>
      </c>
      <c r="Q142" s="2">
        <v>1212588.870754615</v>
      </c>
      <c r="R142" s="2">
        <v>346058.4676811115</v>
      </c>
      <c r="S142" s="2">
        <v>387585.4838028449</v>
      </c>
      <c r="T142" s="2">
        <v>6208288.91019914</v>
      </c>
      <c r="U142" s="2">
        <f>M142+P142+Q142+R142+S142+T142</f>
        <v>23678704.59261237</v>
      </c>
      <c r="V142" s="2">
        <f>F142-K142-L142-U142</f>
        <v>26213938.644534267</v>
      </c>
      <c r="W142" s="2">
        <v>0</v>
      </c>
      <c r="X142" s="2">
        <v>0</v>
      </c>
      <c r="Y142" s="2">
        <f>W142+X142</f>
        <v>0</v>
      </c>
      <c r="Z142" s="2">
        <v>3.37604433298111E-09</v>
      </c>
      <c r="AA142" s="2">
        <v>0</v>
      </c>
      <c r="AB142" s="2">
        <v>0</v>
      </c>
      <c r="AC142" s="2">
        <v>0</v>
      </c>
      <c r="AD142" s="2">
        <v>211150.127327349</v>
      </c>
      <c r="AE142" s="2">
        <v>5278753.183183743</v>
      </c>
      <c r="AF142" s="2">
        <f>F142-H142-L142-U142-AA142-AC142-AD142</f>
        <v>20039007.58988404</v>
      </c>
      <c r="AG142" s="2">
        <f>F142-H142-L142-U142-AA142-AB142-AD142-Y142</f>
        <v>20039007.58988404</v>
      </c>
      <c r="AH142" s="2">
        <f>AH141+AG142</f>
        <v>768104883.3735895</v>
      </c>
      <c r="AI142" s="2">
        <v>72264289.37783711</v>
      </c>
      <c r="AJ142" s="2">
        <f>AH142-AI142</f>
        <v>695840593.9957525</v>
      </c>
      <c r="AK142" s="3">
        <v>0.25</v>
      </c>
    </row>
    <row r="143" spans="1:37">
      <c r="A143" s="2">
        <v>142</v>
      </c>
      <c r="B143" s="2">
        <v>2038</v>
      </c>
      <c r="C143" s="2">
        <v>233</v>
      </c>
      <c r="D143" s="2">
        <v>484468.0124148488</v>
      </c>
      <c r="E143" s="2">
        <v>112881046.8926598</v>
      </c>
      <c r="F143" s="2">
        <f>E143/1.19</f>
        <v>94858022.59887378</v>
      </c>
      <c r="G143" s="2">
        <v>300</v>
      </c>
      <c r="H143" s="2">
        <v>33713236.93362451</v>
      </c>
      <c r="I143" s="2">
        <v>559</v>
      </c>
      <c r="J143" s="2">
        <v>62805291.63961424</v>
      </c>
      <c r="K143" s="2">
        <v>26178234.26123456</v>
      </c>
      <c r="L143" s="2">
        <v>9673470.036804531</v>
      </c>
      <c r="M143" s="2">
        <v>15136597.37637182</v>
      </c>
      <c r="N143" s="3">
        <v>3</v>
      </c>
      <c r="O143" s="3">
        <v>5</v>
      </c>
      <c r="P143" s="2">
        <v>387585.4838028449</v>
      </c>
      <c r="Q143" s="2">
        <v>1212588.870754615</v>
      </c>
      <c r="R143" s="2">
        <v>346058.4676811115</v>
      </c>
      <c r="S143" s="2">
        <v>387585.4838028449</v>
      </c>
      <c r="T143" s="2">
        <v>6208288.91019914</v>
      </c>
      <c r="U143" s="2">
        <f>M143+P143+Q143+R143+S143+T143</f>
        <v>23678704.59261237</v>
      </c>
      <c r="V143" s="2">
        <f>F143-K143-L143-U143</f>
        <v>35327613.708222315</v>
      </c>
      <c r="W143" s="2">
        <v>0</v>
      </c>
      <c r="X143" s="2">
        <v>0</v>
      </c>
      <c r="Y143" s="2">
        <f>W143+X143</f>
        <v>0</v>
      </c>
      <c r="Z143" s="2">
        <v>3.37604433298111E-09</v>
      </c>
      <c r="AA143" s="2">
        <v>0</v>
      </c>
      <c r="AB143" s="2">
        <v>0</v>
      </c>
      <c r="AC143" s="2">
        <v>0</v>
      </c>
      <c r="AD143" s="2">
        <v>1055750.636636749</v>
      </c>
      <c r="AE143" s="2">
        <v>6334503.819820492</v>
      </c>
      <c r="AF143" s="2">
        <f>F143-H143-L143-U143-AA143-AC143-AD143</f>
        <v>26736860.399195626</v>
      </c>
      <c r="AG143" s="2">
        <f>F143-H143-L143-U143-AA143-AB143-AD143-Y143</f>
        <v>26736860.399195626</v>
      </c>
      <c r="AH143" s="2">
        <f>AH142+AG143</f>
        <v>794841743.7727852</v>
      </c>
      <c r="AI143" s="2">
        <v>72264289.37783711</v>
      </c>
      <c r="AJ143" s="2">
        <f>AH143-AI143</f>
        <v>722577454.3949481</v>
      </c>
      <c r="AK143" s="3">
        <v>0.25</v>
      </c>
    </row>
    <row r="144" spans="1:37">
      <c r="A144" s="2">
        <v>143</v>
      </c>
      <c r="B144" s="2">
        <v>2038</v>
      </c>
      <c r="C144" s="2">
        <v>251</v>
      </c>
      <c r="D144" s="2">
        <v>484468.0124148488</v>
      </c>
      <c r="E144" s="2">
        <v>121601471.1161271</v>
      </c>
      <c r="F144" s="2">
        <f>E144/1.19</f>
        <v>102186110.18161938</v>
      </c>
      <c r="G144" s="2">
        <v>40</v>
      </c>
      <c r="H144" s="2">
        <v>4495098.257816601</v>
      </c>
      <c r="I144" s="2">
        <v>348</v>
      </c>
      <c r="J144" s="2">
        <v>39099391.79349905</v>
      </c>
      <c r="K144" s="2">
        <v>28200998.10393178</v>
      </c>
      <c r="L144" s="2">
        <v>10420809.61343191</v>
      </c>
      <c r="M144" s="2">
        <v>15136597.37637182</v>
      </c>
      <c r="N144" s="3">
        <v>3</v>
      </c>
      <c r="O144" s="3">
        <v>5</v>
      </c>
      <c r="P144" s="2">
        <v>387585.4838028449</v>
      </c>
      <c r="Q144" s="2">
        <v>1212588.870754615</v>
      </c>
      <c r="R144" s="2">
        <v>346058.4676811115</v>
      </c>
      <c r="S144" s="2">
        <v>387585.4838028449</v>
      </c>
      <c r="T144" s="2">
        <v>6208288.91019914</v>
      </c>
      <c r="U144" s="2">
        <f>M144+P144+Q144+R144+S144+T144</f>
        <v>23678704.59261237</v>
      </c>
      <c r="V144" s="2">
        <f>F144-K144-L144-U144</f>
        <v>39885597.871643305</v>
      </c>
      <c r="W144" s="2">
        <v>0</v>
      </c>
      <c r="X144" s="2">
        <v>0</v>
      </c>
      <c r="Y144" s="2">
        <f>W144+X144</f>
        <v>0</v>
      </c>
      <c r="Z144" s="2">
        <v>3.37604433298111E-09</v>
      </c>
      <c r="AA144" s="2">
        <v>0</v>
      </c>
      <c r="AB144" s="2">
        <v>0</v>
      </c>
      <c r="AC144" s="2">
        <v>0</v>
      </c>
      <c r="AD144" s="2">
        <v>-5489903.310511093</v>
      </c>
      <c r="AE144" s="2">
        <v>844600.5093093989</v>
      </c>
      <c r="AF144" s="2">
        <f>F144-H144-L144-U144-AA144-AC144-AD144</f>
        <v>69081401.02826959</v>
      </c>
      <c r="AG144" s="2">
        <f>F144-H144-L144-U144-AA144-AB144-AD144-Y144</f>
        <v>69081401.02826959</v>
      </c>
      <c r="AH144" s="2">
        <f>AH143+AG144</f>
        <v>863923144.8010547</v>
      </c>
      <c r="AI144" s="2">
        <v>72264289.37783711</v>
      </c>
      <c r="AJ144" s="2">
        <f>AH144-AI144</f>
        <v>791658855.4232177</v>
      </c>
      <c r="AK144" s="3">
        <v>0.25</v>
      </c>
    </row>
    <row r="145" spans="1:37">
      <c r="A145" s="2">
        <v>144</v>
      </c>
      <c r="B145" s="2">
        <v>2038</v>
      </c>
      <c r="C145" s="2">
        <v>305</v>
      </c>
      <c r="D145" s="2">
        <v>484468.0124148488</v>
      </c>
      <c r="E145" s="2">
        <v>147762743.7865289</v>
      </c>
      <c r="F145" s="2">
        <f>E145/1.19</f>
        <v>124170372.92985621</v>
      </c>
      <c r="G145" s="2">
        <v>60</v>
      </c>
      <c r="H145" s="2">
        <v>6742647.3867249</v>
      </c>
      <c r="I145" s="2">
        <v>103</v>
      </c>
      <c r="J145" s="2">
        <v>11572867.73422321</v>
      </c>
      <c r="K145" s="2">
        <v>34269171.44600075</v>
      </c>
      <c r="L145" s="2">
        <v>12662818.88843224</v>
      </c>
      <c r="M145" s="2">
        <v>15136597.37637182</v>
      </c>
      <c r="N145" s="3">
        <v>3</v>
      </c>
      <c r="O145" s="3">
        <v>5</v>
      </c>
      <c r="P145" s="2">
        <v>387585.4838028449</v>
      </c>
      <c r="Q145" s="2">
        <v>1212588.870754615</v>
      </c>
      <c r="R145" s="2">
        <v>346058.4676811115</v>
      </c>
      <c r="S145" s="2">
        <v>387585.4838028449</v>
      </c>
      <c r="T145" s="2">
        <v>6208288.91019914</v>
      </c>
      <c r="U145" s="2">
        <f>M145+P145+Q145+R145+S145+T145</f>
        <v>23678704.59261237</v>
      </c>
      <c r="V145" s="2">
        <f>F145-K145-L145-U145</f>
        <v>53559678.00281085</v>
      </c>
      <c r="W145" s="2">
        <v>0</v>
      </c>
      <c r="X145" s="2">
        <v>0</v>
      </c>
      <c r="Y145" s="2">
        <f>W145+X145</f>
        <v>0</v>
      </c>
      <c r="Z145" s="2">
        <v>3.37604433298111E-09</v>
      </c>
      <c r="AA145" s="2">
        <v>0</v>
      </c>
      <c r="AB145" s="2">
        <v>42370619.04337044</v>
      </c>
      <c r="AC145" s="2">
        <v>42370619.04337044</v>
      </c>
      <c r="AD145" s="2">
        <v>422300.2546546995</v>
      </c>
      <c r="AE145" s="2">
        <v>1266900.763964098</v>
      </c>
      <c r="AF145" s="2">
        <f>F145-H145-L145-U145-AA145-AC145-AD145</f>
        <v>38293282.76406156</v>
      </c>
      <c r="AG145" s="2">
        <f>F145-H145-L145-U145-AA145-AB145-AD145-Y145</f>
        <v>38293282.76406156</v>
      </c>
      <c r="AH145" s="2">
        <f>AH144+AG145</f>
        <v>902216427.5651163</v>
      </c>
      <c r="AI145" s="2">
        <v>72264289.37783711</v>
      </c>
      <c r="AJ145" s="2">
        <f>AH145-AI145</f>
        <v>829952138.1872792</v>
      </c>
      <c r="AK145" s="3">
        <v>0.25</v>
      </c>
    </row>
    <row r="146" spans="1:37">
      <c r="A146" s="2">
        <v>145</v>
      </c>
      <c r="B146" s="2">
        <v>2039</v>
      </c>
      <c r="C146" s="2">
        <v>38</v>
      </c>
      <c r="D146" s="2">
        <v>499002.0527872943</v>
      </c>
      <c r="E146" s="2">
        <v>18962078.00591718</v>
      </c>
      <c r="F146" s="2">
        <f>E146/1.19</f>
        <v>15934519.332703516</v>
      </c>
      <c r="G146" s="2">
        <v>70</v>
      </c>
      <c r="H146" s="2">
        <v>8102414.609714422</v>
      </c>
      <c r="I146" s="2">
        <v>135</v>
      </c>
      <c r="J146" s="2">
        <v>15353544.02561607</v>
      </c>
      <c r="K146" s="2">
        <v>4321738.31832156</v>
      </c>
      <c r="L146" s="2">
        <v>1618916.447962513</v>
      </c>
      <c r="M146" s="2">
        <v>15590695.29766297</v>
      </c>
      <c r="N146" s="3">
        <v>3</v>
      </c>
      <c r="O146" s="3">
        <v>5</v>
      </c>
      <c r="P146" s="2">
        <v>399213.0483169302</v>
      </c>
      <c r="Q146" s="2">
        <v>1300721.657069769</v>
      </c>
      <c r="R146" s="2">
        <v>356440.2217115448</v>
      </c>
      <c r="S146" s="2">
        <v>399213.0483169302</v>
      </c>
      <c r="T146" s="2">
        <v>6715333.777045504</v>
      </c>
      <c r="U146" s="2">
        <f>M146+P146+Q146+R146+S146+T146</f>
        <v>24761617.05012365</v>
      </c>
      <c r="V146" s="2">
        <f>F146-K146-L146-U146</f>
        <v>-14767752.483704207</v>
      </c>
      <c r="W146" s="2">
        <v>0</v>
      </c>
      <c r="X146" s="2">
        <v>0</v>
      </c>
      <c r="Y146" s="2">
        <f>W146+X146</f>
        <v>0</v>
      </c>
      <c r="Z146" s="2">
        <v>3.37604433298111E-09</v>
      </c>
      <c r="AA146" s="2">
        <v>2138641.330269269</v>
      </c>
      <c r="AB146" s="2">
        <v>0</v>
      </c>
      <c r="AC146" s="2">
        <v>0</v>
      </c>
      <c r="AD146" s="2">
        <v>255491.654066093</v>
      </c>
      <c r="AE146" s="2">
        <v>1522392.418030191</v>
      </c>
      <c r="AF146" s="2">
        <f>F146-H146-L146-U146-AA146-AC146-AD146</f>
        <v>-20942561.759432435</v>
      </c>
      <c r="AG146" s="2">
        <f>F146-H146-L146-U146-AA146-AB146-AD146-Y146</f>
        <v>-20942561.759432435</v>
      </c>
      <c r="AH146" s="2">
        <f>AH145+AG146</f>
        <v>881273865.8056839</v>
      </c>
      <c r="AI146" s="2">
        <v>75513026.75037095</v>
      </c>
      <c r="AJ146" s="2">
        <f>AH146-AI146</f>
        <v>805760839.0553129</v>
      </c>
      <c r="AK146" s="3">
        <v>0.25</v>
      </c>
    </row>
    <row r="147" spans="1:37">
      <c r="A147" s="2">
        <v>146</v>
      </c>
      <c r="B147" s="2">
        <v>2039</v>
      </c>
      <c r="C147" s="2">
        <v>57</v>
      </c>
      <c r="D147" s="2">
        <v>499002.0527872943</v>
      </c>
      <c r="E147" s="2">
        <v>28443117.00887578</v>
      </c>
      <c r="F147" s="2">
        <f>E147/1.19</f>
        <v>23901778.999055274</v>
      </c>
      <c r="G147" s="2">
        <v>100</v>
      </c>
      <c r="H147" s="2">
        <v>11574878.01387775</v>
      </c>
      <c r="I147" s="2">
        <v>178</v>
      </c>
      <c r="J147" s="2">
        <v>20396847.33204212</v>
      </c>
      <c r="K147" s="2">
        <v>6531574.707451691</v>
      </c>
      <c r="L147" s="2">
        <v>2432292.050341317</v>
      </c>
      <c r="M147" s="2">
        <v>15590695.29766297</v>
      </c>
      <c r="N147" s="3">
        <v>3</v>
      </c>
      <c r="O147" s="3">
        <v>5</v>
      </c>
      <c r="P147" s="2">
        <v>399213.0483169302</v>
      </c>
      <c r="Q147" s="2">
        <v>1300721.657069769</v>
      </c>
      <c r="R147" s="2">
        <v>356440.2217115448</v>
      </c>
      <c r="S147" s="2">
        <v>399213.0483169302</v>
      </c>
      <c r="T147" s="2">
        <v>6715333.777045504</v>
      </c>
      <c r="U147" s="2">
        <f>M147+P147+Q147+R147+S147+T147</f>
        <v>24761617.05012365</v>
      </c>
      <c r="V147" s="2">
        <f>F147-K147-L147-U147</f>
        <v>-9823704.808861384</v>
      </c>
      <c r="W147" s="2">
        <v>0</v>
      </c>
      <c r="X147" s="2">
        <v>0</v>
      </c>
      <c r="Y147" s="2">
        <f>W147+X147</f>
        <v>0</v>
      </c>
      <c r="Z147" s="2">
        <v>3.37604433298111E-09</v>
      </c>
      <c r="AA147" s="2">
        <v>0</v>
      </c>
      <c r="AB147" s="2">
        <v>0</v>
      </c>
      <c r="AC147" s="2">
        <v>0</v>
      </c>
      <c r="AD147" s="2">
        <v>652453.8934415106</v>
      </c>
      <c r="AE147" s="2">
        <v>2174846.311471702</v>
      </c>
      <c r="AF147" s="2">
        <f>F147-H147-L147-U147-AA147-AC147-AD147</f>
        <v>-15519462.008728953</v>
      </c>
      <c r="AG147" s="2">
        <f>F147-H147-L147-U147-AA147-AB147-AD147-Y147</f>
        <v>-15519462.008728953</v>
      </c>
      <c r="AH147" s="2">
        <f>AH146+AG147</f>
        <v>865754403.7969549</v>
      </c>
      <c r="AI147" s="2">
        <v>75513026.75037095</v>
      </c>
      <c r="AJ147" s="2">
        <f>AH147-AI147</f>
        <v>790241377.0465839</v>
      </c>
      <c r="AK147" s="3">
        <v>0.25</v>
      </c>
    </row>
    <row r="148" spans="1:37">
      <c r="A148" s="2">
        <v>147</v>
      </c>
      <c r="B148" s="2">
        <v>2039</v>
      </c>
      <c r="C148" s="2">
        <v>75</v>
      </c>
      <c r="D148" s="2">
        <v>499002.0527872943</v>
      </c>
      <c r="E148" s="2">
        <v>37425153.95904707</v>
      </c>
      <c r="F148" s="2">
        <f>E148/1.19</f>
        <v>31449709.209283255</v>
      </c>
      <c r="G148" s="2">
        <v>110</v>
      </c>
      <c r="H148" s="2">
        <v>12732365.81526552</v>
      </c>
      <c r="I148" s="2">
        <v>213</v>
      </c>
      <c r="J148" s="2">
        <v>24501813.89019628</v>
      </c>
      <c r="K148" s="2">
        <v>8627399.257111365</v>
      </c>
      <c r="L148" s="2">
        <v>3203042.037602044</v>
      </c>
      <c r="M148" s="2">
        <v>15590695.29766297</v>
      </c>
      <c r="N148" s="3">
        <v>3</v>
      </c>
      <c r="O148" s="3">
        <v>5</v>
      </c>
      <c r="P148" s="2">
        <v>399213.0483169302</v>
      </c>
      <c r="Q148" s="2">
        <v>1300721.657069769</v>
      </c>
      <c r="R148" s="2">
        <v>356440.2217115448</v>
      </c>
      <c r="S148" s="2">
        <v>399213.0483169302</v>
      </c>
      <c r="T148" s="2">
        <v>6715333.777045504</v>
      </c>
      <c r="U148" s="2">
        <f>M148+P148+Q148+R148+S148+T148</f>
        <v>24761617.05012365</v>
      </c>
      <c r="V148" s="2">
        <f>F148-K148-L148-U148</f>
        <v>-5142349.135553803</v>
      </c>
      <c r="W148" s="2">
        <v>0</v>
      </c>
      <c r="X148" s="2">
        <v>0</v>
      </c>
      <c r="Y148" s="2">
        <f>W148+X148</f>
        <v>0</v>
      </c>
      <c r="Z148" s="2">
        <v>3.37604433298111E-09</v>
      </c>
      <c r="AA148" s="2">
        <v>0</v>
      </c>
      <c r="AB148" s="2">
        <v>0</v>
      </c>
      <c r="AC148" s="2">
        <v>0</v>
      </c>
      <c r="AD148" s="2">
        <v>217484.6311471704</v>
      </c>
      <c r="AE148" s="2">
        <v>2392330.942618873</v>
      </c>
      <c r="AF148" s="2">
        <f>F148-H148-L148-U148-AA148-AC148-AD148</f>
        <v>-9464800.324855132</v>
      </c>
      <c r="AG148" s="2">
        <f>F148-H148-L148-U148-AA148-AB148-AD148-Y148</f>
        <v>-9464800.324855132</v>
      </c>
      <c r="AH148" s="2">
        <f>AH147+AG148</f>
        <v>856289603.4720998</v>
      </c>
      <c r="AI148" s="2">
        <v>75513026.75037095</v>
      </c>
      <c r="AJ148" s="2">
        <f>AH148-AI148</f>
        <v>780776576.7217288</v>
      </c>
      <c r="AK148" s="3">
        <v>0.25</v>
      </c>
    </row>
    <row r="149" spans="1:37">
      <c r="A149" s="2">
        <v>148</v>
      </c>
      <c r="B149" s="2">
        <v>2039</v>
      </c>
      <c r="C149" s="2">
        <v>94</v>
      </c>
      <c r="D149" s="2">
        <v>499002.0527872943</v>
      </c>
      <c r="E149" s="2">
        <v>46906192.96200566</v>
      </c>
      <c r="F149" s="2">
        <f>E149/1.19</f>
        <v>39416968.87563501</v>
      </c>
      <c r="G149" s="2">
        <v>130</v>
      </c>
      <c r="H149" s="2">
        <v>15047341.41804107</v>
      </c>
      <c r="I149" s="2">
        <v>249</v>
      </c>
      <c r="J149" s="2">
        <v>28710611.28790408</v>
      </c>
      <c r="K149" s="2">
        <v>10838544.02033327</v>
      </c>
      <c r="L149" s="2">
        <v>4016522.30990819</v>
      </c>
      <c r="M149" s="2">
        <v>15590695.29766297</v>
      </c>
      <c r="N149" s="3">
        <v>3</v>
      </c>
      <c r="O149" s="3">
        <v>5</v>
      </c>
      <c r="P149" s="2">
        <v>399213.0483169302</v>
      </c>
      <c r="Q149" s="2">
        <v>1300721.657069769</v>
      </c>
      <c r="R149" s="2">
        <v>356440.2217115448</v>
      </c>
      <c r="S149" s="2">
        <v>399213.0483169302</v>
      </c>
      <c r="T149" s="2">
        <v>6715333.777045504</v>
      </c>
      <c r="U149" s="2">
        <f>M149+P149+Q149+R149+S149+T149</f>
        <v>24761617.05012365</v>
      </c>
      <c r="V149" s="2">
        <f>F149-K149-L149-U149</f>
        <v>-199714.50473009422</v>
      </c>
      <c r="W149" s="2">
        <v>0</v>
      </c>
      <c r="X149" s="2">
        <v>0</v>
      </c>
      <c r="Y149" s="2">
        <f>W149+X149</f>
        <v>0</v>
      </c>
      <c r="Z149" s="2">
        <v>3.37604433298111E-09</v>
      </c>
      <c r="AA149" s="2">
        <v>0</v>
      </c>
      <c r="AB149" s="2">
        <v>0</v>
      </c>
      <c r="AC149" s="2">
        <v>0</v>
      </c>
      <c r="AD149" s="2">
        <v>434969.2622943404</v>
      </c>
      <c r="AE149" s="2">
        <v>2827300.204913213</v>
      </c>
      <c r="AF149" s="2">
        <f>F149-H149-L149-U149-AA149-AC149-AD149</f>
        <v>-4843481.164732236</v>
      </c>
      <c r="AG149" s="2">
        <f>F149-H149-L149-U149-AA149-AB149-AD149-Y149</f>
        <v>-4843481.164732236</v>
      </c>
      <c r="AH149" s="2">
        <f>AH148+AG149</f>
        <v>851446122.3073676</v>
      </c>
      <c r="AI149" s="2">
        <v>75513026.75037095</v>
      </c>
      <c r="AJ149" s="2">
        <f>AH149-AI149</f>
        <v>775933095.5569966</v>
      </c>
      <c r="AK149" s="3">
        <v>0.25</v>
      </c>
    </row>
    <row r="150" spans="1:37">
      <c r="A150" s="2">
        <v>149</v>
      </c>
      <c r="B150" s="2">
        <v>2039</v>
      </c>
      <c r="C150" s="2">
        <v>113</v>
      </c>
      <c r="D150" s="2">
        <v>499002.0527872943</v>
      </c>
      <c r="E150" s="2">
        <v>56387231.96496426</v>
      </c>
      <c r="F150" s="2">
        <f>E150/1.19</f>
        <v>47384228.54198677</v>
      </c>
      <c r="G150" s="2">
        <v>150</v>
      </c>
      <c r="H150" s="2">
        <v>17362317.02081662</v>
      </c>
      <c r="I150" s="2">
        <v>286</v>
      </c>
      <c r="J150" s="2">
        <v>33024705.50449654</v>
      </c>
      <c r="K150" s="2">
        <v>13048222.80422416</v>
      </c>
      <c r="L150" s="2">
        <v>4829885.303867855</v>
      </c>
      <c r="M150" s="2">
        <v>15590695.29766297</v>
      </c>
      <c r="N150" s="3">
        <v>3</v>
      </c>
      <c r="O150" s="3">
        <v>5</v>
      </c>
      <c r="P150" s="2">
        <v>399213.0483169302</v>
      </c>
      <c r="Q150" s="2">
        <v>1300721.657069769</v>
      </c>
      <c r="R150" s="2">
        <v>356440.2217115448</v>
      </c>
      <c r="S150" s="2">
        <v>399213.0483169302</v>
      </c>
      <c r="T150" s="2">
        <v>6715333.777045504</v>
      </c>
      <c r="U150" s="2">
        <f>M150+P150+Q150+R150+S150+T150</f>
        <v>24761617.05012365</v>
      </c>
      <c r="V150" s="2">
        <f>F150-K150-L150-U150</f>
        <v>4744503.38377111</v>
      </c>
      <c r="W150" s="2">
        <v>0</v>
      </c>
      <c r="X150" s="2">
        <v>0</v>
      </c>
      <c r="Y150" s="2">
        <f>W150+X150</f>
        <v>0</v>
      </c>
      <c r="Z150" s="2">
        <v>3.37604433298111E-09</v>
      </c>
      <c r="AA150" s="2">
        <v>0</v>
      </c>
      <c r="AB150" s="2">
        <v>0</v>
      </c>
      <c r="AC150" s="2">
        <v>0</v>
      </c>
      <c r="AD150" s="2">
        <v>434969.2622943404</v>
      </c>
      <c r="AE150" s="2">
        <v>3262269.467207553</v>
      </c>
      <c r="AF150" s="2">
        <f>F150-H150-L150-U150-AA150-AC150-AD150</f>
        <v>-4560.095115694683</v>
      </c>
      <c r="AG150" s="2">
        <f>F150-H150-L150-U150-AA150-AB150-AD150-Y150</f>
        <v>-4560.095115694683</v>
      </c>
      <c r="AH150" s="2">
        <f>AH149+AG150</f>
        <v>851441562.2122519</v>
      </c>
      <c r="AI150" s="2">
        <v>75513026.75037095</v>
      </c>
      <c r="AJ150" s="2">
        <f>AH150-AI150</f>
        <v>775928535.4618809</v>
      </c>
      <c r="AK150" s="3">
        <v>0.25</v>
      </c>
    </row>
    <row r="151" spans="1:37">
      <c r="A151" s="2">
        <v>150</v>
      </c>
      <c r="B151" s="2">
        <v>2039</v>
      </c>
      <c r="C151" s="2">
        <v>132</v>
      </c>
      <c r="D151" s="2">
        <v>499002.0527872943</v>
      </c>
      <c r="E151" s="2">
        <v>65868270.96792284</v>
      </c>
      <c r="F151" s="2">
        <f>E151/1.19</f>
        <v>55351488.20833853</v>
      </c>
      <c r="G151" s="2">
        <v>190</v>
      </c>
      <c r="H151" s="2">
        <v>21992268.22636772</v>
      </c>
      <c r="I151" s="2">
        <v>344</v>
      </c>
      <c r="J151" s="2">
        <v>39760165.88953216</v>
      </c>
      <c r="K151" s="2">
        <v>15256807.84133211</v>
      </c>
      <c r="L151" s="2">
        <v>5643160.798084885</v>
      </c>
      <c r="M151" s="2">
        <v>15590695.29766297</v>
      </c>
      <c r="N151" s="3">
        <v>3</v>
      </c>
      <c r="O151" s="3">
        <v>5</v>
      </c>
      <c r="P151" s="2">
        <v>399213.0483169302</v>
      </c>
      <c r="Q151" s="2">
        <v>1300721.657069769</v>
      </c>
      <c r="R151" s="2">
        <v>356440.2217115448</v>
      </c>
      <c r="S151" s="2">
        <v>399213.0483169302</v>
      </c>
      <c r="T151" s="2">
        <v>6715333.777045504</v>
      </c>
      <c r="U151" s="2">
        <f>M151+P151+Q151+R151+S151+T151</f>
        <v>24761617.05012365</v>
      </c>
      <c r="V151" s="2">
        <f>F151-K151-L151-U151</f>
        <v>9689902.518797886</v>
      </c>
      <c r="W151" s="2">
        <v>0</v>
      </c>
      <c r="X151" s="2">
        <v>0</v>
      </c>
      <c r="Y151" s="2">
        <f>W151+X151</f>
        <v>0</v>
      </c>
      <c r="Z151" s="2">
        <v>3.37604433298111E-09</v>
      </c>
      <c r="AA151" s="2">
        <v>0</v>
      </c>
      <c r="AB151" s="2">
        <v>0</v>
      </c>
      <c r="AC151" s="2">
        <v>0</v>
      </c>
      <c r="AD151" s="2">
        <v>869938.5245886808</v>
      </c>
      <c r="AE151" s="2">
        <v>4132207.991796234</v>
      </c>
      <c r="AF151" s="2">
        <f>F151-H151-L151-U151-AA151-AC151-AD151</f>
        <v>2084503.609173593</v>
      </c>
      <c r="AG151" s="2">
        <f>F151-H151-L151-U151-AA151-AB151-AD151-Y151</f>
        <v>2084503.609173593</v>
      </c>
      <c r="AH151" s="2">
        <f>AH150+AG151</f>
        <v>853526065.8214254</v>
      </c>
      <c r="AI151" s="2">
        <v>75513026.75037095</v>
      </c>
      <c r="AJ151" s="2">
        <f>AH151-AI151</f>
        <v>778013039.0710545</v>
      </c>
      <c r="AK151" s="3">
        <v>0.25</v>
      </c>
    </row>
    <row r="152" spans="1:37">
      <c r="A152" s="2">
        <v>151</v>
      </c>
      <c r="B152" s="2">
        <v>2039</v>
      </c>
      <c r="C152" s="2">
        <v>151</v>
      </c>
      <c r="D152" s="2">
        <v>499002.0527872943</v>
      </c>
      <c r="E152" s="2">
        <v>75349309.97088143</v>
      </c>
      <c r="F152" s="2">
        <f>E152/1.19</f>
        <v>63318747.87469028</v>
      </c>
      <c r="G152" s="2">
        <v>210</v>
      </c>
      <c r="H152" s="2">
        <v>24307243.82914327</v>
      </c>
      <c r="I152" s="2">
        <v>403</v>
      </c>
      <c r="J152" s="2">
        <v>46604992.99029999</v>
      </c>
      <c r="K152" s="2">
        <v>17462416.72837543</v>
      </c>
      <c r="L152" s="2">
        <v>6456198.200296745</v>
      </c>
      <c r="M152" s="2">
        <v>15590695.29766297</v>
      </c>
      <c r="N152" s="3">
        <v>3</v>
      </c>
      <c r="O152" s="3">
        <v>5</v>
      </c>
      <c r="P152" s="2">
        <v>399213.0483169302</v>
      </c>
      <c r="Q152" s="2">
        <v>1300721.657069769</v>
      </c>
      <c r="R152" s="2">
        <v>356440.2217115448</v>
      </c>
      <c r="S152" s="2">
        <v>399213.0483169302</v>
      </c>
      <c r="T152" s="2">
        <v>6715333.777045504</v>
      </c>
      <c r="U152" s="2">
        <f>M152+P152+Q152+R152+S152+T152</f>
        <v>24761617.05012365</v>
      </c>
      <c r="V152" s="2">
        <f>F152-K152-L152-U152</f>
        <v>14638515.89589445</v>
      </c>
      <c r="W152" s="2">
        <v>0</v>
      </c>
      <c r="X152" s="2">
        <v>0</v>
      </c>
      <c r="Y152" s="2">
        <f>W152+X152</f>
        <v>0</v>
      </c>
      <c r="Z152" s="2">
        <v>3.37604433298111E-09</v>
      </c>
      <c r="AA152" s="2">
        <v>0</v>
      </c>
      <c r="AB152" s="2">
        <v>0</v>
      </c>
      <c r="AC152" s="2">
        <v>0</v>
      </c>
      <c r="AD152" s="2">
        <v>434969.2622943404</v>
      </c>
      <c r="AE152" s="2">
        <v>4567177.254090575</v>
      </c>
      <c r="AF152" s="2">
        <f>F152-H152-L152-U152-AA152-AC152-AD152</f>
        <v>7358719.532832272</v>
      </c>
      <c r="AG152" s="2">
        <f>F152-H152-L152-U152-AA152-AB152-AD152-Y152</f>
        <v>7358719.532832272</v>
      </c>
      <c r="AH152" s="2">
        <f>AH151+AG152</f>
        <v>860884785.3542577</v>
      </c>
      <c r="AI152" s="2">
        <v>75513026.75037095</v>
      </c>
      <c r="AJ152" s="2">
        <f>AH152-AI152</f>
        <v>785371758.6038867</v>
      </c>
      <c r="AK152" s="3">
        <v>0.25</v>
      </c>
    </row>
    <row r="153" spans="1:37">
      <c r="A153" s="2">
        <v>152</v>
      </c>
      <c r="B153" s="2">
        <v>2039</v>
      </c>
      <c r="C153" s="2">
        <v>188</v>
      </c>
      <c r="D153" s="2">
        <v>499002.0527872943</v>
      </c>
      <c r="E153" s="2">
        <v>93812385.92401132</v>
      </c>
      <c r="F153" s="2">
        <f>E153/1.19</f>
        <v>78833937.75127003</v>
      </c>
      <c r="G153" s="2">
        <v>240</v>
      </c>
      <c r="H153" s="2">
        <v>27779707.23330659</v>
      </c>
      <c r="I153" s="2">
        <v>455</v>
      </c>
      <c r="J153" s="2">
        <v>52636140.90472938</v>
      </c>
      <c r="K153" s="2">
        <v>21748559.3188772</v>
      </c>
      <c r="L153" s="2">
        <v>8038762.322073232</v>
      </c>
      <c r="M153" s="2">
        <v>15590695.29766297</v>
      </c>
      <c r="N153" s="3">
        <v>3</v>
      </c>
      <c r="O153" s="3">
        <v>5</v>
      </c>
      <c r="P153" s="2">
        <v>399213.0483169302</v>
      </c>
      <c r="Q153" s="2">
        <v>1300721.657069769</v>
      </c>
      <c r="R153" s="2">
        <v>356440.2217115448</v>
      </c>
      <c r="S153" s="2">
        <v>399213.0483169302</v>
      </c>
      <c r="T153" s="2">
        <v>6715333.777045504</v>
      </c>
      <c r="U153" s="2">
        <f>M153+P153+Q153+R153+S153+T153</f>
        <v>24761617.05012365</v>
      </c>
      <c r="V153" s="2">
        <f>F153-K153-L153-U153</f>
        <v>24284999.06019595</v>
      </c>
      <c r="W153" s="2">
        <v>0</v>
      </c>
      <c r="X153" s="2">
        <v>0</v>
      </c>
      <c r="Y153" s="2">
        <f>W153+X153</f>
        <v>0</v>
      </c>
      <c r="Z153" s="2">
        <v>3.37604433298111E-09</v>
      </c>
      <c r="AA153" s="2">
        <v>0</v>
      </c>
      <c r="AB153" s="2">
        <v>0</v>
      </c>
      <c r="AC153" s="2">
        <v>0</v>
      </c>
      <c r="AD153" s="2">
        <v>652453.8934415104</v>
      </c>
      <c r="AE153" s="2">
        <v>5219631.147532085</v>
      </c>
      <c r="AF153" s="2">
        <f>F153-H153-L153-U153-AA153-AC153-AD153</f>
        <v>17601397.252325043</v>
      </c>
      <c r="AG153" s="2">
        <f>F153-H153-L153-U153-AA153-AB153-AD153-Y153</f>
        <v>17601397.252325043</v>
      </c>
      <c r="AH153" s="2">
        <f>AH152+AG153</f>
        <v>878486182.6065828</v>
      </c>
      <c r="AI153" s="2">
        <v>75513026.75037095</v>
      </c>
      <c r="AJ153" s="2">
        <f>AH153-AI153</f>
        <v>802973155.8562118</v>
      </c>
      <c r="AK153" s="3">
        <v>0.25</v>
      </c>
    </row>
    <row r="154" spans="1:37">
      <c r="A154" s="2">
        <v>153</v>
      </c>
      <c r="B154" s="2">
        <v>2039</v>
      </c>
      <c r="C154" s="2">
        <v>207</v>
      </c>
      <c r="D154" s="2">
        <v>499002.0527872943</v>
      </c>
      <c r="E154" s="2">
        <v>103293424.9269699</v>
      </c>
      <c r="F154" s="2">
        <f>E154/1.19</f>
        <v>86801197.41762178</v>
      </c>
      <c r="G154" s="2">
        <v>270</v>
      </c>
      <c r="H154" s="2">
        <v>31252170.63746992</v>
      </c>
      <c r="I154" s="2">
        <v>518</v>
      </c>
      <c r="J154" s="2">
        <v>59936752.2467024</v>
      </c>
      <c r="K154" s="2">
        <v>23951559.2954969</v>
      </c>
      <c r="L154" s="2">
        <v>8851591.011451203</v>
      </c>
      <c r="M154" s="2">
        <v>15590695.29766297</v>
      </c>
      <c r="N154" s="3">
        <v>3</v>
      </c>
      <c r="O154" s="3">
        <v>5</v>
      </c>
      <c r="P154" s="2">
        <v>399213.0483169302</v>
      </c>
      <c r="Q154" s="2">
        <v>1300721.657069769</v>
      </c>
      <c r="R154" s="2">
        <v>356440.2217115448</v>
      </c>
      <c r="S154" s="2">
        <v>399213.0483169302</v>
      </c>
      <c r="T154" s="2">
        <v>6715333.777045504</v>
      </c>
      <c r="U154" s="2">
        <f>M154+P154+Q154+R154+S154+T154</f>
        <v>24761617.05012365</v>
      </c>
      <c r="V154" s="2">
        <f>F154-K154-L154-U154</f>
        <v>29236430.060550015</v>
      </c>
      <c r="W154" s="2">
        <v>0</v>
      </c>
      <c r="X154" s="2">
        <v>0</v>
      </c>
      <c r="Y154" s="2">
        <f>W154+X154</f>
        <v>0</v>
      </c>
      <c r="Z154" s="2">
        <v>3.37604433298111E-09</v>
      </c>
      <c r="AA154" s="2">
        <v>0</v>
      </c>
      <c r="AB154" s="2">
        <v>0</v>
      </c>
      <c r="AC154" s="2">
        <v>0</v>
      </c>
      <c r="AD154" s="2">
        <v>652453.8934415113</v>
      </c>
      <c r="AE154" s="2">
        <v>5872085.040973596</v>
      </c>
      <c r="AF154" s="2">
        <f>F154-H154-L154-U154-AA154-AC154-AD154</f>
        <v>21283364.8251355</v>
      </c>
      <c r="AG154" s="2">
        <f>F154-H154-L154-U154-AA154-AB154-AD154-Y154</f>
        <v>21283364.8251355</v>
      </c>
      <c r="AH154" s="2">
        <f>AH153+AG154</f>
        <v>899769547.4317182</v>
      </c>
      <c r="AI154" s="2">
        <v>75513026.75037095</v>
      </c>
      <c r="AJ154" s="2">
        <f>AH154-AI154</f>
        <v>824256520.6813473</v>
      </c>
      <c r="AK154" s="3">
        <v>0.25</v>
      </c>
    </row>
    <row r="155" spans="1:37">
      <c r="A155" s="2">
        <v>154</v>
      </c>
      <c r="B155" s="2">
        <v>2039</v>
      </c>
      <c r="C155" s="2">
        <v>245</v>
      </c>
      <c r="D155" s="2">
        <v>499002.0527872943</v>
      </c>
      <c r="E155" s="2">
        <v>122255502.9328871</v>
      </c>
      <c r="F155" s="2">
        <f>E155/1.19</f>
        <v>102735716.7503253</v>
      </c>
      <c r="G155" s="2">
        <v>320</v>
      </c>
      <c r="H155" s="2">
        <v>37039609.64440878</v>
      </c>
      <c r="I155" s="2">
        <v>593</v>
      </c>
      <c r="J155" s="2">
        <v>68624084.24991518</v>
      </c>
      <c r="K155" s="2">
        <v>28352277.64119599</v>
      </c>
      <c r="L155" s="2">
        <v>10476825.86160392</v>
      </c>
      <c r="M155" s="2">
        <v>15590695.29766297</v>
      </c>
      <c r="N155" s="3">
        <v>3</v>
      </c>
      <c r="O155" s="3">
        <v>5</v>
      </c>
      <c r="P155" s="2">
        <v>399213.0483169302</v>
      </c>
      <c r="Q155" s="2">
        <v>1300721.657069769</v>
      </c>
      <c r="R155" s="2">
        <v>356440.2217115448</v>
      </c>
      <c r="S155" s="2">
        <v>399213.0483169302</v>
      </c>
      <c r="T155" s="2">
        <v>6715333.777045504</v>
      </c>
      <c r="U155" s="2">
        <f>M155+P155+Q155+R155+S155+T155</f>
        <v>24761617.05012365</v>
      </c>
      <c r="V155" s="2">
        <f>F155-K155-L155-U155</f>
        <v>39144996.19740175</v>
      </c>
      <c r="W155" s="2">
        <v>0</v>
      </c>
      <c r="X155" s="2">
        <v>0</v>
      </c>
      <c r="Y155" s="2">
        <f>W155+X155</f>
        <v>0</v>
      </c>
      <c r="Z155" s="2">
        <v>3.37604433298111E-09</v>
      </c>
      <c r="AA155" s="2">
        <v>0</v>
      </c>
      <c r="AB155" s="2">
        <v>0</v>
      </c>
      <c r="AC155" s="2">
        <v>0</v>
      </c>
      <c r="AD155" s="2">
        <v>1087423.155735851</v>
      </c>
      <c r="AE155" s="2">
        <v>6959508.196709448</v>
      </c>
      <c r="AF155" s="2">
        <f>F155-H155-L155-U155-AA155-AC155-AD155</f>
        <v>29370241.0384531</v>
      </c>
      <c r="AG155" s="2">
        <f>F155-H155-L155-U155-AA155-AB155-AD155-Y155</f>
        <v>29370241.0384531</v>
      </c>
      <c r="AH155" s="2">
        <f>AH154+AG155</f>
        <v>929139788.4701713</v>
      </c>
      <c r="AI155" s="2">
        <v>75513026.75037095</v>
      </c>
      <c r="AJ155" s="2">
        <f>AH155-AI155</f>
        <v>853626761.7198004</v>
      </c>
      <c r="AK155" s="3">
        <v>0.25</v>
      </c>
    </row>
    <row r="156" spans="1:37">
      <c r="A156" s="2">
        <v>155</v>
      </c>
      <c r="B156" s="2">
        <v>2039</v>
      </c>
      <c r="C156" s="2">
        <v>264</v>
      </c>
      <c r="D156" s="2">
        <v>499002.0527872943</v>
      </c>
      <c r="E156" s="2">
        <v>131736541.9358457</v>
      </c>
      <c r="F156" s="2">
        <f>E156/1.19</f>
        <v>110702976.41667706</v>
      </c>
      <c r="G156" s="2">
        <v>40</v>
      </c>
      <c r="H156" s="2">
        <v>4629951.205551098</v>
      </c>
      <c r="I156" s="2">
        <v>369</v>
      </c>
      <c r="J156" s="2">
        <v>42702589.38873152</v>
      </c>
      <c r="K156" s="2">
        <v>30551446.06673476</v>
      </c>
      <c r="L156" s="2">
        <v>11289348.02689541</v>
      </c>
      <c r="M156" s="2">
        <v>15590695.29766297</v>
      </c>
      <c r="N156" s="3">
        <v>3</v>
      </c>
      <c r="O156" s="3">
        <v>5</v>
      </c>
      <c r="P156" s="2">
        <v>399213.0483169302</v>
      </c>
      <c r="Q156" s="2">
        <v>1300721.657069769</v>
      </c>
      <c r="R156" s="2">
        <v>356440.2217115448</v>
      </c>
      <c r="S156" s="2">
        <v>399213.0483169302</v>
      </c>
      <c r="T156" s="2">
        <v>6715333.777045504</v>
      </c>
      <c r="U156" s="2">
        <f>M156+P156+Q156+R156+S156+T156</f>
        <v>24761617.05012365</v>
      </c>
      <c r="V156" s="2">
        <f>F156-K156-L156-U156</f>
        <v>44100565.27292323</v>
      </c>
      <c r="W156" s="2">
        <v>0</v>
      </c>
      <c r="X156" s="2">
        <v>0</v>
      </c>
      <c r="Y156" s="2">
        <f>W156+X156</f>
        <v>0</v>
      </c>
      <c r="Z156" s="2">
        <v>3.37604433298111E-09</v>
      </c>
      <c r="AA156" s="2">
        <v>0</v>
      </c>
      <c r="AB156" s="2">
        <v>0</v>
      </c>
      <c r="AC156" s="2">
        <v>0</v>
      </c>
      <c r="AD156" s="2">
        <v>-6089569.672120767</v>
      </c>
      <c r="AE156" s="2">
        <v>869938.5245886809</v>
      </c>
      <c r="AF156" s="2">
        <f>F156-H156-L156-U156-AA156-AC156-AD156</f>
        <v>76111629.80622765</v>
      </c>
      <c r="AG156" s="2">
        <f>F156-H156-L156-U156-AA156-AB156-AD156-Y156</f>
        <v>76111629.80622765</v>
      </c>
      <c r="AH156" s="2">
        <f>AH155+AG156</f>
        <v>1005251418.276399</v>
      </c>
      <c r="AI156" s="2">
        <v>75513026.75037095</v>
      </c>
      <c r="AJ156" s="2">
        <f>AH156-AI156</f>
        <v>929738391.526028</v>
      </c>
      <c r="AK156" s="3">
        <v>0.25</v>
      </c>
    </row>
    <row r="157" spans="1:37">
      <c r="A157" s="2">
        <v>156</v>
      </c>
      <c r="B157" s="2">
        <v>2039</v>
      </c>
      <c r="C157" s="2">
        <v>320</v>
      </c>
      <c r="D157" s="2">
        <v>499002.0527872943</v>
      </c>
      <c r="E157" s="2">
        <v>159680656.8919342</v>
      </c>
      <c r="F157" s="2">
        <f>E157/1.19</f>
        <v>134185425.95960857</v>
      </c>
      <c r="G157" s="2">
        <v>50</v>
      </c>
      <c r="H157" s="2">
        <v>5787439.006938874</v>
      </c>
      <c r="I157" s="2">
        <v>99</v>
      </c>
      <c r="J157" s="2">
        <v>11457071.14838035</v>
      </c>
      <c r="K157" s="2">
        <v>37032957.24729005</v>
      </c>
      <c r="L157" s="2">
        <v>13684130.32712458</v>
      </c>
      <c r="M157" s="2">
        <v>15590695.29766297</v>
      </c>
      <c r="N157" s="3">
        <v>3</v>
      </c>
      <c r="O157" s="3">
        <v>5</v>
      </c>
      <c r="P157" s="2">
        <v>399213.0483169302</v>
      </c>
      <c r="Q157" s="2">
        <v>1300721.657069769</v>
      </c>
      <c r="R157" s="2">
        <v>356440.2217115448</v>
      </c>
      <c r="S157" s="2">
        <v>399213.0483169302</v>
      </c>
      <c r="T157" s="2">
        <v>6715333.777045504</v>
      </c>
      <c r="U157" s="2">
        <f>M157+P157+Q157+R157+S157+T157</f>
        <v>24761617.05012365</v>
      </c>
      <c r="V157" s="2">
        <f>F157-K157-L157-U157</f>
        <v>58706721.3350703</v>
      </c>
      <c r="W157" s="2">
        <v>0</v>
      </c>
      <c r="X157" s="2">
        <v>0</v>
      </c>
      <c r="Y157" s="2">
        <f>W157+X157</f>
        <v>0</v>
      </c>
      <c r="Z157" s="2">
        <v>3.37604433298111E-09</v>
      </c>
      <c r="AA157" s="2">
        <v>0</v>
      </c>
      <c r="AB157" s="2">
        <v>48147567.01183219</v>
      </c>
      <c r="AC157" s="2">
        <v>48147567.01183219</v>
      </c>
      <c r="AD157" s="2">
        <v>217484.6311471701</v>
      </c>
      <c r="AE157" s="2">
        <v>1087423.155735851</v>
      </c>
      <c r="AF157" s="2">
        <f>F157-H157-L157-U157-AA157-AC157-AD157</f>
        <v>41587187.93244211</v>
      </c>
      <c r="AG157" s="2">
        <f>F157-H157-L157-U157-AA157-AB157-AD157-Y157</f>
        <v>41587187.93244211</v>
      </c>
      <c r="AH157" s="2">
        <f>AH156+AG157</f>
        <v>1046838606.2088411</v>
      </c>
      <c r="AI157" s="2">
        <v>75513026.75037095</v>
      </c>
      <c r="AJ157" s="2">
        <f>AH157-AI157</f>
        <v>971325579.4584701</v>
      </c>
      <c r="AK157" s="3">
        <v>0.25</v>
      </c>
    </row>
    <row r="158" spans="1:37">
      <c r="A158" s="2">
        <v>157</v>
      </c>
      <c r="B158" s="2">
        <v>2040</v>
      </c>
      <c r="C158" s="2">
        <v>40</v>
      </c>
      <c r="D158" s="2">
        <v>513972.1143709132</v>
      </c>
      <c r="E158" s="2">
        <v>20558884.57483653</v>
      </c>
      <c r="F158" s="2">
        <f>E158/1.19</f>
        <v>17276373.592299603</v>
      </c>
      <c r="G158" s="2">
        <v>80</v>
      </c>
      <c r="H158" s="2">
        <v>9537699.483435264</v>
      </c>
      <c r="I158" s="2">
        <v>139</v>
      </c>
      <c r="J158" s="2">
        <v>16303201.77554397</v>
      </c>
      <c r="K158" s="2">
        <v>4691568.856271647</v>
      </c>
      <c r="L158" s="2">
        <v>1755717.828471933</v>
      </c>
      <c r="M158" s="2">
        <v>16801861.34902772</v>
      </c>
      <c r="N158" s="3">
        <v>3</v>
      </c>
      <c r="O158" s="3">
        <v>5.5</v>
      </c>
      <c r="P158" s="2">
        <v>425874.7769009538</v>
      </c>
      <c r="Q158" s="2">
        <v>1395694.441264367</v>
      </c>
      <c r="R158" s="2">
        <v>367133.4283628912</v>
      </c>
      <c r="S158" s="2">
        <v>411189.4397664382</v>
      </c>
      <c r="T158" s="2">
        <v>7261899.213017988</v>
      </c>
      <c r="U158" s="2">
        <f>M158+P158+Q158+R158+S158+T158</f>
        <v>26663652.648340356</v>
      </c>
      <c r="V158" s="2">
        <f>F158-K158-L158-U158</f>
        <v>-15834565.740784332</v>
      </c>
      <c r="W158" s="2">
        <v>0</v>
      </c>
      <c r="X158" s="2">
        <v>0</v>
      </c>
      <c r="Y158" s="2">
        <f>W158+X158</f>
        <v>0</v>
      </c>
      <c r="Z158" s="2">
        <v>3.37604433298111E-09</v>
      </c>
      <c r="AA158" s="2">
        <v>0</v>
      </c>
      <c r="AB158" s="2">
        <v>0</v>
      </c>
      <c r="AC158" s="2">
        <v>0</v>
      </c>
      <c r="AD158" s="2">
        <v>704650.2049168318</v>
      </c>
      <c r="AE158" s="2">
        <v>1792073.360652683</v>
      </c>
      <c r="AF158" s="2">
        <f>F158-H158-L158-U158-AA158-AC158-AD158</f>
        <v>-21385346.572864782</v>
      </c>
      <c r="AG158" s="2">
        <f>F158-H158-L158-U158-AA158-AB158-AD158-Y158</f>
        <v>-21385346.572864782</v>
      </c>
      <c r="AH158" s="2">
        <f>AH157+AG158</f>
        <v>1025453259.6359763</v>
      </c>
      <c r="AI158" s="2">
        <v>81219133.54502106</v>
      </c>
      <c r="AJ158" s="2">
        <f>AH158-AI158</f>
        <v>944234126.0909553</v>
      </c>
      <c r="AK158" s="3">
        <v>0.25</v>
      </c>
    </row>
    <row r="159" spans="1:37">
      <c r="A159" s="2">
        <v>158</v>
      </c>
      <c r="B159" s="2">
        <v>2040</v>
      </c>
      <c r="C159" s="2">
        <v>59</v>
      </c>
      <c r="D159" s="2">
        <v>513972.1143709132</v>
      </c>
      <c r="E159" s="2">
        <v>30324354.74788387</v>
      </c>
      <c r="F159" s="2">
        <f>E159/1.19</f>
        <v>25482651.048641913</v>
      </c>
      <c r="G159" s="2">
        <v>100</v>
      </c>
      <c r="H159" s="2">
        <v>11922124.35429408</v>
      </c>
      <c r="I159" s="2">
        <v>180</v>
      </c>
      <c r="J159" s="2">
        <v>21257567.79653075</v>
      </c>
      <c r="K159" s="2">
        <v>6967758.333307301</v>
      </c>
      <c r="L159" s="2">
        <v>2593499.338620632</v>
      </c>
      <c r="M159" s="2">
        <v>16801861.34902772</v>
      </c>
      <c r="N159" s="3">
        <v>3</v>
      </c>
      <c r="O159" s="3">
        <v>5.5</v>
      </c>
      <c r="P159" s="2">
        <v>425874.7769009538</v>
      </c>
      <c r="Q159" s="2">
        <v>1395694.441264367</v>
      </c>
      <c r="R159" s="2">
        <v>367133.4283628912</v>
      </c>
      <c r="S159" s="2">
        <v>411189.4397664382</v>
      </c>
      <c r="T159" s="2">
        <v>7261899.213017988</v>
      </c>
      <c r="U159" s="2">
        <f>M159+P159+Q159+R159+S159+T159</f>
        <v>26663652.648340356</v>
      </c>
      <c r="V159" s="2">
        <f>F159-K159-L159-U159</f>
        <v>-10742259.271626376</v>
      </c>
      <c r="W159" s="2">
        <v>0</v>
      </c>
      <c r="X159" s="2">
        <v>0</v>
      </c>
      <c r="Y159" s="2">
        <f>W159+X159</f>
        <v>0</v>
      </c>
      <c r="Z159" s="2">
        <v>3.37604433298111E-09</v>
      </c>
      <c r="AA159" s="2">
        <v>0</v>
      </c>
      <c r="AB159" s="2">
        <v>0</v>
      </c>
      <c r="AC159" s="2">
        <v>0</v>
      </c>
      <c r="AD159" s="2">
        <v>448018.3401631708</v>
      </c>
      <c r="AE159" s="2">
        <v>2240091.700815854</v>
      </c>
      <c r="AF159" s="2">
        <f>F159-H159-L159-U159-AA159-AC159-AD159</f>
        <v>-16144643.632776327</v>
      </c>
      <c r="AG159" s="2">
        <f>F159-H159-L159-U159-AA159-AB159-AD159-Y159</f>
        <v>-16144643.632776327</v>
      </c>
      <c r="AH159" s="2">
        <f>AH158+AG159</f>
        <v>1009308616.0031999</v>
      </c>
      <c r="AI159" s="2">
        <v>81219133.54502106</v>
      </c>
      <c r="AJ159" s="2">
        <f>AH159-AI159</f>
        <v>928089482.4581789</v>
      </c>
      <c r="AK159" s="3">
        <v>0.25</v>
      </c>
    </row>
    <row r="160" spans="1:37">
      <c r="A160" s="2">
        <v>159</v>
      </c>
      <c r="B160" s="2">
        <v>2040</v>
      </c>
      <c r="C160" s="2">
        <v>79</v>
      </c>
      <c r="D160" s="2">
        <v>513972.1143709132</v>
      </c>
      <c r="E160" s="2">
        <v>40603797.03530214</v>
      </c>
      <c r="F160" s="2">
        <f>E160/1.19</f>
        <v>34120837.84479172</v>
      </c>
      <c r="G160" s="2">
        <v>120</v>
      </c>
      <c r="H160" s="2">
        <v>14306549.22515289</v>
      </c>
      <c r="I160" s="2">
        <v>221</v>
      </c>
      <c r="J160" s="2">
        <v>26198899.53930695</v>
      </c>
      <c r="K160" s="2">
        <v>9365217.482376695</v>
      </c>
      <c r="L160" s="2">
        <v>3475492.230531285</v>
      </c>
      <c r="M160" s="2">
        <v>16801861.34902772</v>
      </c>
      <c r="N160" s="3">
        <v>3</v>
      </c>
      <c r="O160" s="3">
        <v>5.5</v>
      </c>
      <c r="P160" s="2">
        <v>425874.7769009538</v>
      </c>
      <c r="Q160" s="2">
        <v>1395694.441264367</v>
      </c>
      <c r="R160" s="2">
        <v>367133.4283628912</v>
      </c>
      <c r="S160" s="2">
        <v>411189.4397664382</v>
      </c>
      <c r="T160" s="2">
        <v>7261899.213017988</v>
      </c>
      <c r="U160" s="2">
        <f>M160+P160+Q160+R160+S160+T160</f>
        <v>26663652.648340356</v>
      </c>
      <c r="V160" s="2">
        <f>F160-K160-L160-U160</f>
        <v>-5383524.516456615</v>
      </c>
      <c r="W160" s="2">
        <v>0</v>
      </c>
      <c r="X160" s="2">
        <v>0</v>
      </c>
      <c r="Y160" s="2">
        <f>W160+X160</f>
        <v>0</v>
      </c>
      <c r="Z160" s="2">
        <v>3.37604433298111E-09</v>
      </c>
      <c r="AA160" s="2">
        <v>0</v>
      </c>
      <c r="AB160" s="2">
        <v>0</v>
      </c>
      <c r="AC160" s="2">
        <v>0</v>
      </c>
      <c r="AD160" s="2">
        <v>448018.3401631704</v>
      </c>
      <c r="AE160" s="2">
        <v>2688110.040979024</v>
      </c>
      <c r="AF160" s="2">
        <f>F160-H160-L160-U160-AA160-AC160-AD160</f>
        <v>-10772874.599395987</v>
      </c>
      <c r="AG160" s="2">
        <f>F160-H160-L160-U160-AA160-AB160-AD160-Y160</f>
        <v>-10772874.599395987</v>
      </c>
      <c r="AH160" s="2">
        <f>AH159+AG160</f>
        <v>998535741.403804</v>
      </c>
      <c r="AI160" s="2">
        <v>81219133.54502106</v>
      </c>
      <c r="AJ160" s="2">
        <f>AH160-AI160</f>
        <v>917316607.8587829</v>
      </c>
      <c r="AK160" s="3">
        <v>0.25</v>
      </c>
    </row>
    <row r="161" spans="1:37">
      <c r="A161" s="2">
        <v>160</v>
      </c>
      <c r="B161" s="2">
        <v>2040</v>
      </c>
      <c r="C161" s="2">
        <v>99</v>
      </c>
      <c r="D161" s="2">
        <v>513972.1143709132</v>
      </c>
      <c r="E161" s="2">
        <v>50883239.3227204</v>
      </c>
      <c r="F161" s="2">
        <f>E161/1.19</f>
        <v>42759024.640941516</v>
      </c>
      <c r="G161" s="2">
        <v>140</v>
      </c>
      <c r="H161" s="2">
        <v>16690974.09601171</v>
      </c>
      <c r="I161" s="2">
        <v>262</v>
      </c>
      <c r="J161" s="2">
        <v>31127830.72701798</v>
      </c>
      <c r="K161" s="2">
        <v>11762042.90830068</v>
      </c>
      <c r="L161" s="2">
        <v>4357434.424590304</v>
      </c>
      <c r="M161" s="2">
        <v>16801861.34902772</v>
      </c>
      <c r="N161" s="3">
        <v>3</v>
      </c>
      <c r="O161" s="3">
        <v>5.5</v>
      </c>
      <c r="P161" s="2">
        <v>425874.7769009538</v>
      </c>
      <c r="Q161" s="2">
        <v>1395694.441264367</v>
      </c>
      <c r="R161" s="2">
        <v>367133.4283628912</v>
      </c>
      <c r="S161" s="2">
        <v>411189.4397664382</v>
      </c>
      <c r="T161" s="2">
        <v>7261899.213017988</v>
      </c>
      <c r="U161" s="2">
        <f>M161+P161+Q161+R161+S161+T161</f>
        <v>26663652.648340356</v>
      </c>
      <c r="V161" s="2">
        <f>F161-K161-L161-U161</f>
        <v>-24105.340289827436</v>
      </c>
      <c r="W161" s="2">
        <v>0</v>
      </c>
      <c r="X161" s="2">
        <v>0</v>
      </c>
      <c r="Y161" s="2">
        <f>W161+X161</f>
        <v>0</v>
      </c>
      <c r="Z161" s="2">
        <v>3.37604433298111E-09</v>
      </c>
      <c r="AA161" s="2">
        <v>0</v>
      </c>
      <c r="AB161" s="2">
        <v>0</v>
      </c>
      <c r="AC161" s="2">
        <v>0</v>
      </c>
      <c r="AD161" s="2">
        <v>448018.3401631704</v>
      </c>
      <c r="AE161" s="2">
        <v>3136128.381142194</v>
      </c>
      <c r="AF161" s="2">
        <f>F161-H161-L161-U161-AA161-AC161-AD161</f>
        <v>-5401054.868164028</v>
      </c>
      <c r="AG161" s="2">
        <f>F161-H161-L161-U161-AA161-AB161-AD161-Y161</f>
        <v>-5401054.868164028</v>
      </c>
      <c r="AH161" s="2">
        <f>AH160+AG161</f>
        <v>993134686.5356399</v>
      </c>
      <c r="AI161" s="2">
        <v>81219133.54502106</v>
      </c>
      <c r="AJ161" s="2">
        <f>AH161-AI161</f>
        <v>911915552.9906188</v>
      </c>
      <c r="AK161" s="3">
        <v>0.25</v>
      </c>
    </row>
    <row r="162" spans="1:37">
      <c r="A162" s="2">
        <v>161</v>
      </c>
      <c r="B162" s="2">
        <v>2040</v>
      </c>
      <c r="C162" s="2">
        <v>119</v>
      </c>
      <c r="D162" s="2">
        <v>513972.1143709132</v>
      </c>
      <c r="E162" s="2">
        <v>61162681.61013867</v>
      </c>
      <c r="F162" s="2">
        <f>E162/1.19</f>
        <v>51397211.43709132</v>
      </c>
      <c r="G162" s="2">
        <v>160</v>
      </c>
      <c r="H162" s="2">
        <v>19075398.96687053</v>
      </c>
      <c r="I162" s="2">
        <v>303</v>
      </c>
      <c r="J162" s="2">
        <v>36046394.78020905</v>
      </c>
      <c r="K162" s="2">
        <v>14156834.91367946</v>
      </c>
      <c r="L162" s="2">
        <v>5239213.945005707</v>
      </c>
      <c r="M162" s="2">
        <v>16801861.34902772</v>
      </c>
      <c r="N162" s="3">
        <v>3</v>
      </c>
      <c r="O162" s="3">
        <v>5.5</v>
      </c>
      <c r="P162" s="2">
        <v>425874.7769009538</v>
      </c>
      <c r="Q162" s="2">
        <v>1395694.441264367</v>
      </c>
      <c r="R162" s="2">
        <v>367133.4283628912</v>
      </c>
      <c r="S162" s="2">
        <v>411189.4397664382</v>
      </c>
      <c r="T162" s="2">
        <v>7261899.213017988</v>
      </c>
      <c r="U162" s="2">
        <f>M162+P162+Q162+R162+S162+T162</f>
        <v>26663652.648340356</v>
      </c>
      <c r="V162" s="2">
        <f>F162-K162-L162-U162</f>
        <v>5337509.9300657995</v>
      </c>
      <c r="W162" s="2">
        <v>0</v>
      </c>
      <c r="X162" s="2">
        <v>0</v>
      </c>
      <c r="Y162" s="2">
        <f>W162+X162</f>
        <v>0</v>
      </c>
      <c r="Z162" s="2">
        <v>3.37604433298111E-09</v>
      </c>
      <c r="AA162" s="2">
        <v>0</v>
      </c>
      <c r="AB162" s="2">
        <v>0</v>
      </c>
      <c r="AC162" s="2">
        <v>0</v>
      </c>
      <c r="AD162" s="2">
        <v>448018.3401631713</v>
      </c>
      <c r="AE162" s="2">
        <v>3584146.721305366</v>
      </c>
      <c r="AF162" s="2">
        <f>F162-H162-L162-U162-AA162-AC162-AD162</f>
        <v>-29072.4632884413</v>
      </c>
      <c r="AG162" s="2">
        <f>F162-H162-L162-U162-AA162-AB162-AD162-Y162</f>
        <v>-29072.4632884413</v>
      </c>
      <c r="AH162" s="2">
        <f>AH161+AG162</f>
        <v>993105614.0723515</v>
      </c>
      <c r="AI162" s="2">
        <v>81219133.54502106</v>
      </c>
      <c r="AJ162" s="2">
        <f>AH162-AI162</f>
        <v>911886480.5273304</v>
      </c>
      <c r="AK162" s="3">
        <v>0.25</v>
      </c>
    </row>
    <row r="163" spans="1:37">
      <c r="A163" s="2">
        <v>162</v>
      </c>
      <c r="B163" s="2">
        <v>2040</v>
      </c>
      <c r="C163" s="2">
        <v>138</v>
      </c>
      <c r="D163" s="2">
        <v>513972.1143709132</v>
      </c>
      <c r="E163" s="2">
        <v>70928151.78318602</v>
      </c>
      <c r="F163" s="2">
        <f>E163/1.19</f>
        <v>59603488.89343363</v>
      </c>
      <c r="G163" s="2">
        <v>200</v>
      </c>
      <c r="H163" s="2">
        <v>23844248.70858816</v>
      </c>
      <c r="I163" s="2">
        <v>365</v>
      </c>
      <c r="J163" s="2">
        <v>43459413.26721865</v>
      </c>
      <c r="K163" s="2">
        <v>16431230.22157856</v>
      </c>
      <c r="L163" s="2">
        <v>6076851.921623481</v>
      </c>
      <c r="M163" s="2">
        <v>16801861.34902772</v>
      </c>
      <c r="N163" s="3">
        <v>3</v>
      </c>
      <c r="O163" s="3">
        <v>5.5</v>
      </c>
      <c r="P163" s="2">
        <v>425874.7769009538</v>
      </c>
      <c r="Q163" s="2">
        <v>1395694.441264367</v>
      </c>
      <c r="R163" s="2">
        <v>367133.4283628912</v>
      </c>
      <c r="S163" s="2">
        <v>411189.4397664382</v>
      </c>
      <c r="T163" s="2">
        <v>7261899.213017988</v>
      </c>
      <c r="U163" s="2">
        <f>M163+P163+Q163+R163+S163+T163</f>
        <v>26663652.648340356</v>
      </c>
      <c r="V163" s="2">
        <f>F163-K163-L163-U163</f>
        <v>10431754.10189123</v>
      </c>
      <c r="W163" s="2">
        <v>0</v>
      </c>
      <c r="X163" s="2">
        <v>0</v>
      </c>
      <c r="Y163" s="2">
        <f>W163+X163</f>
        <v>0</v>
      </c>
      <c r="Z163" s="2">
        <v>3.37604433298111E-09</v>
      </c>
      <c r="AA163" s="2">
        <v>0</v>
      </c>
      <c r="AB163" s="2">
        <v>0</v>
      </c>
      <c r="AC163" s="2">
        <v>0</v>
      </c>
      <c r="AD163" s="2">
        <v>896036.6803263417</v>
      </c>
      <c r="AE163" s="2">
        <v>4480183.401631707</v>
      </c>
      <c r="AF163" s="2">
        <f>F163-H163-L163-U163-AA163-AC163-AD163</f>
        <v>2122698.9345552893</v>
      </c>
      <c r="AG163" s="2">
        <f>F163-H163-L163-U163-AA163-AB163-AD163-Y163</f>
        <v>2122698.9345552893</v>
      </c>
      <c r="AH163" s="2">
        <f>AH162+AG163</f>
        <v>995228313.0069067</v>
      </c>
      <c r="AI163" s="2">
        <v>81219133.54502106</v>
      </c>
      <c r="AJ163" s="2">
        <f>AH163-AI163</f>
        <v>914009179.4618857</v>
      </c>
      <c r="AK163" s="3">
        <v>0.25</v>
      </c>
    </row>
    <row r="164" spans="1:37">
      <c r="A164" s="2">
        <v>163</v>
      </c>
      <c r="B164" s="2">
        <v>2040</v>
      </c>
      <c r="C164" s="2">
        <v>158</v>
      </c>
      <c r="D164" s="2">
        <v>513972.1143709132</v>
      </c>
      <c r="E164" s="2">
        <v>81207594.07060428</v>
      </c>
      <c r="F164" s="2">
        <f>E164/1.19</f>
        <v>68241675.68958344</v>
      </c>
      <c r="G164" s="2">
        <v>210</v>
      </c>
      <c r="H164" s="2">
        <v>25036461.14401757</v>
      </c>
      <c r="I164" s="2">
        <v>417</v>
      </c>
      <c r="J164" s="2">
        <v>49674399.35562696</v>
      </c>
      <c r="K164" s="2">
        <v>18821475.05560926</v>
      </c>
      <c r="L164" s="2">
        <v>6958267.668331038</v>
      </c>
      <c r="M164" s="2">
        <v>16801861.34902772</v>
      </c>
      <c r="N164" s="3">
        <v>3</v>
      </c>
      <c r="O164" s="3">
        <v>5.5</v>
      </c>
      <c r="P164" s="2">
        <v>425874.7769009538</v>
      </c>
      <c r="Q164" s="2">
        <v>1395694.441264367</v>
      </c>
      <c r="R164" s="2">
        <v>367133.4283628912</v>
      </c>
      <c r="S164" s="2">
        <v>411189.4397664382</v>
      </c>
      <c r="T164" s="2">
        <v>7261899.213017988</v>
      </c>
      <c r="U164" s="2">
        <f>M164+P164+Q164+R164+S164+T164</f>
        <v>26663652.648340356</v>
      </c>
      <c r="V164" s="2">
        <f>F164-K164-L164-U164</f>
        <v>15798280.317302782</v>
      </c>
      <c r="W164" s="2">
        <v>0</v>
      </c>
      <c r="X164" s="2">
        <v>0</v>
      </c>
      <c r="Y164" s="2">
        <f>W164+X164</f>
        <v>0</v>
      </c>
      <c r="Z164" s="2">
        <v>3.37604433298111E-09</v>
      </c>
      <c r="AA164" s="2">
        <v>0</v>
      </c>
      <c r="AB164" s="2">
        <v>0</v>
      </c>
      <c r="AC164" s="2">
        <v>0</v>
      </c>
      <c r="AD164" s="2">
        <v>224009.1700815847</v>
      </c>
      <c r="AE164" s="2">
        <v>4704192.571713292</v>
      </c>
      <c r="AF164" s="2">
        <f>F164-H164-L164-U164-AA164-AC164-AD164</f>
        <v>9359285.05881289</v>
      </c>
      <c r="AG164" s="2">
        <f>F164-H164-L164-U164-AA164-AB164-AD164-Y164</f>
        <v>9359285.05881289</v>
      </c>
      <c r="AH164" s="2">
        <f>AH163+AG164</f>
        <v>1004587598.0657196</v>
      </c>
      <c r="AI164" s="2">
        <v>81219133.54502106</v>
      </c>
      <c r="AJ164" s="2">
        <f>AH164-AI164</f>
        <v>923368464.5206985</v>
      </c>
      <c r="AK164" s="3">
        <v>0.25</v>
      </c>
    </row>
    <row r="165" spans="1:37">
      <c r="A165" s="2">
        <v>164</v>
      </c>
      <c r="B165" s="2">
        <v>2040</v>
      </c>
      <c r="C165" s="2">
        <v>198</v>
      </c>
      <c r="D165" s="2">
        <v>513972.1143709132</v>
      </c>
      <c r="E165" s="2">
        <v>101766478.6454408</v>
      </c>
      <c r="F165" s="2">
        <f>E165/1.19</f>
        <v>85518049.28188303</v>
      </c>
      <c r="G165" s="2">
        <v>260</v>
      </c>
      <c r="H165" s="2">
        <v>30997523.3211646</v>
      </c>
      <c r="I165" s="2">
        <v>479</v>
      </c>
      <c r="J165" s="2">
        <v>57078066.41385992</v>
      </c>
      <c r="K165" s="2">
        <v>23593856.26293165</v>
      </c>
      <c r="L165" s="2">
        <v>8720450.484887032</v>
      </c>
      <c r="M165" s="2">
        <v>16801861.34902772</v>
      </c>
      <c r="N165" s="3">
        <v>3</v>
      </c>
      <c r="O165" s="3">
        <v>5.5</v>
      </c>
      <c r="P165" s="2">
        <v>425874.7769009538</v>
      </c>
      <c r="Q165" s="2">
        <v>1395694.441264367</v>
      </c>
      <c r="R165" s="2">
        <v>367133.4283628912</v>
      </c>
      <c r="S165" s="2">
        <v>411189.4397664382</v>
      </c>
      <c r="T165" s="2">
        <v>7261899.213017988</v>
      </c>
      <c r="U165" s="2">
        <f>M165+P165+Q165+R165+S165+T165</f>
        <v>26663652.648340356</v>
      </c>
      <c r="V165" s="2">
        <f>F165-K165-L165-U165</f>
        <v>26540089.88572399</v>
      </c>
      <c r="W165" s="2">
        <v>0</v>
      </c>
      <c r="X165" s="2">
        <v>0</v>
      </c>
      <c r="Y165" s="2">
        <f>W165+X165</f>
        <v>0</v>
      </c>
      <c r="Z165" s="2">
        <v>3.37604433298111E-09</v>
      </c>
      <c r="AA165" s="2">
        <v>0</v>
      </c>
      <c r="AB165" s="2">
        <v>0</v>
      </c>
      <c r="AC165" s="2">
        <v>0</v>
      </c>
      <c r="AD165" s="2">
        <v>1120045.850407926</v>
      </c>
      <c r="AE165" s="2">
        <v>5824238.422121218</v>
      </c>
      <c r="AF165" s="2">
        <f>F165-H165-L165-U165-AA165-AC165-AD165</f>
        <v>18016376.97708311</v>
      </c>
      <c r="AG165" s="2">
        <f>F165-H165-L165-U165-AA165-AB165-AD165-Y165</f>
        <v>18016376.97708311</v>
      </c>
      <c r="AH165" s="2">
        <f>AH164+AG165</f>
        <v>1022603975.0428027</v>
      </c>
      <c r="AI165" s="2">
        <v>81219133.54502106</v>
      </c>
      <c r="AJ165" s="2">
        <f>AH165-AI165</f>
        <v>941384841.4977816</v>
      </c>
      <c r="AK165" s="3">
        <v>0.25</v>
      </c>
    </row>
    <row r="166" spans="1:37">
      <c r="A166" s="2">
        <v>165</v>
      </c>
      <c r="B166" s="2">
        <v>2040</v>
      </c>
      <c r="C166" s="2">
        <v>218</v>
      </c>
      <c r="D166" s="2">
        <v>513972.1143709132</v>
      </c>
      <c r="E166" s="2">
        <v>112045920.9328591</v>
      </c>
      <c r="F166" s="2">
        <f>E166/1.19</f>
        <v>94156236.07803284</v>
      </c>
      <c r="G166" s="2">
        <v>280</v>
      </c>
      <c r="H166" s="2">
        <v>33381948.19202342</v>
      </c>
      <c r="I166" s="2">
        <v>541</v>
      </c>
      <c r="J166" s="2">
        <v>64478086.82711843</v>
      </c>
      <c r="K166" s="2">
        <v>25981927.77876491</v>
      </c>
      <c r="L166" s="2">
        <v>9601692.366138794</v>
      </c>
      <c r="M166" s="2">
        <v>16801861.34902772</v>
      </c>
      <c r="N166" s="3">
        <v>3</v>
      </c>
      <c r="O166" s="3">
        <v>5.5</v>
      </c>
      <c r="P166" s="2">
        <v>425874.7769009538</v>
      </c>
      <c r="Q166" s="2">
        <v>1395694.441264367</v>
      </c>
      <c r="R166" s="2">
        <v>367133.4283628912</v>
      </c>
      <c r="S166" s="2">
        <v>411189.4397664382</v>
      </c>
      <c r="T166" s="2">
        <v>7261899.213017988</v>
      </c>
      <c r="U166" s="2">
        <f>M166+P166+Q166+R166+S166+T166</f>
        <v>26663652.648340356</v>
      </c>
      <c r="V166" s="2">
        <f>F166-K166-L166-U166</f>
        <v>31908963.28478877</v>
      </c>
      <c r="W166" s="2">
        <v>0</v>
      </c>
      <c r="X166" s="2">
        <v>0</v>
      </c>
      <c r="Y166" s="2">
        <f>W166+X166</f>
        <v>0</v>
      </c>
      <c r="Z166" s="2">
        <v>3.37604433298111E-09</v>
      </c>
      <c r="AA166" s="2">
        <v>0</v>
      </c>
      <c r="AB166" s="2">
        <v>0</v>
      </c>
      <c r="AC166" s="2">
        <v>0</v>
      </c>
      <c r="AD166" s="2">
        <v>448018.3401631704</v>
      </c>
      <c r="AE166" s="2">
        <v>6272256.762284389</v>
      </c>
      <c r="AF166" s="2">
        <f>F166-H166-L166-U166-AA166-AC166-AD166</f>
        <v>24060924.53136709</v>
      </c>
      <c r="AG166" s="2">
        <f>F166-H166-L166-U166-AA166-AB166-AD166-Y166</f>
        <v>24060924.53136709</v>
      </c>
      <c r="AH166" s="2">
        <f>AH165+AG166</f>
        <v>1046664899.5741698</v>
      </c>
      <c r="AI166" s="2">
        <v>81219133.54502106</v>
      </c>
      <c r="AJ166" s="2">
        <f>AH166-AI166</f>
        <v>965445766.0291487</v>
      </c>
      <c r="AK166" s="3">
        <v>0.25</v>
      </c>
    </row>
    <row r="167" spans="1:37">
      <c r="A167" s="2">
        <v>166</v>
      </c>
      <c r="B167" s="2">
        <v>2040</v>
      </c>
      <c r="C167" s="2">
        <v>257</v>
      </c>
      <c r="D167" s="2">
        <v>513972.1143709132</v>
      </c>
      <c r="E167" s="2">
        <v>132090833.3933247</v>
      </c>
      <c r="F167" s="2">
        <f>E167/1.19</f>
        <v>111000700.33052495</v>
      </c>
      <c r="G167" s="2">
        <v>330</v>
      </c>
      <c r="H167" s="2">
        <v>39343010.36917046</v>
      </c>
      <c r="I167" s="2">
        <v>614</v>
      </c>
      <c r="J167" s="2">
        <v>73187317.65616691</v>
      </c>
      <c r="K167" s="2">
        <v>30633779.54012198</v>
      </c>
      <c r="L167" s="2">
        <v>11319723.01901831</v>
      </c>
      <c r="M167" s="2">
        <v>16801861.34902772</v>
      </c>
      <c r="N167" s="3">
        <v>3</v>
      </c>
      <c r="O167" s="3">
        <v>5.5</v>
      </c>
      <c r="P167" s="2">
        <v>425874.7769009538</v>
      </c>
      <c r="Q167" s="2">
        <v>1395694.441264367</v>
      </c>
      <c r="R167" s="2">
        <v>367133.4283628912</v>
      </c>
      <c r="S167" s="2">
        <v>411189.4397664382</v>
      </c>
      <c r="T167" s="2">
        <v>7261899.213017988</v>
      </c>
      <c r="U167" s="2">
        <f>M167+P167+Q167+R167+S167+T167</f>
        <v>26663652.648340356</v>
      </c>
      <c r="V167" s="2">
        <f>F167-K167-L167-U167</f>
        <v>42383545.12304431</v>
      </c>
      <c r="W167" s="2">
        <v>0</v>
      </c>
      <c r="X167" s="2">
        <v>0</v>
      </c>
      <c r="Y167" s="2">
        <f>W167+X167</f>
        <v>0</v>
      </c>
      <c r="Z167" s="2">
        <v>3.37604433298111E-09</v>
      </c>
      <c r="AA167" s="2">
        <v>0</v>
      </c>
      <c r="AB167" s="2">
        <v>0</v>
      </c>
      <c r="AC167" s="2">
        <v>0</v>
      </c>
      <c r="AD167" s="2">
        <v>1120045.850407928</v>
      </c>
      <c r="AE167" s="2">
        <v>7392302.612692317</v>
      </c>
      <c r="AF167" s="2">
        <f>F167-H167-L167-U167-AA167-AC167-AD167</f>
        <v>32554268.4435879</v>
      </c>
      <c r="AG167" s="2">
        <f>F167-H167-L167-U167-AA167-AB167-AD167-Y167</f>
        <v>32554268.4435879</v>
      </c>
      <c r="AH167" s="2">
        <f>AH166+AG167</f>
        <v>1079219168.0177577</v>
      </c>
      <c r="AI167" s="2">
        <v>81219133.54502106</v>
      </c>
      <c r="AJ167" s="2">
        <f>AH167-AI167</f>
        <v>998000034.4727366</v>
      </c>
      <c r="AK167" s="3">
        <v>0.25</v>
      </c>
    </row>
    <row r="168" spans="1:37">
      <c r="A168" s="2">
        <v>167</v>
      </c>
      <c r="B168" s="2">
        <v>2040</v>
      </c>
      <c r="C168" s="2">
        <v>277</v>
      </c>
      <c r="D168" s="2">
        <v>513972.1143709132</v>
      </c>
      <c r="E168" s="2">
        <v>142370275.6807429</v>
      </c>
      <c r="F168" s="2">
        <f>E168/1.19</f>
        <v>119638887.12667476</v>
      </c>
      <c r="G168" s="2">
        <v>50</v>
      </c>
      <c r="H168" s="2">
        <v>5961062.17714704</v>
      </c>
      <c r="I168" s="2">
        <v>387</v>
      </c>
      <c r="J168" s="2">
        <v>46130155.11369352</v>
      </c>
      <c r="K168" s="2">
        <v>33018224.71962043</v>
      </c>
      <c r="L168" s="2">
        <v>12200674.79336328</v>
      </c>
      <c r="M168" s="2">
        <v>16801861.34902772</v>
      </c>
      <c r="N168" s="3">
        <v>3</v>
      </c>
      <c r="O168" s="3">
        <v>5.5</v>
      </c>
      <c r="P168" s="2">
        <v>425874.7769009538</v>
      </c>
      <c r="Q168" s="2">
        <v>1395694.441264367</v>
      </c>
      <c r="R168" s="2">
        <v>367133.4283628912</v>
      </c>
      <c r="S168" s="2">
        <v>411189.4397664382</v>
      </c>
      <c r="T168" s="2">
        <v>7261899.213017988</v>
      </c>
      <c r="U168" s="2">
        <f>M168+P168+Q168+R168+S168+T168</f>
        <v>26663652.648340356</v>
      </c>
      <c r="V168" s="2">
        <f>F168-K168-L168-U168</f>
        <v>47756334.96535067</v>
      </c>
      <c r="W168" s="2">
        <v>0</v>
      </c>
      <c r="X168" s="2">
        <v>0</v>
      </c>
      <c r="Y168" s="2">
        <f>W168+X168</f>
        <v>0</v>
      </c>
      <c r="Z168" s="2">
        <v>3.37604433298111E-09</v>
      </c>
      <c r="AA168" s="2">
        <v>0</v>
      </c>
      <c r="AB168" s="2">
        <v>0</v>
      </c>
      <c r="AC168" s="2">
        <v>0</v>
      </c>
      <c r="AD168" s="2">
        <v>-6272256.762284391</v>
      </c>
      <c r="AE168" s="2">
        <v>1120045.850407927</v>
      </c>
      <c r="AF168" s="2">
        <f>F168-H168-L168-U168-AA168-AC168-AD168</f>
        <v>81085754.27010846</v>
      </c>
      <c r="AG168" s="2">
        <f>F168-H168-L168-U168-AA168-AB168-AD168-Y168</f>
        <v>81085754.27010846</v>
      </c>
      <c r="AH168" s="2">
        <f>AH167+AG168</f>
        <v>1160304922.287866</v>
      </c>
      <c r="AI168" s="2">
        <v>81219133.54502106</v>
      </c>
      <c r="AJ168" s="2">
        <f>AH168-AI168</f>
        <v>1079085788.742845</v>
      </c>
      <c r="AK168" s="3">
        <v>0.25</v>
      </c>
    </row>
    <row r="169" spans="1:37">
      <c r="A169" s="2">
        <v>168</v>
      </c>
      <c r="B169" s="2">
        <v>2040</v>
      </c>
      <c r="C169" s="2">
        <v>336</v>
      </c>
      <c r="D169" s="2">
        <v>513972.1143709132</v>
      </c>
      <c r="E169" s="2">
        <v>172694630.4286268</v>
      </c>
      <c r="F169" s="2">
        <f>E169/1.19</f>
        <v>145121538.17531666</v>
      </c>
      <c r="G169" s="2">
        <v>60</v>
      </c>
      <c r="H169" s="2">
        <v>7153274.612576447</v>
      </c>
      <c r="I169" s="2">
        <v>111</v>
      </c>
      <c r="J169" s="2">
        <v>13231455.70383885</v>
      </c>
      <c r="K169" s="2">
        <v>40051974.02243112</v>
      </c>
      <c r="L169" s="2">
        <v>14799453.40954418</v>
      </c>
      <c r="M169" s="2">
        <v>16801861.34902772</v>
      </c>
      <c r="N169" s="3">
        <v>3</v>
      </c>
      <c r="O169" s="3">
        <v>5.5</v>
      </c>
      <c r="P169" s="2">
        <v>425874.7769009538</v>
      </c>
      <c r="Q169" s="2">
        <v>1395694.441264367</v>
      </c>
      <c r="R169" s="2">
        <v>367133.4283628912</v>
      </c>
      <c r="S169" s="2">
        <v>411189.4397664382</v>
      </c>
      <c r="T169" s="2">
        <v>7261899.213017988</v>
      </c>
      <c r="U169" s="2">
        <f>M169+P169+Q169+R169+S169+T169</f>
        <v>26663652.648340356</v>
      </c>
      <c r="V169" s="2">
        <f>F169-K169-L169-U169</f>
        <v>63606458.095001</v>
      </c>
      <c r="W169" s="2">
        <v>0</v>
      </c>
      <c r="X169" s="2">
        <v>0</v>
      </c>
      <c r="Y169" s="2">
        <f>W169+X169</f>
        <v>0</v>
      </c>
      <c r="Z169" s="2">
        <v>3.37604433298111E-09</v>
      </c>
      <c r="AA169" s="2">
        <v>0</v>
      </c>
      <c r="AB169" s="2">
        <v>52501024.06963822</v>
      </c>
      <c r="AC169" s="2">
        <v>52501024.06963822</v>
      </c>
      <c r="AD169" s="2">
        <v>224009.1700815852</v>
      </c>
      <c r="AE169" s="2">
        <v>1344055.020489512</v>
      </c>
      <c r="AF169" s="2">
        <f>F169-H169-L169-U169-AA169-AC169-AD169</f>
        <v>43780124.265135854</v>
      </c>
      <c r="AG169" s="2">
        <f>F169-H169-L169-U169-AA169-AB169-AD169-Y169</f>
        <v>43780124.265135854</v>
      </c>
      <c r="AH169" s="2">
        <f>AH168+AG169</f>
        <v>1204085046.5530019</v>
      </c>
      <c r="AI169" s="2">
        <v>81219133.54502106</v>
      </c>
      <c r="AJ169" s="2">
        <f>AH169-AI169</f>
        <v>1122865913.0079808</v>
      </c>
      <c r="AK169" s="3">
        <v>0.25</v>
      </c>
    </row>
    <row r="170" spans="1:37">
      <c r="A170" s="2">
        <v>169</v>
      </c>
      <c r="B170" s="2">
        <v>2041</v>
      </c>
      <c r="C170" s="2">
        <v>42</v>
      </c>
      <c r="D170" s="2">
        <v>529391.2778020406</v>
      </c>
      <c r="E170" s="2">
        <v>22234433.66768571</v>
      </c>
      <c r="F170" s="2">
        <f>E170/1.19</f>
        <v>18684398.040072024</v>
      </c>
      <c r="G170" s="2">
        <v>80</v>
      </c>
      <c r="H170" s="2">
        <v>9823830.467938323</v>
      </c>
      <c r="I170" s="2">
        <v>149</v>
      </c>
      <c r="J170" s="2">
        <v>17985537.38007748</v>
      </c>
      <c r="K170" s="2">
        <v>5069748.791699692</v>
      </c>
      <c r="L170" s="2">
        <v>1898474.197383749</v>
      </c>
      <c r="M170" s="2">
        <v>17305917.18949855</v>
      </c>
      <c r="N170" s="3">
        <v>3</v>
      </c>
      <c r="O170" s="3">
        <v>5.5</v>
      </c>
      <c r="P170" s="2">
        <v>438651.0202079825</v>
      </c>
      <c r="Q170" s="2">
        <v>1497993.23401026</v>
      </c>
      <c r="R170" s="2">
        <v>378147.431213778</v>
      </c>
      <c r="S170" s="2">
        <v>423525.1229594313</v>
      </c>
      <c r="T170" s="2">
        <v>7854122.146310168</v>
      </c>
      <c r="U170" s="2">
        <f>M170+P170+Q170+R170+S170+T170</f>
        <v>27898356.14420017</v>
      </c>
      <c r="V170" s="2">
        <f>F170-K170-L170-U170</f>
        <v>-16182181.093211586</v>
      </c>
      <c r="W170" s="2">
        <v>0</v>
      </c>
      <c r="X170" s="2">
        <v>0</v>
      </c>
      <c r="Y170" s="2">
        <f>W170+X170</f>
        <v>0</v>
      </c>
      <c r="Z170" s="2">
        <v>3.37604433298111E-09</v>
      </c>
      <c r="AA170" s="2">
        <v>0</v>
      </c>
      <c r="AB170" s="2">
        <v>0</v>
      </c>
      <c r="AC170" s="2">
        <v>0</v>
      </c>
      <c r="AD170" s="2">
        <v>501780.5409827514</v>
      </c>
      <c r="AE170" s="2">
        <v>1845835.561472263</v>
      </c>
      <c r="AF170" s="2">
        <f>F170-H170-L170-U170-AA170-AC170-AD170</f>
        <v>-21438043.31043297</v>
      </c>
      <c r="AG170" s="2">
        <f>F170-H170-L170-U170-AA170-AB170-AD170-Y170</f>
        <v>-21438043.31043297</v>
      </c>
      <c r="AH170" s="2">
        <f>AH169+AG170</f>
        <v>1182647003.242569</v>
      </c>
      <c r="AI170" s="2">
        <v>84923244.03260049</v>
      </c>
      <c r="AJ170" s="2">
        <f>AH170-AI170</f>
        <v>1097723759.2099686</v>
      </c>
      <c r="AK170" s="3">
        <v>0.25</v>
      </c>
    </row>
    <row r="171" spans="1:37">
      <c r="A171" s="2">
        <v>170</v>
      </c>
      <c r="B171" s="2">
        <v>2041</v>
      </c>
      <c r="C171" s="2">
        <v>62</v>
      </c>
      <c r="D171" s="2">
        <v>529391.2778020406</v>
      </c>
      <c r="E171" s="2">
        <v>32822259.22372652</v>
      </c>
      <c r="F171" s="2">
        <f>E171/1.19</f>
        <v>27581730.440106317</v>
      </c>
      <c r="G171" s="2">
        <v>100</v>
      </c>
      <c r="H171" s="2">
        <v>12279788.0849229</v>
      </c>
      <c r="I171" s="2">
        <v>187</v>
      </c>
      <c r="J171" s="2">
        <v>22729380.97170711</v>
      </c>
      <c r="K171" s="2">
        <v>7535944.493293268</v>
      </c>
      <c r="L171" s="2">
        <v>2806671.898295889</v>
      </c>
      <c r="M171" s="2">
        <v>17305917.18949855</v>
      </c>
      <c r="N171" s="3">
        <v>3</v>
      </c>
      <c r="O171" s="3">
        <v>5.5</v>
      </c>
      <c r="P171" s="2">
        <v>438651.0202079825</v>
      </c>
      <c r="Q171" s="2">
        <v>1497993.23401026</v>
      </c>
      <c r="R171" s="2">
        <v>378147.431213778</v>
      </c>
      <c r="S171" s="2">
        <v>423525.1229594313</v>
      </c>
      <c r="T171" s="2">
        <v>7854122.146310168</v>
      </c>
      <c r="U171" s="2">
        <f>M171+P171+Q171+R171+S171+T171</f>
        <v>27898356.14420017</v>
      </c>
      <c r="V171" s="2">
        <f>F171-K171-L171-U171</f>
        <v>-10659242.095683008</v>
      </c>
      <c r="W171" s="2">
        <v>0</v>
      </c>
      <c r="X171" s="2">
        <v>0</v>
      </c>
      <c r="Y171" s="2">
        <f>W171+X171</f>
        <v>0</v>
      </c>
      <c r="Z171" s="2">
        <v>3.37604433298111E-09</v>
      </c>
      <c r="AA171" s="2">
        <v>0</v>
      </c>
      <c r="AB171" s="2">
        <v>0</v>
      </c>
      <c r="AC171" s="2">
        <v>0</v>
      </c>
      <c r="AD171" s="2">
        <v>461458.890368066</v>
      </c>
      <c r="AE171" s="2">
        <v>2307294.451840329</v>
      </c>
      <c r="AF171" s="2">
        <f>F171-H171-L171-U171-AA171-AC171-AD171</f>
        <v>-15864544.57768071</v>
      </c>
      <c r="AG171" s="2">
        <f>F171-H171-L171-U171-AA171-AB171-AD171-Y171</f>
        <v>-15864544.57768071</v>
      </c>
      <c r="AH171" s="2">
        <f>AH170+AG171</f>
        <v>1166782458.6648881</v>
      </c>
      <c r="AI171" s="2">
        <v>84923244.03260049</v>
      </c>
      <c r="AJ171" s="2">
        <f>AH171-AI171</f>
        <v>1081859214.6322877</v>
      </c>
      <c r="AK171" s="3">
        <v>0.25</v>
      </c>
    </row>
    <row r="172" spans="1:37">
      <c r="A172" s="2">
        <v>171</v>
      </c>
      <c r="B172" s="2">
        <v>2041</v>
      </c>
      <c r="C172" s="2">
        <v>83</v>
      </c>
      <c r="D172" s="2">
        <v>529391.2778020406</v>
      </c>
      <c r="E172" s="2">
        <v>43939476.05756937</v>
      </c>
      <c r="F172" s="2">
        <f>E172/1.19</f>
        <v>36923929.46014233</v>
      </c>
      <c r="G172" s="2">
        <v>130</v>
      </c>
      <c r="H172" s="2">
        <v>15963724.51039977</v>
      </c>
      <c r="I172" s="2">
        <v>234</v>
      </c>
      <c r="J172" s="2">
        <v>28562103.1003565</v>
      </c>
      <c r="K172" s="2">
        <v>10131002.38175038</v>
      </c>
      <c r="L172" s="2">
        <v>3760723.676396345</v>
      </c>
      <c r="M172" s="2">
        <v>17305917.18949855</v>
      </c>
      <c r="N172" s="3">
        <v>3</v>
      </c>
      <c r="O172" s="3">
        <v>5.5</v>
      </c>
      <c r="P172" s="2">
        <v>438651.0202079825</v>
      </c>
      <c r="Q172" s="2">
        <v>1497993.23401026</v>
      </c>
      <c r="R172" s="2">
        <v>378147.431213778</v>
      </c>
      <c r="S172" s="2">
        <v>423525.1229594313</v>
      </c>
      <c r="T172" s="2">
        <v>7854122.146310168</v>
      </c>
      <c r="U172" s="2">
        <f>M172+P172+Q172+R172+S172+T172</f>
        <v>27898356.14420017</v>
      </c>
      <c r="V172" s="2">
        <f>F172-K172-L172-U172</f>
        <v>-4866152.742204566</v>
      </c>
      <c r="W172" s="2">
        <v>0</v>
      </c>
      <c r="X172" s="2">
        <v>0</v>
      </c>
      <c r="Y172" s="2">
        <f>W172+X172</f>
        <v>0</v>
      </c>
      <c r="Z172" s="2">
        <v>3.37604433298111E-09</v>
      </c>
      <c r="AA172" s="2">
        <v>0</v>
      </c>
      <c r="AB172" s="2">
        <v>0</v>
      </c>
      <c r="AC172" s="2">
        <v>0</v>
      </c>
      <c r="AD172" s="2">
        <v>692188.3355520982</v>
      </c>
      <c r="AE172" s="2">
        <v>2999482.787392428</v>
      </c>
      <c r="AF172" s="2">
        <f>F172-H172-L172-U172-AA172-AC172-AD172</f>
        <v>-11391063.206406055</v>
      </c>
      <c r="AG172" s="2">
        <f>F172-H172-L172-U172-AA172-AB172-AD172-Y172</f>
        <v>-11391063.206406055</v>
      </c>
      <c r="AH172" s="2">
        <f>AH171+AG172</f>
        <v>1155391395.458482</v>
      </c>
      <c r="AI172" s="2">
        <v>84923244.03260049</v>
      </c>
      <c r="AJ172" s="2">
        <f>AH172-AI172</f>
        <v>1070468151.4258815</v>
      </c>
      <c r="AK172" s="3">
        <v>0.25</v>
      </c>
    </row>
    <row r="173" spans="1:37">
      <c r="A173" s="2">
        <v>172</v>
      </c>
      <c r="B173" s="2">
        <v>2041</v>
      </c>
      <c r="C173" s="2">
        <v>104</v>
      </c>
      <c r="D173" s="2">
        <v>529391.2778020406</v>
      </c>
      <c r="E173" s="2">
        <v>55056692.89141222</v>
      </c>
      <c r="F173" s="2">
        <f>E173/1.19</f>
        <v>46266128.48017834</v>
      </c>
      <c r="G173" s="2">
        <v>140</v>
      </c>
      <c r="H173" s="2">
        <v>17191703.31889207</v>
      </c>
      <c r="I173" s="2">
        <v>270</v>
      </c>
      <c r="J173" s="2">
        <v>33030822.81603506</v>
      </c>
      <c r="K173" s="2">
        <v>12722983.60321351</v>
      </c>
      <c r="L173" s="2">
        <v>4714529.321137281</v>
      </c>
      <c r="M173" s="2">
        <v>17305917.18949855</v>
      </c>
      <c r="N173" s="3">
        <v>3</v>
      </c>
      <c r="O173" s="3">
        <v>5.5</v>
      </c>
      <c r="P173" s="2">
        <v>438651.0202079825</v>
      </c>
      <c r="Q173" s="2">
        <v>1497993.23401026</v>
      </c>
      <c r="R173" s="2">
        <v>378147.431213778</v>
      </c>
      <c r="S173" s="2">
        <v>423525.1229594313</v>
      </c>
      <c r="T173" s="2">
        <v>7854122.146310168</v>
      </c>
      <c r="U173" s="2">
        <f>M173+P173+Q173+R173+S173+T173</f>
        <v>27898356.14420017</v>
      </c>
      <c r="V173" s="2">
        <f>F173-K173-L173-U173</f>
        <v>930259.4116273895</v>
      </c>
      <c r="W173" s="2">
        <v>0</v>
      </c>
      <c r="X173" s="2">
        <v>0</v>
      </c>
      <c r="Y173" s="2">
        <f>W173+X173</f>
        <v>0</v>
      </c>
      <c r="Z173" s="2">
        <v>3.37604433298111E-09</v>
      </c>
      <c r="AA173" s="2">
        <v>0</v>
      </c>
      <c r="AB173" s="2">
        <v>0</v>
      </c>
      <c r="AC173" s="2">
        <v>0</v>
      </c>
      <c r="AD173" s="2">
        <v>230729.4451840334</v>
      </c>
      <c r="AE173" s="2">
        <v>3230212.232576461</v>
      </c>
      <c r="AF173" s="2">
        <f>F173-H173-L173-U173-AA173-AC173-AD173</f>
        <v>-3769189.749235209</v>
      </c>
      <c r="AG173" s="2">
        <f>F173-H173-L173-U173-AA173-AB173-AD173-Y173</f>
        <v>-3769189.749235209</v>
      </c>
      <c r="AH173" s="2">
        <f>AH172+AG173</f>
        <v>1151622205.7092469</v>
      </c>
      <c r="AI173" s="2">
        <v>84923244.03260049</v>
      </c>
      <c r="AJ173" s="2">
        <f>AH173-AI173</f>
        <v>1066698961.6766464</v>
      </c>
      <c r="AK173" s="3">
        <v>0.25</v>
      </c>
    </row>
    <row r="174" spans="1:37">
      <c r="A174" s="2">
        <v>173</v>
      </c>
      <c r="B174" s="2">
        <v>2041</v>
      </c>
      <c r="C174" s="2">
        <v>125</v>
      </c>
      <c r="D174" s="2">
        <v>529391.2778020406</v>
      </c>
      <c r="E174" s="2">
        <v>66173909.72525508</v>
      </c>
      <c r="F174" s="2">
        <f>E174/1.19</f>
        <v>55608327.50021435</v>
      </c>
      <c r="G174" s="2">
        <v>170</v>
      </c>
      <c r="H174" s="2">
        <v>20875639.74436894</v>
      </c>
      <c r="I174" s="2">
        <v>315</v>
      </c>
      <c r="J174" s="2">
        <v>38592126.60574377</v>
      </c>
      <c r="K174" s="2">
        <v>15314335.95466023</v>
      </c>
      <c r="L174" s="2">
        <v>5668284.656276906</v>
      </c>
      <c r="M174" s="2">
        <v>17305917.18949855</v>
      </c>
      <c r="N174" s="3">
        <v>3</v>
      </c>
      <c r="O174" s="3">
        <v>5.5</v>
      </c>
      <c r="P174" s="2">
        <v>438651.0202079825</v>
      </c>
      <c r="Q174" s="2">
        <v>1497993.23401026</v>
      </c>
      <c r="R174" s="2">
        <v>378147.431213778</v>
      </c>
      <c r="S174" s="2">
        <v>423525.1229594313</v>
      </c>
      <c r="T174" s="2">
        <v>7854122.146310168</v>
      </c>
      <c r="U174" s="2">
        <f>M174+P174+Q174+R174+S174+T174</f>
        <v>27898356.14420017</v>
      </c>
      <c r="V174" s="2">
        <f>F174-K174-L174-U174</f>
        <v>6727350.745077051</v>
      </c>
      <c r="W174" s="2">
        <v>0</v>
      </c>
      <c r="X174" s="2">
        <v>0</v>
      </c>
      <c r="Y174" s="2">
        <f>W174+X174</f>
        <v>0</v>
      </c>
      <c r="Z174" s="2">
        <v>3.37604433298111E-09</v>
      </c>
      <c r="AA174" s="2">
        <v>0</v>
      </c>
      <c r="AB174" s="2">
        <v>0</v>
      </c>
      <c r="AC174" s="2">
        <v>0</v>
      </c>
      <c r="AD174" s="2">
        <v>692188.3355520987</v>
      </c>
      <c r="AE174" s="2">
        <v>3922400.56812856</v>
      </c>
      <c r="AF174" s="2">
        <f>F174-H174-L174-U174-AA174-AC174-AD174</f>
        <v>473858.6198162413</v>
      </c>
      <c r="AG174" s="2">
        <f>F174-H174-L174-U174-AA174-AB174-AD174-Y174</f>
        <v>473858.6198162413</v>
      </c>
      <c r="AH174" s="2">
        <f>AH173+AG174</f>
        <v>1152096064.3290632</v>
      </c>
      <c r="AI174" s="2">
        <v>84923244.03260049</v>
      </c>
      <c r="AJ174" s="2">
        <f>AH174-AI174</f>
        <v>1067172820.2964627</v>
      </c>
      <c r="AK174" s="3">
        <v>0.25</v>
      </c>
    </row>
    <row r="175" spans="1:37">
      <c r="A175" s="2">
        <v>174</v>
      </c>
      <c r="B175" s="2">
        <v>2041</v>
      </c>
      <c r="C175" s="2">
        <v>145</v>
      </c>
      <c r="D175" s="2">
        <v>529391.2778020406</v>
      </c>
      <c r="E175" s="2">
        <v>76761735.2812959</v>
      </c>
      <c r="F175" s="2">
        <f>E175/1.19</f>
        <v>64505659.900248654</v>
      </c>
      <c r="G175" s="2">
        <v>210</v>
      </c>
      <c r="H175" s="2">
        <v>25787554.9783381</v>
      </c>
      <c r="I175" s="2">
        <v>380</v>
      </c>
      <c r="J175" s="2">
        <v>46598626.67038307</v>
      </c>
      <c r="K175" s="2">
        <v>17781054.9136988</v>
      </c>
      <c r="L175" s="2">
        <v>6576524.217784647</v>
      </c>
      <c r="M175" s="2">
        <v>17305917.18949855</v>
      </c>
      <c r="N175" s="3">
        <v>3</v>
      </c>
      <c r="O175" s="3">
        <v>5.5</v>
      </c>
      <c r="P175" s="2">
        <v>438651.0202079825</v>
      </c>
      <c r="Q175" s="2">
        <v>1497993.23401026</v>
      </c>
      <c r="R175" s="2">
        <v>378147.431213778</v>
      </c>
      <c r="S175" s="2">
        <v>423525.1229594313</v>
      </c>
      <c r="T175" s="2">
        <v>7854122.146310168</v>
      </c>
      <c r="U175" s="2">
        <f>M175+P175+Q175+R175+S175+T175</f>
        <v>27898356.14420017</v>
      </c>
      <c r="V175" s="2">
        <f>F175-K175-L175-U175</f>
        <v>12249724.624565043</v>
      </c>
      <c r="W175" s="2">
        <v>0</v>
      </c>
      <c r="X175" s="2">
        <v>0</v>
      </c>
      <c r="Y175" s="2">
        <f>W175+X175</f>
        <v>0</v>
      </c>
      <c r="Z175" s="2">
        <v>3.37604433298111E-09</v>
      </c>
      <c r="AA175" s="2">
        <v>0</v>
      </c>
      <c r="AB175" s="2">
        <v>0</v>
      </c>
      <c r="AC175" s="2">
        <v>0</v>
      </c>
      <c r="AD175" s="2">
        <v>922917.7807361325</v>
      </c>
      <c r="AE175" s="2">
        <v>4845318.348864692</v>
      </c>
      <c r="AF175" s="2">
        <f>F175-H175-L175-U175-AA175-AC175-AD175</f>
        <v>3320306.779189606</v>
      </c>
      <c r="AG175" s="2">
        <f>F175-H175-L175-U175-AA175-AB175-AD175-Y175</f>
        <v>3320306.779189606</v>
      </c>
      <c r="AH175" s="2">
        <f>AH174+AG175</f>
        <v>1155416371.1082528</v>
      </c>
      <c r="AI175" s="2">
        <v>84923244.03260049</v>
      </c>
      <c r="AJ175" s="2">
        <f>AH175-AI175</f>
        <v>1070493127.0756522</v>
      </c>
      <c r="AK175" s="3">
        <v>0.25</v>
      </c>
    </row>
    <row r="176" spans="1:37">
      <c r="A176" s="2">
        <v>175</v>
      </c>
      <c r="B176" s="2">
        <v>2041</v>
      </c>
      <c r="C176" s="2">
        <v>166</v>
      </c>
      <c r="D176" s="2">
        <v>529391.2778020406</v>
      </c>
      <c r="E176" s="2">
        <v>87878952.11513874</v>
      </c>
      <c r="F176" s="2">
        <f>E176/1.19</f>
        <v>73847858.92028466</v>
      </c>
      <c r="G176" s="2">
        <v>230</v>
      </c>
      <c r="H176" s="2">
        <v>28243512.59532268</v>
      </c>
      <c r="I176" s="2">
        <v>444</v>
      </c>
      <c r="J176" s="2">
        <v>54475262.02290714</v>
      </c>
      <c r="K176" s="2">
        <v>20366877.24279861</v>
      </c>
      <c r="L176" s="2">
        <v>7529837.151136518</v>
      </c>
      <c r="M176" s="2">
        <v>17305917.18949855</v>
      </c>
      <c r="N176" s="3">
        <v>3</v>
      </c>
      <c r="O176" s="3">
        <v>5.5</v>
      </c>
      <c r="P176" s="2">
        <v>438651.0202079825</v>
      </c>
      <c r="Q176" s="2">
        <v>1497993.23401026</v>
      </c>
      <c r="R176" s="2">
        <v>378147.431213778</v>
      </c>
      <c r="S176" s="2">
        <v>423525.1229594313</v>
      </c>
      <c r="T176" s="2">
        <v>7854122.146310168</v>
      </c>
      <c r="U176" s="2">
        <f>M176+P176+Q176+R176+S176+T176</f>
        <v>27898356.14420017</v>
      </c>
      <c r="V176" s="2">
        <f>F176-K176-L176-U176</f>
        <v>18052788.38214936</v>
      </c>
      <c r="W176" s="2">
        <v>0</v>
      </c>
      <c r="X176" s="2">
        <v>0</v>
      </c>
      <c r="Y176" s="2">
        <f>W176+X176</f>
        <v>0</v>
      </c>
      <c r="Z176" s="2">
        <v>3.37604433298111E-09</v>
      </c>
      <c r="AA176" s="2">
        <v>0</v>
      </c>
      <c r="AB176" s="2">
        <v>0</v>
      </c>
      <c r="AC176" s="2">
        <v>0</v>
      </c>
      <c r="AD176" s="2">
        <v>461458.8903680658</v>
      </c>
      <c r="AE176" s="2">
        <v>5306777.239232758</v>
      </c>
      <c r="AF176" s="2">
        <f>F176-H176-L176-U176-AA176-AC176-AD176</f>
        <v>9714694.139257222</v>
      </c>
      <c r="AG176" s="2">
        <f>F176-H176-L176-U176-AA176-AB176-AD176-Y176</f>
        <v>9714694.139257222</v>
      </c>
      <c r="AH176" s="2">
        <f>AH175+AG176</f>
        <v>1165131065.24751</v>
      </c>
      <c r="AI176" s="2">
        <v>84923244.03260049</v>
      </c>
      <c r="AJ176" s="2">
        <f>AH176-AI176</f>
        <v>1080207821.2149096</v>
      </c>
      <c r="AK176" s="3">
        <v>0.25</v>
      </c>
    </row>
    <row r="177" spans="1:37">
      <c r="A177" s="2">
        <v>176</v>
      </c>
      <c r="B177" s="2">
        <v>2041</v>
      </c>
      <c r="C177" s="2">
        <v>208</v>
      </c>
      <c r="D177" s="2">
        <v>529391.2778020406</v>
      </c>
      <c r="E177" s="2">
        <v>110113385.7828244</v>
      </c>
      <c r="F177" s="2">
        <f>E177/1.19</f>
        <v>92532256.96035668</v>
      </c>
      <c r="G177" s="2">
        <v>270</v>
      </c>
      <c r="H177" s="2">
        <v>33155427.82929184</v>
      </c>
      <c r="I177" s="2">
        <v>506</v>
      </c>
      <c r="J177" s="2">
        <v>62102421.65996175</v>
      </c>
      <c r="K177" s="2">
        <v>25528268.19223724</v>
      </c>
      <c r="L177" s="2">
        <v>9435642.721139383</v>
      </c>
      <c r="M177" s="2">
        <v>17305917.18949855</v>
      </c>
      <c r="N177" s="3">
        <v>3</v>
      </c>
      <c r="O177" s="3">
        <v>5.5</v>
      </c>
      <c r="P177" s="2">
        <v>438651.0202079825</v>
      </c>
      <c r="Q177" s="2">
        <v>1497993.23401026</v>
      </c>
      <c r="R177" s="2">
        <v>378147.431213778</v>
      </c>
      <c r="S177" s="2">
        <v>423525.1229594313</v>
      </c>
      <c r="T177" s="2">
        <v>7854122.146310168</v>
      </c>
      <c r="U177" s="2">
        <f>M177+P177+Q177+R177+S177+T177</f>
        <v>27898356.14420017</v>
      </c>
      <c r="V177" s="2">
        <f>F177-K177-L177-U177</f>
        <v>29669989.9027799</v>
      </c>
      <c r="W177" s="2">
        <v>0</v>
      </c>
      <c r="X177" s="2">
        <v>0</v>
      </c>
      <c r="Y177" s="2">
        <f>W177+X177</f>
        <v>0</v>
      </c>
      <c r="Z177" s="2">
        <v>3.37604433298111E-09</v>
      </c>
      <c r="AA177" s="2">
        <v>0</v>
      </c>
      <c r="AB177" s="2">
        <v>0</v>
      </c>
      <c r="AC177" s="2">
        <v>0</v>
      </c>
      <c r="AD177" s="2">
        <v>922917.7807361316</v>
      </c>
      <c r="AE177" s="2">
        <v>6229695.01996889</v>
      </c>
      <c r="AF177" s="2">
        <f>F177-H177-L177-U177-AA177-AC177-AD177</f>
        <v>21119912.48498916</v>
      </c>
      <c r="AG177" s="2">
        <f>F177-H177-L177-U177-AA177-AB177-AD177-Y177</f>
        <v>21119912.48498916</v>
      </c>
      <c r="AH177" s="2">
        <f>AH176+AG177</f>
        <v>1186250977.7324991</v>
      </c>
      <c r="AI177" s="2">
        <v>84923244.03260049</v>
      </c>
      <c r="AJ177" s="2">
        <f>AH177-AI177</f>
        <v>1101327733.6998987</v>
      </c>
      <c r="AK177" s="3">
        <v>0.25</v>
      </c>
    </row>
    <row r="178" spans="1:37">
      <c r="A178" s="2">
        <v>177</v>
      </c>
      <c r="B178" s="2">
        <v>2041</v>
      </c>
      <c r="C178" s="2">
        <v>228</v>
      </c>
      <c r="D178" s="2">
        <v>529391.2778020406</v>
      </c>
      <c r="E178" s="2">
        <v>120701211.3388653</v>
      </c>
      <c r="F178" s="2">
        <f>E178/1.19</f>
        <v>101429589.36039099</v>
      </c>
      <c r="G178" s="2">
        <v>290</v>
      </c>
      <c r="H178" s="2">
        <v>35611385.44627642</v>
      </c>
      <c r="I178" s="2">
        <v>568</v>
      </c>
      <c r="J178" s="2">
        <v>69725430.19641116</v>
      </c>
      <c r="K178" s="2">
        <v>27988376.90982701</v>
      </c>
      <c r="L178" s="2">
        <v>10343353.46333122</v>
      </c>
      <c r="M178" s="2">
        <v>17305917.18949855</v>
      </c>
      <c r="N178" s="3">
        <v>3</v>
      </c>
      <c r="O178" s="3">
        <v>5.5</v>
      </c>
      <c r="P178" s="2">
        <v>438651.0202079825</v>
      </c>
      <c r="Q178" s="2">
        <v>1497993.23401026</v>
      </c>
      <c r="R178" s="2">
        <v>378147.431213778</v>
      </c>
      <c r="S178" s="2">
        <v>423525.1229594313</v>
      </c>
      <c r="T178" s="2">
        <v>7854122.146310168</v>
      </c>
      <c r="U178" s="2">
        <f>M178+P178+Q178+R178+S178+T178</f>
        <v>27898356.14420017</v>
      </c>
      <c r="V178" s="2">
        <f>F178-K178-L178-U178</f>
        <v>35199502.8430326</v>
      </c>
      <c r="W178" s="2">
        <v>0</v>
      </c>
      <c r="X178" s="2">
        <v>0</v>
      </c>
      <c r="Y178" s="2">
        <f>W178+X178</f>
        <v>0</v>
      </c>
      <c r="Z178" s="2">
        <v>3.37604433298111E-09</v>
      </c>
      <c r="AA178" s="2">
        <v>0</v>
      </c>
      <c r="AB178" s="2">
        <v>0</v>
      </c>
      <c r="AC178" s="2">
        <v>0</v>
      </c>
      <c r="AD178" s="2">
        <v>461458.8903680658</v>
      </c>
      <c r="AE178" s="2">
        <v>6691153.910336955</v>
      </c>
      <c r="AF178" s="2">
        <f>F178-H178-L178-U178-AA178-AC178-AD178</f>
        <v>27115035.41621512</v>
      </c>
      <c r="AG178" s="2">
        <f>F178-H178-L178-U178-AA178-AB178-AD178-Y178</f>
        <v>27115035.41621512</v>
      </c>
      <c r="AH178" s="2">
        <f>AH177+AG178</f>
        <v>1213366013.1487143</v>
      </c>
      <c r="AI178" s="2">
        <v>84923244.03260049</v>
      </c>
      <c r="AJ178" s="2">
        <f>AH178-AI178</f>
        <v>1128442769.116114</v>
      </c>
      <c r="AK178" s="3">
        <v>0.25</v>
      </c>
    </row>
    <row r="179" spans="1:37">
      <c r="A179" s="2">
        <v>178</v>
      </c>
      <c r="B179" s="2">
        <v>2041</v>
      </c>
      <c r="C179" s="2">
        <v>270</v>
      </c>
      <c r="D179" s="2">
        <v>529391.2778020406</v>
      </c>
      <c r="E179" s="2">
        <v>142935645.006551</v>
      </c>
      <c r="F179" s="2">
        <f>E179/1.19</f>
        <v>120113987.400463</v>
      </c>
      <c r="G179" s="2">
        <v>350</v>
      </c>
      <c r="H179" s="2">
        <v>42979258.29723016</v>
      </c>
      <c r="I179" s="2">
        <v>648</v>
      </c>
      <c r="J179" s="2">
        <v>79556250.70139387</v>
      </c>
      <c r="K179" s="2">
        <v>33148437.79224744</v>
      </c>
      <c r="L179" s="2">
        <v>12249052.62797263</v>
      </c>
      <c r="M179" s="2">
        <v>17305917.18949855</v>
      </c>
      <c r="N179" s="3">
        <v>3</v>
      </c>
      <c r="O179" s="3">
        <v>5.5</v>
      </c>
      <c r="P179" s="2">
        <v>438651.0202079825</v>
      </c>
      <c r="Q179" s="2">
        <v>1497993.23401026</v>
      </c>
      <c r="R179" s="2">
        <v>378147.431213778</v>
      </c>
      <c r="S179" s="2">
        <v>423525.1229594313</v>
      </c>
      <c r="T179" s="2">
        <v>7854122.146310168</v>
      </c>
      <c r="U179" s="2">
        <f>M179+P179+Q179+R179+S179+T179</f>
        <v>27898356.14420017</v>
      </c>
      <c r="V179" s="2">
        <f>F179-K179-L179-U179</f>
        <v>46818140.83604277</v>
      </c>
      <c r="W179" s="2">
        <v>0</v>
      </c>
      <c r="X179" s="2">
        <v>0</v>
      </c>
      <c r="Y179" s="2">
        <f>W179+X179</f>
        <v>0</v>
      </c>
      <c r="Z179" s="2">
        <v>3.37604433298111E-09</v>
      </c>
      <c r="AA179" s="2">
        <v>0</v>
      </c>
      <c r="AB179" s="2">
        <v>0</v>
      </c>
      <c r="AC179" s="2">
        <v>0</v>
      </c>
      <c r="AD179" s="2">
        <v>1384376.671104197</v>
      </c>
      <c r="AE179" s="2">
        <v>8075530.581441153</v>
      </c>
      <c r="AF179" s="2">
        <f>F179-H179-L179-U179-AA179-AC179-AD179</f>
        <v>35602943.65995584</v>
      </c>
      <c r="AG179" s="2">
        <f>F179-H179-L179-U179-AA179-AB179-AD179-Y179</f>
        <v>35602943.65995584</v>
      </c>
      <c r="AH179" s="2">
        <f>AH178+AG179</f>
        <v>1248968956.80867</v>
      </c>
      <c r="AI179" s="2">
        <v>84923244.03260049</v>
      </c>
      <c r="AJ179" s="2">
        <f>AH179-AI179</f>
        <v>1164045712.7760696</v>
      </c>
      <c r="AK179" s="3">
        <v>0.25</v>
      </c>
    </row>
    <row r="180" spans="1:37">
      <c r="A180" s="2">
        <v>179</v>
      </c>
      <c r="B180" s="2">
        <v>2041</v>
      </c>
      <c r="C180" s="2">
        <v>291</v>
      </c>
      <c r="D180" s="2">
        <v>529391.2778020406</v>
      </c>
      <c r="E180" s="2">
        <v>154052861.8403938</v>
      </c>
      <c r="F180" s="2">
        <f>E180/1.19</f>
        <v>129456186.42049901</v>
      </c>
      <c r="G180" s="2">
        <v>0</v>
      </c>
      <c r="H180" s="2">
        <v>0</v>
      </c>
      <c r="I180" s="2">
        <v>357</v>
      </c>
      <c r="J180" s="2">
        <v>43829601.08086051</v>
      </c>
      <c r="K180" s="2">
        <v>35726649.62053336</v>
      </c>
      <c r="L180" s="2">
        <v>13201756.72125939</v>
      </c>
      <c r="M180" s="2">
        <v>17305917.18949855</v>
      </c>
      <c r="N180" s="3">
        <v>3</v>
      </c>
      <c r="O180" s="3">
        <v>5.5</v>
      </c>
      <c r="P180" s="2">
        <v>438651.0202079825</v>
      </c>
      <c r="Q180" s="2">
        <v>1497993.23401026</v>
      </c>
      <c r="R180" s="2">
        <v>378147.431213778</v>
      </c>
      <c r="S180" s="2">
        <v>423525.1229594313</v>
      </c>
      <c r="T180" s="2">
        <v>7854122.146310168</v>
      </c>
      <c r="U180" s="2">
        <f>M180+P180+Q180+R180+S180+T180</f>
        <v>27898356.14420017</v>
      </c>
      <c r="V180" s="2">
        <f>F180-K180-L180-U180</f>
        <v>52629423.934506096</v>
      </c>
      <c r="W180" s="2">
        <v>0</v>
      </c>
      <c r="X180" s="2">
        <v>0</v>
      </c>
      <c r="Y180" s="2">
        <f>W180+X180</f>
        <v>0</v>
      </c>
      <c r="Z180" s="2">
        <v>3.37604433298111E-09</v>
      </c>
      <c r="AA180" s="2">
        <v>0</v>
      </c>
      <c r="AB180" s="2">
        <v>0</v>
      </c>
      <c r="AC180" s="2">
        <v>0</v>
      </c>
      <c r="AD180" s="2">
        <v>-8075530.581441153</v>
      </c>
      <c r="AE180" s="2">
        <v>0</v>
      </c>
      <c r="AF180" s="2">
        <f>F180-H180-L180-U180-AA180-AC180-AD180</f>
        <v>96431604.13648061</v>
      </c>
      <c r="AG180" s="2">
        <f>F180-H180-L180-U180-AA180-AB180-AD180-Y180</f>
        <v>96431604.13648061</v>
      </c>
      <c r="AH180" s="2">
        <f>AH179+AG180</f>
        <v>1345400560.9451506</v>
      </c>
      <c r="AI180" s="2">
        <v>84923244.03260049</v>
      </c>
      <c r="AJ180" s="2">
        <f>AH180-AI180</f>
        <v>1260477316.9125502</v>
      </c>
      <c r="AK180" s="3">
        <v>0.25</v>
      </c>
    </row>
    <row r="181" spans="1:37">
      <c r="A181" s="2">
        <v>180</v>
      </c>
      <c r="B181" s="2">
        <v>2041</v>
      </c>
      <c r="C181" s="2">
        <v>353</v>
      </c>
      <c r="D181" s="2">
        <v>529391.2778020406</v>
      </c>
      <c r="E181" s="2">
        <v>186875121.0641203</v>
      </c>
      <c r="F181" s="2">
        <f>E181/1.19</f>
        <v>157037916.86060533</v>
      </c>
      <c r="G181" s="2">
        <v>0</v>
      </c>
      <c r="H181" s="2">
        <v>0</v>
      </c>
      <c r="I181" s="2">
        <v>4</v>
      </c>
      <c r="J181" s="2">
        <v>491087.9672925547</v>
      </c>
      <c r="K181" s="2">
        <v>43338513.11356796</v>
      </c>
      <c r="L181" s="2">
        <v>16014502.13953458</v>
      </c>
      <c r="M181" s="2">
        <v>17305917.18949855</v>
      </c>
      <c r="N181" s="3">
        <v>3</v>
      </c>
      <c r="O181" s="3">
        <v>5.5</v>
      </c>
      <c r="P181" s="2">
        <v>438651.0202079825</v>
      </c>
      <c r="Q181" s="2">
        <v>1497993.23401026</v>
      </c>
      <c r="R181" s="2">
        <v>378147.431213778</v>
      </c>
      <c r="S181" s="2">
        <v>423525.1229594313</v>
      </c>
      <c r="T181" s="2">
        <v>7854122.146310168</v>
      </c>
      <c r="U181" s="2">
        <f>M181+P181+Q181+R181+S181+T181</f>
        <v>27898356.14420017</v>
      </c>
      <c r="V181" s="2">
        <f>F181-K181-L181-U181</f>
        <v>69786545.46330264</v>
      </c>
      <c r="W181" s="2">
        <v>0</v>
      </c>
      <c r="X181" s="2">
        <v>0</v>
      </c>
      <c r="Y181" s="2">
        <f>W181+X181</f>
        <v>0</v>
      </c>
      <c r="Z181" s="2">
        <v>3.37604433298111E-09</v>
      </c>
      <c r="AA181" s="2">
        <v>0</v>
      </c>
      <c r="AB181" s="2">
        <v>63274129.48713247</v>
      </c>
      <c r="AC181" s="2">
        <v>63274129.48713247</v>
      </c>
      <c r="AD181" s="2">
        <v>0</v>
      </c>
      <c r="AE181" s="2">
        <v>0</v>
      </c>
      <c r="AF181" s="2">
        <f>F181-H181-L181-U181-AA181-AC181-AD181</f>
        <v>49850929.089738086</v>
      </c>
      <c r="AG181" s="2">
        <f>F181-H181-L181-U181-AA181-AB181-AD181-Y181</f>
        <v>49850929.089738086</v>
      </c>
      <c r="AH181" s="2">
        <f>AH180+AG181</f>
        <v>1395251490.0348887</v>
      </c>
      <c r="AI181" s="2">
        <v>84923244.03260049</v>
      </c>
      <c r="AJ181" s="2">
        <f>AH181-AI181</f>
        <v>1310328246.0022883</v>
      </c>
      <c r="AK181" s="3">
        <v>0.25</v>
      </c>
    </row>
  </sheetData>
  <autoFilter ref="A1:AK18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O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41" width="20.7109375" customWidth="1"/>
  </cols>
  <sheetData>
    <row r="1" spans="1:41" ht="45" customHeight="1">
      <c r="A1" s="1" t="s">
        <v>122</v>
      </c>
      <c r="B1" s="1" t="s">
        <v>123</v>
      </c>
      <c r="C1" s="1" t="s">
        <v>124</v>
      </c>
      <c r="D1" s="1" t="s">
        <v>125</v>
      </c>
      <c r="E1" s="1" t="s">
        <v>126</v>
      </c>
      <c r="F1" s="1" t="s">
        <v>127</v>
      </c>
      <c r="G1" s="1" t="s">
        <v>128</v>
      </c>
      <c r="H1" s="1" t="s">
        <v>129</v>
      </c>
      <c r="I1" s="1" t="s">
        <v>130</v>
      </c>
      <c r="J1" s="1" t="s">
        <v>131</v>
      </c>
      <c r="K1" s="1" t="s">
        <v>132</v>
      </c>
      <c r="L1" s="1" t="s">
        <v>133</v>
      </c>
      <c r="M1" s="1" t="s">
        <v>134</v>
      </c>
      <c r="N1" s="1" t="s">
        <v>135</v>
      </c>
      <c r="O1" s="1" t="s">
        <v>136</v>
      </c>
      <c r="P1" s="1" t="s">
        <v>137</v>
      </c>
      <c r="Q1" s="1" t="s">
        <v>138</v>
      </c>
      <c r="R1" s="1" t="s">
        <v>139</v>
      </c>
      <c r="S1" s="1" t="s">
        <v>140</v>
      </c>
      <c r="T1" s="1" t="s">
        <v>141</v>
      </c>
      <c r="U1" s="1" t="s">
        <v>142</v>
      </c>
      <c r="V1" s="1" t="s">
        <v>143</v>
      </c>
      <c r="W1" s="1" t="s">
        <v>144</v>
      </c>
      <c r="X1" s="1" t="s">
        <v>145</v>
      </c>
      <c r="Y1" s="1" t="s">
        <v>146</v>
      </c>
      <c r="Z1" s="1" t="s">
        <v>147</v>
      </c>
      <c r="AA1" s="1" t="s">
        <v>148</v>
      </c>
      <c r="AB1" s="1" t="s">
        <v>149</v>
      </c>
      <c r="AC1" s="1" t="s">
        <v>150</v>
      </c>
      <c r="AD1" s="1" t="s">
        <v>151</v>
      </c>
      <c r="AE1" s="1" t="s">
        <v>152</v>
      </c>
      <c r="AF1" s="1" t="s">
        <v>153</v>
      </c>
      <c r="AG1" s="1" t="s">
        <v>154</v>
      </c>
      <c r="AH1" s="1" t="s">
        <v>155</v>
      </c>
      <c r="AI1" s="1" t="s">
        <v>156</v>
      </c>
      <c r="AJ1" s="1" t="s">
        <v>157</v>
      </c>
      <c r="AK1" s="1" t="s">
        <v>158</v>
      </c>
      <c r="AL1" s="1" t="s">
        <v>159</v>
      </c>
      <c r="AM1" s="1" t="s">
        <v>160</v>
      </c>
      <c r="AN1" s="1" t="s">
        <v>161</v>
      </c>
      <c r="AO1" s="1" t="s">
        <v>162</v>
      </c>
    </row>
    <row r="2" spans="1:41">
      <c r="A2" s="2">
        <v>78</v>
      </c>
      <c r="B2" s="2">
        <v>2027</v>
      </c>
      <c r="C2" s="2">
        <f>SUM('Crecimiento_mensual'!C2:C13)</f>
        <v>300</v>
      </c>
      <c r="D2" s="2">
        <v>349990</v>
      </c>
      <c r="E2" s="2">
        <f>SUM('Crecimiento_mensual'!E2:E13)</f>
        <v>104997000.0</v>
      </c>
      <c r="F2" s="2">
        <f>SUM('Crecimiento_mensual'!F2:F13)</f>
        <v>88232773.1092437</v>
      </c>
      <c r="G2" s="2">
        <f>SUM('Crecimiento_mensual'!G2:G13)</f>
        <v>310</v>
      </c>
      <c r="H2" s="2">
        <f>SUM('Crecimiento_mensual'!H2:H13)</f>
        <v>25166998.319327734</v>
      </c>
      <c r="I2" s="2">
        <v>30</v>
      </c>
      <c r="J2" s="2">
        <v>2435515.966386555</v>
      </c>
      <c r="K2" s="2">
        <f>SUM('Crecimiento_mensual'!K2:K13)</f>
        <v>24355159.663865548</v>
      </c>
      <c r="L2" s="2">
        <f>SUM('Crecimiento_mensual'!L2:L13)</f>
        <v>8998262.773109244</v>
      </c>
      <c r="M2" s="2">
        <f>SUM('Crecimiento_mensual'!M2:M13)</f>
        <v>24705000.000000004</v>
      </c>
      <c r="N2" s="3">
        <v>0.5</v>
      </c>
      <c r="O2" s="3">
        <v>0</v>
      </c>
      <c r="P2" s="2">
        <f>SUM('Crecimiento_mensual'!P2:P13)</f>
        <v>1560000.0</v>
      </c>
      <c r="Q2" s="2">
        <f>SUM('Crecimiento_mensual'!Q2:Q13)</f>
        <v>1980000.0</v>
      </c>
      <c r="R2" s="2">
        <f>SUM('Crecimiento_mensual'!R2:R13)</f>
        <v>0</v>
      </c>
      <c r="S2" s="2">
        <f>SUM('Crecimiento_mensual'!S2:S13)</f>
        <v>3360000.0</v>
      </c>
      <c r="T2" s="2">
        <f>SUM('Crecimiento_mensual'!T2:T13)</f>
        <v>9000000.0</v>
      </c>
      <c r="U2" s="2">
        <f>SUM('Crecimiento_mensual'!U2:U13)</f>
        <v>40605000.0</v>
      </c>
      <c r="V2" s="2">
        <f>SUM('Crecimiento_mensual'!V2:V13)</f>
        <v>14274350.672268914</v>
      </c>
      <c r="W2" s="2">
        <f>SUM('Crecimiento_mensual'!W2:W13)</f>
        <v>3439525.7789251655</v>
      </c>
      <c r="X2" s="2">
        <f>SUM('Crecimiento_mensual'!X2:X13)</f>
        <v>1766509.0889551593</v>
      </c>
      <c r="Y2" s="2">
        <f>SUM('Crecimiento_mensual'!Y2:Y13)</f>
        <v>5206034.867880325</v>
      </c>
      <c r="Z2" s="2">
        <v>29233490.91104484</v>
      </c>
      <c r="AA2" s="2">
        <f>SUM('Crecimiento_mensual'!AA2:AA13)</f>
        <v>0</v>
      </c>
      <c r="AB2" s="2">
        <f>SUM('Crecimiento_mensual'!AB2:AB13)</f>
        <v>0.0</v>
      </c>
      <c r="AC2" s="2">
        <f>SUM('Crecimiento_mensual'!AC2:AC13)</f>
        <v>185729.33823529445</v>
      </c>
      <c r="AD2" s="2">
        <f>SUM('Crecimiento_mensual'!AD2:AD13)</f>
        <v>-152539.34453781514</v>
      </c>
      <c r="AE2" s="2">
        <v>152539.3445378151</v>
      </c>
      <c r="AF2" s="2">
        <f>SUM('Crecimiento_mensual'!AF2:AF13)</f>
        <v>13429322.023109248</v>
      </c>
      <c r="AG2" s="2">
        <f>SUM('Crecimiento_mensual'!AG2:AG13)</f>
        <v>8409016.493464217</v>
      </c>
      <c r="AH2" s="2">
        <v>35507260.49346422</v>
      </c>
      <c r="AI2" s="2">
        <v>12680934.31697008</v>
      </c>
      <c r="AJ2" s="2">
        <v>22826326.17649414</v>
      </c>
      <c r="AK2" s="3">
        <v>0.125</v>
      </c>
      <c r="AL2" s="3">
        <v>2.615243982583622</v>
      </c>
      <c r="AM2" s="2">
        <v>3010506.829762032</v>
      </c>
      <c r="AN2" s="2">
        <v>222</v>
      </c>
      <c r="AO2" s="2">
        <v>251</v>
      </c>
    </row>
    <row r="3" spans="1:41">
      <c r="A3" s="2">
        <v>222</v>
      </c>
      <c r="B3" s="2">
        <v>2028</v>
      </c>
      <c r="C3" s="2">
        <f>SUM('Crecimiento_mensual'!C14:C25)</f>
        <v>525</v>
      </c>
      <c r="D3" s="2">
        <v>360489.7</v>
      </c>
      <c r="E3" s="2">
        <f>SUM('Crecimiento_mensual'!E14:E25)</f>
        <v>189257092.5</v>
      </c>
      <c r="F3" s="2">
        <f>SUM('Crecimiento_mensual'!F14:F25)</f>
        <v>159039573.52941176</v>
      </c>
      <c r="G3" s="2">
        <f>SUM('Crecimiento_mensual'!G14:G25)</f>
        <v>540</v>
      </c>
      <c r="H3" s="2">
        <f>SUM('Crecimiento_mensual'!H14:H25)</f>
        <v>45154466.01680673</v>
      </c>
      <c r="I3" s="2">
        <v>45</v>
      </c>
      <c r="J3" s="2">
        <v>3762198.547514003</v>
      </c>
      <c r="K3" s="2">
        <f>SUM('Crecimiento_mensual'!K14:K25)</f>
        <v>43827783.43567928</v>
      </c>
      <c r="L3" s="2">
        <f>SUM('Crecimiento_mensual'!L14:L25)</f>
        <v>16213577.299854344</v>
      </c>
      <c r="M3" s="2">
        <f>SUM('Crecimiento_mensual'!M14:M25)</f>
        <v>35040600.0</v>
      </c>
      <c r="N3" s="3">
        <v>0.5</v>
      </c>
      <c r="O3" s="3">
        <v>0.5</v>
      </c>
      <c r="P3" s="2">
        <f>SUM('Crecimiento_mensual'!P14:P25)</f>
        <v>1730400.0</v>
      </c>
      <c r="Q3" s="2">
        <f>SUM('Crecimiento_mensual'!Q14:Q25)</f>
        <v>2549250.0</v>
      </c>
      <c r="R3" s="2">
        <f>SUM('Crecimiento_mensual'!R14:R25)</f>
        <v>0</v>
      </c>
      <c r="S3" s="2">
        <f>SUM('Crecimiento_mensual'!S14:S25)</f>
        <v>3460800.0</v>
      </c>
      <c r="T3" s="2">
        <f>SUM('Crecimiento_mensual'!T14:T25)</f>
        <v>16222500.0</v>
      </c>
      <c r="U3" s="2">
        <f>SUM('Crecimiento_mensual'!U14:U25)</f>
        <v>59003550.0</v>
      </c>
      <c r="V3" s="2">
        <f>SUM('Crecimiento_mensual'!V14:V25)</f>
        <v>39994662.79387815</v>
      </c>
      <c r="W3" s="2">
        <f>SUM('Crecimiento_mensual'!W14:W25)</f>
        <v>3227544.688250545</v>
      </c>
      <c r="X3" s="2">
        <f>SUM('Crecimiento_mensual'!X14:X25)</f>
        <v>1978490.1796297797</v>
      </c>
      <c r="Y3" s="2">
        <f>SUM('Crecimiento_mensual'!Y14:Y25)</f>
        <v>5206034.867880325</v>
      </c>
      <c r="Z3" s="2">
        <v>27255000.73141507</v>
      </c>
      <c r="AA3" s="2">
        <f>SUM('Crecimiento_mensual'!AA14:AA25)</f>
        <v>0</v>
      </c>
      <c r="AB3" s="2">
        <f>SUM('Crecimiento_mensual'!AB14:AB25)</f>
        <v>5023011.667718603</v>
      </c>
      <c r="AC3" s="2">
        <f>SUM('Crecimiento_mensual'!AC14:AC25)</f>
        <v>5800197.031912605</v>
      </c>
      <c r="AD3" s="2">
        <f>SUM('Crecimiento_mensual'!AD14:AD25)</f>
        <v>318807.2300840336</v>
      </c>
      <c r="AE3" s="2">
        <v>471346.5746218488</v>
      </c>
      <c r="AF3" s="2">
        <f>SUM('Crecimiento_mensual'!AF14:AF25)</f>
        <v>32548975.950754065</v>
      </c>
      <c r="AG3" s="2">
        <f>SUM('Crecimiento_mensual'!AG14:AG25)</f>
        <v>28120126.44706774</v>
      </c>
      <c r="AH3" s="2">
        <v>63627386.94053197</v>
      </c>
      <c r="AI3" s="2">
        <v>17280571.81697008</v>
      </c>
      <c r="AJ3" s="2">
        <v>46346815.12356189</v>
      </c>
      <c r="AK3" s="3">
        <v>0.15</v>
      </c>
      <c r="AL3" s="3">
        <v>6.40144796581377</v>
      </c>
      <c r="AM3" s="2">
        <v>6447989.174395222</v>
      </c>
      <c r="AN3" s="2">
        <v>313</v>
      </c>
      <c r="AO3" s="2">
        <v>341</v>
      </c>
    </row>
    <row r="4" spans="1:41">
      <c r="A4" s="2">
        <v>366</v>
      </c>
      <c r="B4" s="2">
        <v>2029</v>
      </c>
      <c r="C4" s="2">
        <f>SUM('Crecimiento_mensual'!C26:C37)</f>
        <v>750</v>
      </c>
      <c r="D4" s="2">
        <v>371304.391</v>
      </c>
      <c r="E4" s="2">
        <f>SUM('Crecimiento_mensual'!E26:E37)</f>
        <v>278478293.25</v>
      </c>
      <c r="F4" s="2">
        <f>SUM('Crecimiento_mensual'!F26:F37)</f>
        <v>234015372.4789916</v>
      </c>
      <c r="G4" s="2">
        <f>SUM('Crecimiento_mensual'!G26:G37)</f>
        <v>760</v>
      </c>
      <c r="H4" s="2">
        <f>SUM('Crecimiento_mensual'!H26:H37)</f>
        <v>65457251.84806723</v>
      </c>
      <c r="I4" s="2">
        <v>55</v>
      </c>
      <c r="J4" s="2">
        <v>4736118.03810955</v>
      </c>
      <c r="K4" s="2">
        <f>SUM('Crecimiento_mensual'!K26:K37)</f>
        <v>64483332.35747169</v>
      </c>
      <c r="L4" s="2">
        <f>SUM('Crecimiento_mensual'!L26:L37)</f>
        <v>23856631.251097735</v>
      </c>
      <c r="M4" s="2">
        <f>SUM('Crecimiento_mensual'!M26:M37)</f>
        <v>53278398.0</v>
      </c>
      <c r="N4" s="3">
        <v>1</v>
      </c>
      <c r="O4" s="3">
        <v>1</v>
      </c>
      <c r="P4" s="2">
        <f>SUM('Crecimiento_mensual'!P26:P37)</f>
        <v>2036928.0</v>
      </c>
      <c r="Q4" s="2">
        <f>SUM('Crecimiento_mensual'!Q26:Q37)</f>
        <v>3437316.0</v>
      </c>
      <c r="R4" s="2">
        <f>SUM('Crecimiento_mensual'!R26:R37)</f>
        <v>3182700.0</v>
      </c>
      <c r="S4" s="2">
        <f>SUM('Crecimiento_mensual'!S26:S37)</f>
        <v>3564624.0</v>
      </c>
      <c r="T4" s="2">
        <f>SUM('Crecimiento_mensual'!T26:T37)</f>
        <v>23870250.0</v>
      </c>
      <c r="U4" s="2">
        <f>SUM('Crecimiento_mensual'!U26:U37)</f>
        <v>89370216.0</v>
      </c>
      <c r="V4" s="2">
        <f>SUM('Crecimiento_mensual'!V26:V37)</f>
        <v>56305192.870422184</v>
      </c>
      <c r="W4" s="2">
        <f>SUM('Crecimiento_mensual'!W26:W37)</f>
        <v>2990125.8666949696</v>
      </c>
      <c r="X4" s="2">
        <f>SUM('Crecimiento_mensual'!X26:X37)</f>
        <v>2215909.001185355</v>
      </c>
      <c r="Y4" s="2">
        <f>SUM('Crecimiento_mensual'!Y26:Y37)</f>
        <v>5206034.867880325</v>
      </c>
      <c r="Z4" s="2">
        <v>25039091.73022971</v>
      </c>
      <c r="AA4" s="2">
        <f>SUM('Crecimiento_mensual'!AA26:AA37)</f>
        <v>0</v>
      </c>
      <c r="AB4" s="2">
        <f>SUM('Crecimiento_mensual'!AB26:AB37)</f>
        <v>13085286.878282918</v>
      </c>
      <c r="AC4" s="2">
        <f>SUM('Crecimiento_mensual'!AC26:AC37)</f>
        <v>13832818.344956659</v>
      </c>
      <c r="AD4" s="2">
        <f>SUM('Crecimiento_mensual'!AD26:AD37)</f>
        <v>14140.397238655365</v>
      </c>
      <c r="AE4" s="2">
        <v>485486.9718605042</v>
      </c>
      <c r="AF4" s="2">
        <f>SUM('Crecimiento_mensual'!AF26:AF37)</f>
        <v>41484314.63763133</v>
      </c>
      <c r="AG4" s="2">
        <f>SUM('Crecimiento_mensual'!AG26:AG37)</f>
        <v>37025811.23642474</v>
      </c>
      <c r="AH4" s="2">
        <v>100653198.1769567</v>
      </c>
      <c r="AI4" s="2">
        <v>24872238.31697008</v>
      </c>
      <c r="AJ4" s="2">
        <v>75780959.8599866</v>
      </c>
      <c r="AK4" s="3">
        <v>0.25</v>
      </c>
      <c r="AL4" s="3">
        <v>8.112094362806307</v>
      </c>
      <c r="AM4" s="2">
        <v>21973593.30753056</v>
      </c>
      <c r="AN4" s="2">
        <v>461</v>
      </c>
      <c r="AO4" s="2">
        <v>487</v>
      </c>
    </row>
    <row r="5" spans="1:41">
      <c r="A5" s="2">
        <v>510</v>
      </c>
      <c r="B5" s="2">
        <v>2030</v>
      </c>
      <c r="C5" s="2">
        <f>SUM('Crecimiento_mensual'!C38:C49)</f>
        <v>975</v>
      </c>
      <c r="D5" s="2">
        <v>382443.52273</v>
      </c>
      <c r="E5" s="2">
        <f>SUM('Crecimiento_mensual'!E38:E49)</f>
        <v>372882434.66175</v>
      </c>
      <c r="F5" s="2">
        <f>SUM('Crecimiento_mensual'!F38:F49)</f>
        <v>313346583.74936974</v>
      </c>
      <c r="G5" s="2">
        <f>SUM('Crecimiento_mensual'!G38:G49)</f>
        <v>990</v>
      </c>
      <c r="H5" s="2">
        <f>SUM('Crecimiento_mensual'!H38:H49)</f>
        <v>87824683.82825547</v>
      </c>
      <c r="I5" s="2">
        <v>70</v>
      </c>
      <c r="J5" s="2">
        <v>6208705.65505185</v>
      </c>
      <c r="K5" s="2">
        <f>SUM('Crecimiento_mensual'!K38:K49)</f>
        <v>86352096.21131317</v>
      </c>
      <c r="L5" s="2">
        <f>SUM('Crecimiento_mensual'!L38:L49)</f>
        <v>31944742.379992556</v>
      </c>
      <c r="M5" s="2">
        <f>SUM('Crecimiento_mensual'!M38:M49)</f>
        <v>72578927.34</v>
      </c>
      <c r="N5" s="3">
        <v>1.5</v>
      </c>
      <c r="O5" s="3">
        <v>1.5</v>
      </c>
      <c r="P5" s="2">
        <f>SUM('Crecimiento_mensual'!P38:P49)</f>
        <v>2360290.3200000003</v>
      </c>
      <c r="Q5" s="2">
        <f>SUM('Crecimiento_mensual'!Q38:Q49)</f>
        <v>4671407.925000001</v>
      </c>
      <c r="R5" s="2">
        <f>SUM('Crecimiento_mensual'!R38:R49)</f>
        <v>3278181.0</v>
      </c>
      <c r="S5" s="2">
        <f>SUM('Crecimiento_mensual'!S38:S49)</f>
        <v>3671562.7199999997</v>
      </c>
      <c r="T5" s="2">
        <f>SUM('Crecimiento_mensual'!T38:T49)</f>
        <v>31962264.75</v>
      </c>
      <c r="U5" s="2">
        <f>SUM('Crecimiento_mensual'!U38:U49)</f>
        <v>118522634.055</v>
      </c>
      <c r="V5" s="2">
        <f>SUM('Crecimiento_mensual'!V38:V49)</f>
        <v>76527111.10306403</v>
      </c>
      <c r="W5" s="2">
        <f>SUM('Crecimiento_mensual'!W38:W49)</f>
        <v>2724216.786552725</v>
      </c>
      <c r="X5" s="2">
        <f>SUM('Crecimiento_mensual'!X38:X49)</f>
        <v>2481818.0813276</v>
      </c>
      <c r="Y5" s="2">
        <f>SUM('Crecimiento_mensual'!Y38:Y49)</f>
        <v>5206034.867880325</v>
      </c>
      <c r="Z5" s="2">
        <v>22557273.64890211</v>
      </c>
      <c r="AA5" s="2">
        <f>SUM('Crecimiento_mensual'!AA38:AA49)</f>
        <v>1639090.5</v>
      </c>
      <c r="AB5" s="2">
        <f>SUM('Crecimiento_mensual'!AB38:AB49)</f>
        <v>17672804.049892247</v>
      </c>
      <c r="AC5" s="2">
        <f>SUM('Crecimiento_mensual'!AC38:AC49)</f>
        <v>18353858.24653043</v>
      </c>
      <c r="AD5" s="2">
        <f>SUM('Crecimiento_mensual'!AD38:AD49)</f>
        <v>181248.46949458827</v>
      </c>
      <c r="AE5" s="2">
        <v>666735.4413550925</v>
      </c>
      <c r="AF5" s="2">
        <f>SUM('Crecimiento_mensual'!AF38:AF49)</f>
        <v>54880326.2700967</v>
      </c>
      <c r="AG5" s="2">
        <f>SUM('Crecimiento_mensual'!AG38:AG49)</f>
        <v>50355345.59885455</v>
      </c>
      <c r="AH5" s="2">
        <v>151008543.7758112</v>
      </c>
      <c r="AI5" s="2">
        <v>32160342.83072009</v>
      </c>
      <c r="AJ5" s="2">
        <v>118848200.9450911</v>
      </c>
      <c r="AK5" s="3">
        <v>0.25</v>
      </c>
      <c r="AL5" s="3">
        <v>10.67249487888219</v>
      </c>
      <c r="AM5" s="2">
        <v>45301196.66246976</v>
      </c>
      <c r="AN5" s="2">
        <v>593</v>
      </c>
      <c r="AO5" s="2">
        <v>619</v>
      </c>
    </row>
    <row r="6" spans="1:41">
      <c r="A6" s="2">
        <v>654</v>
      </c>
      <c r="B6" s="2">
        <v>2031</v>
      </c>
      <c r="C6" s="2">
        <f>SUM('Crecimiento_mensual'!C50:C61)</f>
        <v>1275</v>
      </c>
      <c r="D6" s="2">
        <v>393916.8284119</v>
      </c>
      <c r="E6" s="2">
        <f>SUM('Crecimiento_mensual'!E50:E61)</f>
        <v>502243956.2251725</v>
      </c>
      <c r="F6" s="2">
        <f>SUM('Crecimiento_mensual'!F50:F61)</f>
        <v>422053744.72703576</v>
      </c>
      <c r="G6" s="2">
        <f>SUM('Crecimiento_mensual'!G50:G61)</f>
        <v>1280</v>
      </c>
      <c r="H6" s="2">
        <f>SUM('Crecimiento_mensual'!H50:H61)</f>
        <v>116957639.55471921</v>
      </c>
      <c r="I6" s="2">
        <v>75</v>
      </c>
      <c r="J6" s="2">
        <v>6851782.369362246</v>
      </c>
      <c r="K6" s="2">
        <f>SUM('Crecimiento_mensual'!K50:K61)</f>
        <v>116314562.84040883</v>
      </c>
      <c r="L6" s="2">
        <f>SUM('Crecimiento_mensual'!L50:L61)</f>
        <v>43027505.234991334</v>
      </c>
      <c r="M6" s="2">
        <f>SUM('Crecimiento_mensual'!M50:M61)</f>
        <v>101650328.17515004</v>
      </c>
      <c r="N6" s="3">
        <v>2</v>
      </c>
      <c r="O6" s="3">
        <v>2.5</v>
      </c>
      <c r="P6" s="2">
        <f>SUM('Crecimiento_mensual'!P50:P61)</f>
        <v>2836282.2012000005</v>
      </c>
      <c r="Q6" s="2">
        <f>SUM('Crecimiento_mensual'!Q50:Q61)</f>
        <v>6330987.05625</v>
      </c>
      <c r="R6" s="2">
        <f>SUM('Crecimiento_mensual'!R50:R61)</f>
        <v>3376526.43</v>
      </c>
      <c r="S6" s="2">
        <f>SUM('Crecimiento_mensual'!S50:S61)</f>
        <v>3781709.6016000006</v>
      </c>
      <c r="T6" s="2">
        <f>SUM('Crecimiento_mensual'!T50:T61)</f>
        <v>43050711.9825</v>
      </c>
      <c r="U6" s="2">
        <f>SUM('Crecimiento_mensual'!U50:U61)</f>
        <v>161026545.44670004</v>
      </c>
      <c r="V6" s="2">
        <f>SUM('Crecimiento_mensual'!V50:V61)</f>
        <v>101685131.20493558</v>
      </c>
      <c r="W6" s="2">
        <f>SUM('Crecimiento_mensual'!W50:W61)</f>
        <v>2426398.6167934104</v>
      </c>
      <c r="X6" s="2">
        <f>SUM('Crecimiento_mensual'!X50:X61)</f>
        <v>2779636.251086914</v>
      </c>
      <c r="Y6" s="2">
        <f>SUM('Crecimiento_mensual'!Y50:Y61)</f>
        <v>5206034.867880325</v>
      </c>
      <c r="Z6" s="2">
        <v>19777637.39781519</v>
      </c>
      <c r="AA6" s="2">
        <f>SUM('Crecimiento_mensual'!AA50:AA61)</f>
        <v>0</v>
      </c>
      <c r="AB6" s="2">
        <f>SUM('Crecimiento_mensual'!AB50:AB61)</f>
        <v>24653913.968457945</v>
      </c>
      <c r="AC6" s="2">
        <f>SUM('Crecimiento_mensual'!AC50:AC61)</f>
        <v>25260513.622656297</v>
      </c>
      <c r="AD6" s="2">
        <f>SUM('Crecimiento_mensual'!AD50:AD61)</f>
        <v>20002.063240652904</v>
      </c>
      <c r="AE6" s="2">
        <v>686737.5045957454</v>
      </c>
      <c r="AF6" s="2">
        <f>SUM('Crecimiento_mensual'!AF50:AF61)</f>
        <v>75761538.80472824</v>
      </c>
      <c r="AG6" s="2">
        <f>SUM('Crecimiento_mensual'!AG50:AG61)</f>
        <v>71162103.59104626</v>
      </c>
      <c r="AH6" s="2">
        <v>222170647.3668575</v>
      </c>
      <c r="AI6" s="2">
        <v>42786320.67864509</v>
      </c>
      <c r="AJ6" s="2">
        <v>179384326.6882124</v>
      </c>
      <c r="AK6" s="3">
        <v>0.25</v>
      </c>
      <c r="AL6" s="3">
        <v>14.66915616145699</v>
      </c>
      <c r="AM6" s="2">
        <v>79297856.75364992</v>
      </c>
      <c r="AN6" s="2">
        <v>782</v>
      </c>
      <c r="AO6" s="2">
        <v>807</v>
      </c>
    </row>
    <row r="7" spans="1:41">
      <c r="A7" s="2">
        <v>798</v>
      </c>
      <c r="B7" s="2">
        <v>2032</v>
      </c>
      <c r="C7" s="2">
        <f>SUM('Crecimiento_mensual'!C62:C73)</f>
        <v>1339</v>
      </c>
      <c r="D7" s="2">
        <v>405734.333264257</v>
      </c>
      <c r="E7" s="2">
        <f>SUM('Crecimiento_mensual'!E62:E73)</f>
        <v>543278272.2408402</v>
      </c>
      <c r="F7" s="2">
        <f>SUM('Crecimiento_mensual'!F62:F73)</f>
        <v>456536363.2275968</v>
      </c>
      <c r="G7" s="2">
        <f>SUM('Crecimiento_mensual'!G62:G73)</f>
        <v>1340</v>
      </c>
      <c r="H7" s="2">
        <f>SUM('Crecimiento_mensual'!H62:H73)</f>
        <v>126113229.77611208</v>
      </c>
      <c r="I7" s="2">
        <v>76</v>
      </c>
      <c r="J7" s="2">
        <v>7151381.823450059</v>
      </c>
      <c r="K7" s="2">
        <f>SUM('Crecimiento_mensual'!K62:K73)</f>
        <v>125813630.32202426</v>
      </c>
      <c r="L7" s="2">
        <f>SUM('Crecimiento_mensual'!L62:L73)</f>
        <v>46542611.95073015</v>
      </c>
      <c r="M7" s="2">
        <f>SUM('Crecimiento_mensual'!M62:M73)</f>
        <v>111742428.021777</v>
      </c>
      <c r="N7" s="3">
        <v>2</v>
      </c>
      <c r="O7" s="3">
        <v>3</v>
      </c>
      <c r="P7" s="2">
        <f>SUM('Crecimiento_mensual'!P62:P73)</f>
        <v>3060483.556152</v>
      </c>
      <c r="Q7" s="2">
        <f>SUM('Crecimiento_mensual'!Q62:Q73)</f>
        <v>7921783.459321621</v>
      </c>
      <c r="R7" s="2">
        <f>SUM('Crecimiento_mensual'!R62:R73)</f>
        <v>3477822.2229</v>
      </c>
      <c r="S7" s="2">
        <f>SUM('Crecimiento_mensual'!S62:S73)</f>
        <v>3895160.889648</v>
      </c>
      <c r="T7" s="2">
        <f>SUM('Crecimiento_mensual'!T62:T73)</f>
        <v>46568039.564631</v>
      </c>
      <c r="U7" s="2">
        <f>SUM('Crecimiento_mensual'!U62:U73)</f>
        <v>176665717.71442962</v>
      </c>
      <c r="V7" s="2">
        <f>SUM('Crecimiento_mensual'!V62:V73)</f>
        <v>107514403.24041277</v>
      </c>
      <c r="W7" s="2">
        <f>SUM('Crecimiento_mensual'!W62:W73)</f>
        <v>2092842.266662978</v>
      </c>
      <c r="X7" s="2">
        <f>SUM('Crecimiento_mensual'!X62:X73)</f>
        <v>3113192.6012173463</v>
      </c>
      <c r="Y7" s="2">
        <f>SUM('Crecimiento_mensual'!Y62:Y73)</f>
        <v>5206034.867880325</v>
      </c>
      <c r="Z7" s="2">
        <v>16664444.79659785</v>
      </c>
      <c r="AA7" s="2">
        <f>SUM('Crecimiento_mensual'!AA62:AA73)</f>
        <v>0</v>
      </c>
      <c r="AB7" s="2">
        <f>SUM('Crecimiento_mensual'!AB62:AB73)</f>
        <v>26280490.37991549</v>
      </c>
      <c r="AC7" s="2">
        <f>SUM('Crecimiento_mensual'!AC62:AC73)</f>
        <v>26803700.946581237</v>
      </c>
      <c r="AD7" s="2">
        <f>SUM('Crecimiento_mensual'!AD62:AD73)</f>
        <v>20602.125137872412</v>
      </c>
      <c r="AE7" s="2">
        <v>707339.6297336177</v>
      </c>
      <c r="AF7" s="2">
        <f>SUM('Crecimiento_mensual'!AF62:AF73)</f>
        <v>80390500.71460582</v>
      </c>
      <c r="AG7" s="2">
        <f>SUM('Crecimiento_mensual'!AG62:AG73)</f>
        <v>75707676.41339125</v>
      </c>
      <c r="AH7" s="2">
        <v>297878323.7802487</v>
      </c>
      <c r="AI7" s="2">
        <v>46696113.74557749</v>
      </c>
      <c r="AJ7" s="2">
        <v>251182210.0346712</v>
      </c>
      <c r="AK7" s="3">
        <v>0.25</v>
      </c>
      <c r="AL7" s="3">
        <v>15.54229146264174</v>
      </c>
      <c r="AM7" s="2">
        <v>142859864.3368231</v>
      </c>
      <c r="AN7" s="2">
        <v>833</v>
      </c>
      <c r="AO7" s="2">
        <v>857</v>
      </c>
    </row>
    <row r="8" spans="1:41">
      <c r="A8" s="2">
        <v>942</v>
      </c>
      <c r="B8" s="2">
        <v>2033</v>
      </c>
      <c r="C8" s="2">
        <f>SUM('Crecimiento_mensual'!C74:C85)</f>
        <v>1406</v>
      </c>
      <c r="D8" s="2">
        <v>417906.3632621848</v>
      </c>
      <c r="E8" s="2">
        <f>SUM('Crecimiento_mensual'!E74:E85)</f>
        <v>587576346.7466317</v>
      </c>
      <c r="F8" s="2">
        <f>SUM('Crecimiento_mensual'!F74:F85)</f>
        <v>493761635.9215393</v>
      </c>
      <c r="G8" s="2">
        <f>SUM('Crecimiento_mensual'!G74:G85)</f>
        <v>1410</v>
      </c>
      <c r="H8" s="2">
        <f>SUM('Crecimiento_mensual'!H74:H85)</f>
        <v>136682271.3461549</v>
      </c>
      <c r="I8" s="2">
        <v>80</v>
      </c>
      <c r="J8" s="2">
        <v>7753680.187836062</v>
      </c>
      <c r="K8" s="2">
        <f>SUM('Crecimiento_mensual'!K74:K85)</f>
        <v>136079972.9817689</v>
      </c>
      <c r="L8" s="2">
        <f>SUM('Crecimiento_mensual'!L74:L85)</f>
        <v>50338240.34939174</v>
      </c>
      <c r="M8" s="2">
        <f>SUM('Crecimiento_mensual'!M74:M85)</f>
        <v>122348568.563844</v>
      </c>
      <c r="N8" s="3">
        <v>2</v>
      </c>
      <c r="O8" s="3">
        <v>3.5</v>
      </c>
      <c r="P8" s="2">
        <f>SUM('Crecimiento_mensual'!P74:P85)</f>
        <v>3295584.3384200404</v>
      </c>
      <c r="Q8" s="2">
        <f>SUM('Crecimiento_mensual'!Q74:Q85)</f>
        <v>9373788.148671262</v>
      </c>
      <c r="R8" s="2">
        <f>SUM('Crecimiento_mensual'!R74:R85)</f>
        <v>3582156.8895870005</v>
      </c>
      <c r="S8" s="2">
        <f>SUM('Crecimiento_mensual'!S74:S85)</f>
        <v>4012015.7163374405</v>
      </c>
      <c r="T8" s="2">
        <f>SUM('Crecimiento_mensual'!T74:T85)</f>
        <v>50365125.86759323</v>
      </c>
      <c r="U8" s="2">
        <f>SUM('Crecimiento_mensual'!U74:U85)</f>
        <v>192977239.52445295</v>
      </c>
      <c r="V8" s="2">
        <f>SUM('Crecimiento_mensual'!V74:V85)</f>
        <v>114366183.0659257</v>
      </c>
      <c r="W8" s="2">
        <f>SUM('Crecimiento_mensual'!W74:W85)</f>
        <v>1719259.1545168934</v>
      </c>
      <c r="X8" s="2">
        <f>SUM('Crecimiento_mensual'!X74:X85)</f>
        <v>3486775.713363431</v>
      </c>
      <c r="Y8" s="2">
        <f>SUM('Crecimiento_mensual'!Y74:Y85)</f>
        <v>5206034.867880324</v>
      </c>
      <c r="Z8" s="2">
        <v>13177669.08323442</v>
      </c>
      <c r="AA8" s="2">
        <f>SUM('Crecimiento_mensual'!AA74:AA85)</f>
        <v>1791078.4447935002</v>
      </c>
      <c r="AB8" s="2">
        <f>SUM('Crecimiento_mensual'!AB74:AB85)</f>
        <v>27563386.775557324</v>
      </c>
      <c r="AC8" s="2">
        <f>SUM('Crecimiento_mensual'!AC74:AC85)</f>
        <v>27993201.56418655</v>
      </c>
      <c r="AD8" s="2">
        <f>SUM('Crecimiento_mensual'!AD74:AD85)</f>
        <v>203360.1435484154</v>
      </c>
      <c r="AE8" s="2">
        <v>910699.7732820329</v>
      </c>
      <c r="AF8" s="2">
        <f>SUM('Crecimiento_mensual'!AF74:AF85)</f>
        <v>83776244.54901123</v>
      </c>
      <c r="AG8" s="2">
        <f>SUM('Crecimiento_mensual'!AG74:AG85)</f>
        <v>79000024.46976013</v>
      </c>
      <c r="AH8" s="2">
        <v>376878348.2500088</v>
      </c>
      <c r="AI8" s="2">
        <v>50773994.19808333</v>
      </c>
      <c r="AJ8" s="2">
        <v>326104354.0519255</v>
      </c>
      <c r="AK8" s="3">
        <v>0.25</v>
      </c>
      <c r="AL8" s="3">
        <v>16.17470137535317</v>
      </c>
      <c r="AM8" s="2">
        <v>209042969.1945128</v>
      </c>
      <c r="AN8" s="2">
        <v>883</v>
      </c>
      <c r="AO8" s="2">
        <v>907</v>
      </c>
    </row>
    <row r="9" spans="1:41">
      <c r="A9" s="2">
        <v>1086</v>
      </c>
      <c r="B9" s="2">
        <v>2034</v>
      </c>
      <c r="C9" s="2">
        <f>SUM('Crecimiento_mensual'!C86:C97)</f>
        <v>1476</v>
      </c>
      <c r="D9" s="2">
        <v>430443.5541600503</v>
      </c>
      <c r="E9" s="2">
        <f>SUM('Crecimiento_mensual'!E86:E97)</f>
        <v>635334685.9402343</v>
      </c>
      <c r="F9" s="2">
        <f>SUM('Crecimiento_mensual'!F86:F97)</f>
        <v>533894694.06742376</v>
      </c>
      <c r="G9" s="2">
        <f>SUM('Crecimiento_mensual'!G86:G97)</f>
        <v>1480</v>
      </c>
      <c r="H9" s="2">
        <f>SUM('Crecimiento_mensual'!H86:H97)</f>
        <v>147771953.50360182</v>
      </c>
      <c r="I9" s="2">
        <v>84</v>
      </c>
      <c r="J9" s="2">
        <v>8385586.576593693</v>
      </c>
      <c r="K9" s="2">
        <f>SUM('Crecimiento_mensual'!K86:K97)</f>
        <v>147140047.1148442</v>
      </c>
      <c r="L9" s="2">
        <f>SUM('Crecimiento_mensual'!L86:L97)</f>
        <v>54429701.018401906</v>
      </c>
      <c r="M9" s="2">
        <f>SUM('Crecimiento_mensual'!M86:M97)</f>
        <v>139965795.25467736</v>
      </c>
      <c r="N9" s="3">
        <v>2.5</v>
      </c>
      <c r="O9" s="3">
        <v>4</v>
      </c>
      <c r="P9" s="2">
        <f>SUM('Crecimiento_mensual'!P86:P97)</f>
        <v>3689621.5962746106</v>
      </c>
      <c r="Q9" s="2">
        <f>SUM('Crecimiento_mensual'!Q86:Q97)</f>
        <v>10674813.202341704</v>
      </c>
      <c r="R9" s="2">
        <f>SUM('Crecimiento_mensual'!R86:R97)</f>
        <v>3689621.5962746106</v>
      </c>
      <c r="S9" s="2">
        <f>SUM('Crecimiento_mensual'!S86:S97)</f>
        <v>4132376.187827564</v>
      </c>
      <c r="T9" s="2">
        <f>SUM('Crecimiento_mensual'!T86:T97)</f>
        <v>54458814.761013255</v>
      </c>
      <c r="U9" s="2">
        <f>SUM('Crecimiento_mensual'!U86:U97)</f>
        <v>216611042.59840912</v>
      </c>
      <c r="V9" s="2">
        <f>SUM('Crecimiento_mensual'!V86:V97)</f>
        <v>115713903.33576857</v>
      </c>
      <c r="W9" s="2">
        <f>SUM('Crecimiento_mensual'!W86:W97)</f>
        <v>1300846.0689132782</v>
      </c>
      <c r="X9" s="2">
        <f>SUM('Crecimiento_mensual'!X86:X97)</f>
        <v>3905188.7989670467</v>
      </c>
      <c r="Y9" s="2">
        <f>SUM('Crecimiento_mensual'!Y86:Y97)</f>
        <v>5206034.867880325</v>
      </c>
      <c r="Z9" s="2">
        <v>9272480.28426737</v>
      </c>
      <c r="AA9" s="2">
        <f>SUM('Crecimiento_mensual'!AA86:AA97)</f>
        <v>0</v>
      </c>
      <c r="AB9" s="2">
        <f>SUM('Crecimiento_mensual'!AB86:AB97)</f>
        <v>28445287.71952442</v>
      </c>
      <c r="AC9" s="2">
        <f>SUM('Crecimiento_mensual'!AC86:AC97)</f>
        <v>28770499.23675274</v>
      </c>
      <c r="AD9" s="2">
        <f>SUM('Crecimiento_mensual'!AD86:AD97)</f>
        <v>27320.9931984609</v>
      </c>
      <c r="AE9" s="2">
        <v>938020.7664804939</v>
      </c>
      <c r="AF9" s="2">
        <f>SUM('Crecimiento_mensual'!AF86:AF97)</f>
        <v>86284176.71705976</v>
      </c>
      <c r="AG9" s="2">
        <f>SUM('Crecimiento_mensual'!AG86:AG97)</f>
        <v>81403353.36640777</v>
      </c>
      <c r="AH9" s="2">
        <v>458281701.6164165</v>
      </c>
      <c r="AI9" s="2">
        <v>56682444.96657237</v>
      </c>
      <c r="AJ9" s="2">
        <v>401599256.6498441</v>
      </c>
      <c r="AK9" s="3">
        <v>0.25</v>
      </c>
      <c r="AL9" s="3">
        <v>16.63634424898727</v>
      </c>
      <c r="AM9" s="2">
        <v>277772118.8414059</v>
      </c>
      <c r="AN9" s="2">
        <v>963</v>
      </c>
      <c r="AO9" s="2">
        <v>986</v>
      </c>
    </row>
    <row r="10" spans="1:41">
      <c r="A10" s="2">
        <v>1230</v>
      </c>
      <c r="B10" s="2">
        <v>2035</v>
      </c>
      <c r="C10" s="2">
        <f>SUM('Crecimiento_mensual'!C98:C109)</f>
        <v>1550</v>
      </c>
      <c r="D10" s="2">
        <v>443356.8607848518</v>
      </c>
      <c r="E10" s="2">
        <f>SUM('Crecimiento_mensual'!E98:E109)</f>
        <v>687203134.2165204</v>
      </c>
      <c r="F10" s="2">
        <f>SUM('Crecimiento_mensual'!F98:F109)</f>
        <v>577481625.3920339</v>
      </c>
      <c r="G10" s="2">
        <f>SUM('Crecimiento_mensual'!G98:G109)</f>
        <v>1550</v>
      </c>
      <c r="H10" s="2">
        <f>SUM('Crecimiento_mensual'!H98:H109)</f>
        <v>159404002.546284</v>
      </c>
      <c r="I10" s="2">
        <v>84</v>
      </c>
      <c r="J10" s="2">
        <v>8637161.896218985</v>
      </c>
      <c r="K10" s="2">
        <f>SUM('Crecimiento_mensual'!K98:K109)</f>
        <v>159152427.22665867</v>
      </c>
      <c r="L10" s="2">
        <f>SUM('Crecimiento_mensual'!L98:L109)</f>
        <v>58873312.64586355</v>
      </c>
      <c r="M10" s="2">
        <f>SUM('Crecimiento_mensual'!M98:M109)</f>
        <v>144164769.11231768</v>
      </c>
      <c r="N10" s="3">
        <v>2.5</v>
      </c>
      <c r="O10" s="3">
        <v>4</v>
      </c>
      <c r="P10" s="2">
        <f>SUM('Crecimiento_mensual'!P98:P109)</f>
        <v>3800310.244162849</v>
      </c>
      <c r="Q10" s="2">
        <f>SUM('Crecimiento_mensual'!Q98:Q109)</f>
        <v>11812884.362955801</v>
      </c>
      <c r="R10" s="2">
        <f>SUM('Crecimiento_mensual'!R98:R109)</f>
        <v>3800310.244162849</v>
      </c>
      <c r="S10" s="2">
        <f>SUM('Crecimiento_mensual'!S98:S109)</f>
        <v>4256347.473462391</v>
      </c>
      <c r="T10" s="2">
        <f>SUM('Crecimiento_mensual'!T98:T109)</f>
        <v>58904808.784524165</v>
      </c>
      <c r="U10" s="2">
        <f>SUM('Crecimiento_mensual'!U98:U109)</f>
        <v>226739430.22158575</v>
      </c>
      <c r="V10" s="2">
        <f>SUM('Crecimiento_mensual'!V98:V109)</f>
        <v>132716455.29792601</v>
      </c>
      <c r="W10" s="2">
        <f>SUM('Crecimiento_mensual'!W98:W109)</f>
        <v>832223.413037229</v>
      </c>
      <c r="X10" s="2">
        <f>SUM('Crecimiento_mensual'!X98:X109)</f>
        <v>4373811.4548430955</v>
      </c>
      <c r="Y10" s="2">
        <f>SUM('Crecimiento_mensual'!Y98:Y109)</f>
        <v>5206034.867880325</v>
      </c>
      <c r="Z10" s="2">
        <v>4898668.829424275</v>
      </c>
      <c r="AA10" s="2">
        <f>SUM('Crecimiento_mensual'!AA98:AA109)</f>
        <v>0</v>
      </c>
      <c r="AB10" s="2">
        <f>SUM('Crecimiento_mensual'!AB98:AB109)</f>
        <v>32908164.14131587</v>
      </c>
      <c r="AC10" s="2">
        <f>SUM('Crecimiento_mensual'!AC98:AC109)</f>
        <v>33116219.994575176</v>
      </c>
      <c r="AD10" s="2">
        <f>SUM('Crecimiento_mensual'!AD98:AD109)</f>
        <v>28140.622994415113</v>
      </c>
      <c r="AE10" s="2">
        <v>966161.3894749088</v>
      </c>
      <c r="AF10" s="2">
        <f>SUM('Crecimiento_mensual'!AF98:AF109)</f>
        <v>99320519.36073112</v>
      </c>
      <c r="AG10" s="2">
        <f>SUM('Crecimiento_mensual'!AG98:AG109)</f>
        <v>94322540.3461101</v>
      </c>
      <c r="AH10" s="2">
        <v>552604241.9625266</v>
      </c>
      <c r="AI10" s="2">
        <v>59214541.87236652</v>
      </c>
      <c r="AJ10" s="2">
        <v>493389700.09016</v>
      </c>
      <c r="AK10" s="3">
        <v>0.25</v>
      </c>
      <c r="AL10" s="3">
        <v>19.11792328323652</v>
      </c>
      <c r="AM10" s="2">
        <v>357716727.1995249</v>
      </c>
      <c r="AN10" s="2">
        <v>978</v>
      </c>
      <c r="AO10" s="2">
        <v>1001</v>
      </c>
    </row>
    <row r="11" spans="1:41">
      <c r="A11" s="2">
        <v>1374</v>
      </c>
      <c r="B11" s="2">
        <v>2036</v>
      </c>
      <c r="C11" s="2">
        <f>SUM('Crecimiento_mensual'!C110:C121)</f>
        <v>1628</v>
      </c>
      <c r="D11" s="2">
        <v>456657.5666083974</v>
      </c>
      <c r="E11" s="2">
        <f>SUM('Crecimiento_mensual'!E110:E121)</f>
        <v>743438518.438471</v>
      </c>
      <c r="F11" s="2">
        <f>SUM('Crecimiento_mensual'!F110:F121)</f>
        <v>624738250.7886312</v>
      </c>
      <c r="G11" s="2">
        <f>SUM('Crecimiento_mensual'!G110:G121)</f>
        <v>1630</v>
      </c>
      <c r="H11" s="2">
        <f>SUM('Crecimiento_mensual'!H110:H121)</f>
        <v>172660245.0806169</v>
      </c>
      <c r="I11" s="2">
        <v>86</v>
      </c>
      <c r="J11" s="2">
        <v>9108131.157572579</v>
      </c>
      <c r="K11" s="2">
        <f>SUM('Crecimiento_mensual'!K110:K121)</f>
        <v>172189275.8192633</v>
      </c>
      <c r="L11" s="2">
        <f>SUM('Crecimiento_mensual'!L110:L121)</f>
        <v>63692092.447108686</v>
      </c>
      <c r="M11" s="2">
        <f>SUM('Crecimiento_mensual'!M110:M121)</f>
        <v>156416209.27744988</v>
      </c>
      <c r="N11" s="3">
        <v>2.5</v>
      </c>
      <c r="O11" s="3">
        <v>4.5</v>
      </c>
      <c r="P11" s="2">
        <f>SUM('Crecimiento_mensual'!P110:P121)</f>
        <v>4070892.333547244</v>
      </c>
      <c r="Q11" s="2">
        <f>SUM('Crecimiento_mensual'!Q110:Q121)</f>
        <v>12658909.429511335</v>
      </c>
      <c r="R11" s="2">
        <f>SUM('Crecimiento_mensual'!R110:R121)</f>
        <v>3914319.5514877345</v>
      </c>
      <c r="S11" s="2">
        <f>SUM('Crecimiento_mensual'!S110:S121)</f>
        <v>4384037.897666262</v>
      </c>
      <c r="T11" s="2">
        <f>SUM('Crecimiento_mensual'!T110:T121)</f>
        <v>63725122.29822032</v>
      </c>
      <c r="U11" s="2">
        <f>SUM('Crecimiento_mensual'!U110:U121)</f>
        <v>245169490.7878828</v>
      </c>
      <c r="V11" s="2">
        <f>SUM('Crecimiento_mensual'!V110:V121)</f>
        <v>143687391.73437634</v>
      </c>
      <c r="W11" s="2">
        <f>SUM('Crecimiento_mensual'!W110:W121)</f>
        <v>307366.03845605336</v>
      </c>
      <c r="X11" s="2">
        <f>SUM('Crecimiento_mensual'!X110:X121)</f>
        <v>4898668.829424271</v>
      </c>
      <c r="Y11" s="2">
        <f>SUM('Crecimiento_mensual'!Y110:Y121)</f>
        <v>5206034.867880325</v>
      </c>
      <c r="Z11" s="2">
        <v>3.37604433298111E-09</v>
      </c>
      <c r="AA11" s="2">
        <f>SUM('Crecimiento_mensual'!AA110:AA121)</f>
        <v>1957159.7757438673</v>
      </c>
      <c r="AB11" s="2">
        <f>SUM('Crecimiento_mensual'!AB110:AB121)</f>
        <v>35237974.164705716</v>
      </c>
      <c r="AC11" s="2">
        <f>SUM('Crecimiento_mensual'!AC110:AC121)</f>
        <v>35314815.67431973</v>
      </c>
      <c r="AD11" s="2">
        <f>SUM('Crecimiento_mensual'!AD110:AD121)</f>
        <v>28984.8416842476</v>
      </c>
      <c r="AE11" s="2">
        <v>995146.2311591561</v>
      </c>
      <c r="AF11" s="2">
        <f>SUM('Crecimiento_mensual'!AF110:AF121)</f>
        <v>105915462.18127494</v>
      </c>
      <c r="AG11" s="2">
        <f>SUM('Crecimiento_mensual'!AG110:AG121)</f>
        <v>100786268.82300863</v>
      </c>
      <c r="AH11" s="2">
        <v>653390510.7855351</v>
      </c>
      <c r="AI11" s="2">
        <v>63822057.01394078</v>
      </c>
      <c r="AJ11" s="2">
        <v>589568453.7715943</v>
      </c>
      <c r="AK11" s="3">
        <v>0.25</v>
      </c>
      <c r="AL11" s="3">
        <v>20.35950706838897</v>
      </c>
      <c r="AM11" s="2">
        <v>440990985.0964928</v>
      </c>
      <c r="AN11" s="2">
        <v>1027</v>
      </c>
      <c r="AO11" s="2">
        <v>1049</v>
      </c>
    </row>
    <row r="12" spans="1:41">
      <c r="A12" s="2">
        <v>1518</v>
      </c>
      <c r="B12" s="2">
        <v>2037</v>
      </c>
      <c r="C12" s="2">
        <f>SUM('Crecimiento_mensual'!C122:C133)</f>
        <v>1709</v>
      </c>
      <c r="D12" s="2">
        <v>470357.2936066493</v>
      </c>
      <c r="E12" s="2">
        <f>SUM('Crecimiento_mensual'!E122:E133)</f>
        <v>803840614.7737638</v>
      </c>
      <c r="F12" s="2">
        <f>SUM('Crecimiento_mensual'!F122:F133)</f>
        <v>675496314.935936</v>
      </c>
      <c r="G12" s="2">
        <f>SUM('Crecimiento_mensual'!G122:G133)</f>
        <v>1720</v>
      </c>
      <c r="H12" s="2">
        <f>SUM('Crecimiento_mensual'!H122:H133)</f>
        <v>187659441.83117846</v>
      </c>
      <c r="I12" s="2">
        <v>97</v>
      </c>
      <c r="J12" s="2">
        <v>10581388.99471327</v>
      </c>
      <c r="K12" s="2">
        <f>SUM('Crecimiento_mensual'!K122:K133)</f>
        <v>186186183.99403778</v>
      </c>
      <c r="L12" s="2">
        <f>SUM('Crecimiento_mensual'!L122:L133)</f>
        <v>68867444.01200584</v>
      </c>
      <c r="M12" s="2">
        <f>SUM('Crecimiento_mensual'!M122:M133)</f>
        <v>161108695.55577338</v>
      </c>
      <c r="N12" s="3">
        <v>2.5</v>
      </c>
      <c r="O12" s="3">
        <v>4.5</v>
      </c>
      <c r="P12" s="2">
        <f>SUM('Crecimiento_mensual'!P122:P133)</f>
        <v>4193019.103553661</v>
      </c>
      <c r="Q12" s="2">
        <f>SUM('Crecimiento_mensual'!Q122:Q133)</f>
        <v>13570061.24878934</v>
      </c>
      <c r="R12" s="2">
        <f>SUM('Crecimiento_mensual'!R122:R133)</f>
        <v>4031749.1380323665</v>
      </c>
      <c r="S12" s="2">
        <f>SUM('Crecimiento_mensual'!S122:S133)</f>
        <v>4515559.03459625</v>
      </c>
      <c r="T12" s="2">
        <f>SUM('Crecimiento_mensual'!T122:T133)</f>
        <v>68902592.76897314</v>
      </c>
      <c r="U12" s="2">
        <f>SUM('Crecimiento_mensual'!U122:U133)</f>
        <v>256321676.8497181</v>
      </c>
      <c r="V12" s="2">
        <f>SUM('Crecimiento_mensual'!V122:V133)</f>
        <v>164121010.0801742</v>
      </c>
      <c r="W12" s="2">
        <f>SUM('Crecimiento_mensual'!W122:W133)</f>
        <v>0</v>
      </c>
      <c r="X12" s="2">
        <f>SUM('Crecimiento_mensual'!X122:X133)</f>
        <v>0</v>
      </c>
      <c r="Y12" s="2">
        <f>SUM('Crecimiento_mensual'!Y122:Y133)</f>
        <v>0</v>
      </c>
      <c r="Z12" s="2">
        <v>3.37604433298111E-09</v>
      </c>
      <c r="AA12" s="2">
        <f>SUM('Crecimiento_mensual'!AA122:AA133)</f>
        <v>0</v>
      </c>
      <c r="AB12" s="2">
        <f>SUM('Crecimiento_mensual'!AB122:AB133)</f>
        <v>40661938.060758375</v>
      </c>
      <c r="AC12" s="2">
        <f>SUM('Crecimiento_mensual'!AC122:AC133)</f>
        <v>40661938.060758375</v>
      </c>
      <c r="AD12" s="2">
        <f>SUM('Crecimiento_mensual'!AD122:AD133)</f>
        <v>234854.51055356103</v>
      </c>
      <c r="AE12" s="2">
        <v>1230000.741712717</v>
      </c>
      <c r="AF12" s="2">
        <f>SUM('Crecimiento_mensual'!AF122:AF133)</f>
        <v>121750959.67172156</v>
      </c>
      <c r="AG12" s="2">
        <f>SUM('Crecimiento_mensual'!AG122:AG133)</f>
        <v>121750959.67172156</v>
      </c>
      <c r="AH12" s="2">
        <v>775141470.4572564</v>
      </c>
      <c r="AI12" s="2">
        <v>65308594.81242952</v>
      </c>
      <c r="AJ12" s="2">
        <v>709832875.6448269</v>
      </c>
      <c r="AK12" s="3">
        <v>0.25</v>
      </c>
      <c r="AL12" s="3">
        <v>0</v>
      </c>
      <c r="AM12" s="2">
        <v>543726479.5460204</v>
      </c>
      <c r="AN12" s="2">
        <v>1042</v>
      </c>
      <c r="AO12" s="2">
        <v>1042</v>
      </c>
    </row>
    <row r="13" spans="1:41">
      <c r="A13" s="2">
        <v>1662</v>
      </c>
      <c r="B13" s="2">
        <v>2038</v>
      </c>
      <c r="C13" s="2">
        <f>SUM('Crecimiento_mensual'!C134:C145)</f>
        <v>1794</v>
      </c>
      <c r="D13" s="2">
        <v>484468.0124148488</v>
      </c>
      <c r="E13" s="2">
        <f>SUM('Crecimiento_mensual'!E134:E145)</f>
        <v>869135614.2722389</v>
      </c>
      <c r="F13" s="2">
        <f>SUM('Crecimiento_mensual'!F134:F145)</f>
        <v>730366062.4136461</v>
      </c>
      <c r="G13" s="2">
        <f>SUM('Crecimiento_mensual'!G134:G145)</f>
        <v>1800</v>
      </c>
      <c r="H13" s="2">
        <f>SUM('Crecimiento_mensual'!H134:H145)</f>
        <v>202279421.60174704</v>
      </c>
      <c r="I13" s="2">
        <v>103</v>
      </c>
      <c r="J13" s="2">
        <v>11572867.73422321</v>
      </c>
      <c r="K13" s="2">
        <f>SUM('Crecimiento_mensual'!K134:K145)</f>
        <v>201287942.8622371</v>
      </c>
      <c r="L13" s="2">
        <f>SUM('Crecimiento_mensual'!L134:L145)</f>
        <v>74459709.52706884</v>
      </c>
      <c r="M13" s="2">
        <f>SUM('Crecimiento_mensual'!M134:M145)</f>
        <v>181639168.5164618</v>
      </c>
      <c r="N13" s="3">
        <v>3</v>
      </c>
      <c r="O13" s="3">
        <v>5</v>
      </c>
      <c r="P13" s="2">
        <f>SUM('Crecimiento_mensual'!P134:P145)</f>
        <v>4651025.805634139</v>
      </c>
      <c r="Q13" s="2">
        <f>SUM('Crecimiento_mensual'!Q134:Q145)</f>
        <v>14551066.449055377</v>
      </c>
      <c r="R13" s="2">
        <f>SUM('Crecimiento_mensual'!R134:R145)</f>
        <v>4152701.6121733375</v>
      </c>
      <c r="S13" s="2">
        <f>SUM('Crecimiento_mensual'!S134:S145)</f>
        <v>4651025.805634139</v>
      </c>
      <c r="T13" s="2">
        <f>SUM('Crecimiento_mensual'!T134:T145)</f>
        <v>74499466.92238969</v>
      </c>
      <c r="U13" s="2">
        <f>SUM('Crecimiento_mensual'!U134:U145)</f>
        <v>284144455.11134845</v>
      </c>
      <c r="V13" s="2">
        <f>SUM('Crecimiento_mensual'!V134:V145)</f>
        <v>170473954.9129917</v>
      </c>
      <c r="W13" s="2">
        <f>SUM('Crecimiento_mensual'!W134:W145)</f>
        <v>0</v>
      </c>
      <c r="X13" s="2">
        <f>SUM('Crecimiento_mensual'!X134:X145)</f>
        <v>0</v>
      </c>
      <c r="Y13" s="2">
        <f>SUM('Crecimiento_mensual'!Y134:Y145)</f>
        <v>0</v>
      </c>
      <c r="Z13" s="2">
        <v>3.37604433298111E-09</v>
      </c>
      <c r="AA13" s="2">
        <f>SUM('Crecimiento_mensual'!AA134:AA145)</f>
        <v>0</v>
      </c>
      <c r="AB13" s="2">
        <f>SUM('Crecimiento_mensual'!AB134:AB145)</f>
        <v>42370619.04337044</v>
      </c>
      <c r="AC13" s="2">
        <f>SUM('Crecimiento_mensual'!AC134:AC145)</f>
        <v>42370619.04337044</v>
      </c>
      <c r="AD13" s="2">
        <f>SUM('Crecimiento_mensual'!AD134:AD145)</f>
        <v>36900.02225138154</v>
      </c>
      <c r="AE13" s="2">
        <v>1266900.763964098</v>
      </c>
      <c r="AF13" s="2">
        <f>SUM('Crecimiento_mensual'!AF134:AF145)</f>
        <v>127074957.10785994</v>
      </c>
      <c r="AG13" s="2">
        <f>SUM('Crecimiento_mensual'!AG134:AG145)</f>
        <v>127074957.10785994</v>
      </c>
      <c r="AH13" s="2">
        <v>902216427.5651163</v>
      </c>
      <c r="AI13" s="2">
        <v>72264289.37783711</v>
      </c>
      <c r="AJ13" s="2">
        <v>829952138.1872792</v>
      </c>
      <c r="AK13" s="3">
        <v>0.25</v>
      </c>
      <c r="AL13" s="3">
        <v>0</v>
      </c>
      <c r="AM13" s="2">
        <v>653497201.6262639</v>
      </c>
      <c r="AN13" s="2">
        <v>1122</v>
      </c>
      <c r="AO13" s="2">
        <v>1122</v>
      </c>
    </row>
    <row r="14" spans="1:41">
      <c r="A14" s="2">
        <v>1806</v>
      </c>
      <c r="B14" s="2">
        <v>2039</v>
      </c>
      <c r="C14" s="2">
        <f>SUM('Crecimiento_mensual'!C146:C157)</f>
        <v>1884</v>
      </c>
      <c r="D14" s="2">
        <v>499002.0527872943</v>
      </c>
      <c r="E14" s="2">
        <f>SUM('Crecimiento_mensual'!E146:E157)</f>
        <v>940119867.4512625</v>
      </c>
      <c r="F14" s="2">
        <f>SUM('Crecimiento_mensual'!F146:F157)</f>
        <v>790016695.3371954</v>
      </c>
      <c r="G14" s="2">
        <f>SUM('Crecimiento_mensual'!G146:G157)</f>
        <v>1880</v>
      </c>
      <c r="H14" s="2">
        <f>SUM('Crecimiento_mensual'!H146:H157)</f>
        <v>217607706.66090164</v>
      </c>
      <c r="I14" s="2">
        <v>99</v>
      </c>
      <c r="J14" s="2">
        <v>11457071.14838035</v>
      </c>
      <c r="K14" s="2">
        <f>SUM('Crecimiento_mensual'!K146:K157)</f>
        <v>217723503.24674448</v>
      </c>
      <c r="L14" s="2">
        <f>SUM('Crecimiento_mensual'!L146:L157)</f>
        <v>80540674.69721189</v>
      </c>
      <c r="M14" s="2">
        <f>SUM('Crecimiento_mensual'!M146:M157)</f>
        <v>187088343.57195565</v>
      </c>
      <c r="N14" s="3">
        <v>3</v>
      </c>
      <c r="O14" s="3">
        <v>5</v>
      </c>
      <c r="P14" s="2">
        <f>SUM('Crecimiento_mensual'!P146:P157)</f>
        <v>4790556.579803162</v>
      </c>
      <c r="Q14" s="2">
        <f>SUM('Crecimiento_mensual'!Q146:Q157)</f>
        <v>15608659.884837233</v>
      </c>
      <c r="R14" s="2">
        <f>SUM('Crecimiento_mensual'!R146:R157)</f>
        <v>4277282.660538538</v>
      </c>
      <c r="S14" s="2">
        <f>SUM('Crecimiento_mensual'!S146:S157)</f>
        <v>4790556.579803162</v>
      </c>
      <c r="T14" s="2">
        <f>SUM('Crecimiento_mensual'!T146:T157)</f>
        <v>80584005.32454605</v>
      </c>
      <c r="U14" s="2">
        <f>SUM('Crecimiento_mensual'!U146:U157)</f>
        <v>297139404.6014838</v>
      </c>
      <c r="V14" s="2">
        <f>SUM('Crecimiento_mensual'!V146:V157)</f>
        <v>194613112.7917552</v>
      </c>
      <c r="W14" s="2">
        <f>SUM('Crecimiento_mensual'!W146:W157)</f>
        <v>0</v>
      </c>
      <c r="X14" s="2">
        <f>SUM('Crecimiento_mensual'!X146:X157)</f>
        <v>0</v>
      </c>
      <c r="Y14" s="2">
        <f>SUM('Crecimiento_mensual'!Y146:Y157)</f>
        <v>0</v>
      </c>
      <c r="Z14" s="2">
        <v>3.37604433298111E-09</v>
      </c>
      <c r="AA14" s="2">
        <f>SUM('Crecimiento_mensual'!AA146:AA157)</f>
        <v>2138641.330269269</v>
      </c>
      <c r="AB14" s="2">
        <f>SUM('Crecimiento_mensual'!AB146:AB157)</f>
        <v>48147567.01183219</v>
      </c>
      <c r="AC14" s="2">
        <f>SUM('Crecimiento_mensual'!AC146:AC157)</f>
        <v>48147567.01183219</v>
      </c>
      <c r="AD14" s="2">
        <f>SUM('Crecimiento_mensual'!AD146:AD157)</f>
        <v>-179477.6082282475</v>
      </c>
      <c r="AE14" s="2">
        <v>1087423.155735851</v>
      </c>
      <c r="AF14" s="2">
        <f>SUM('Crecimiento_mensual'!AF146:AF157)</f>
        <v>144622178.64372483</v>
      </c>
      <c r="AG14" s="2">
        <f>SUM('Crecimiento_mensual'!AG146:AG157)</f>
        <v>144622178.64372483</v>
      </c>
      <c r="AH14" s="2">
        <v>1046838606.208841</v>
      </c>
      <c r="AI14" s="2">
        <v>75513026.75037095</v>
      </c>
      <c r="AJ14" s="2">
        <v>971325579.4584701</v>
      </c>
      <c r="AK14" s="3">
        <v>0.25</v>
      </c>
      <c r="AL14" s="3">
        <v>0</v>
      </c>
      <c r="AM14" s="2">
        <v>775928535.4618809</v>
      </c>
      <c r="AN14" s="2">
        <v>1139</v>
      </c>
      <c r="AO14" s="2">
        <v>1139</v>
      </c>
    </row>
    <row r="15" spans="1:41">
      <c r="A15" s="2">
        <v>1950</v>
      </c>
      <c r="B15" s="2">
        <v>2040</v>
      </c>
      <c r="C15" s="2">
        <f>SUM('Crecimiento_mensual'!C158:C169)</f>
        <v>1978</v>
      </c>
      <c r="D15" s="2">
        <v>513972.1143709132</v>
      </c>
      <c r="E15" s="2">
        <f>SUM('Crecimiento_mensual'!E158:E169)</f>
        <v>1016636842.2256663</v>
      </c>
      <c r="F15" s="2">
        <f>SUM('Crecimiento_mensual'!F158:F169)</f>
        <v>854316674.1392154</v>
      </c>
      <c r="G15" s="2">
        <f>SUM('Crecimiento_mensual'!G158:G169)</f>
        <v>1990</v>
      </c>
      <c r="H15" s="2">
        <f>SUM('Crecimiento_mensual'!H158:H169)</f>
        <v>237250274.6504522</v>
      </c>
      <c r="I15" s="2">
        <v>111</v>
      </c>
      <c r="J15" s="2">
        <v>13231455.70383885</v>
      </c>
      <c r="K15" s="2">
        <f>SUM('Crecimiento_mensual'!K158:K169)</f>
        <v>235475890.0949937</v>
      </c>
      <c r="L15" s="2">
        <f>SUM('Crecimiento_mensual'!L158:L169)</f>
        <v>87098471.43012598</v>
      </c>
      <c r="M15" s="2">
        <f>SUM('Crecimiento_mensual'!M158:M169)</f>
        <v>201622336.1883326</v>
      </c>
      <c r="N15" s="3">
        <v>3</v>
      </c>
      <c r="O15" s="3">
        <v>5.5</v>
      </c>
      <c r="P15" s="2">
        <f>SUM('Crecimiento_mensual'!P158:P169)</f>
        <v>5110497.322811445</v>
      </c>
      <c r="Q15" s="2">
        <f>SUM('Crecimiento_mensual'!Q158:Q169)</f>
        <v>16748333.295172406</v>
      </c>
      <c r="R15" s="2">
        <f>SUM('Crecimiento_mensual'!R158:R169)</f>
        <v>4405601.140354695</v>
      </c>
      <c r="S15" s="2">
        <f>SUM('Crecimiento_mensual'!S158:S169)</f>
        <v>4934273.277197258</v>
      </c>
      <c r="T15" s="2">
        <f>SUM('Crecimiento_mensual'!T158:T169)</f>
        <v>87142790.55621585</v>
      </c>
      <c r="U15" s="2">
        <f>SUM('Crecimiento_mensual'!U158:U169)</f>
        <v>319963831.78008425</v>
      </c>
      <c r="V15" s="2">
        <f>SUM('Crecimiento_mensual'!V158:V169)</f>
        <v>211778480.8340114</v>
      </c>
      <c r="W15" s="2">
        <f>SUM('Crecimiento_mensual'!W158:W169)</f>
        <v>0</v>
      </c>
      <c r="X15" s="2">
        <f>SUM('Crecimiento_mensual'!X158:X169)</f>
        <v>0</v>
      </c>
      <c r="Y15" s="2">
        <f>SUM('Crecimiento_mensual'!Y158:Y169)</f>
        <v>0</v>
      </c>
      <c r="Z15" s="2">
        <v>3.37604433298111E-09</v>
      </c>
      <c r="AA15" s="2">
        <f>SUM('Crecimiento_mensual'!AA158:AA169)</f>
        <v>0</v>
      </c>
      <c r="AB15" s="2">
        <f>SUM('Crecimiento_mensual'!AB158:AB169)</f>
        <v>52501024.06963822</v>
      </c>
      <c r="AC15" s="2">
        <f>SUM('Crecimiento_mensual'!AC158:AC169)</f>
        <v>52501024.06963822</v>
      </c>
      <c r="AD15" s="2">
        <f>SUM('Crecimiento_mensual'!AD158:AD169)</f>
        <v>256631.8647536605</v>
      </c>
      <c r="AE15" s="2">
        <v>1344055.020489512</v>
      </c>
      <c r="AF15" s="2">
        <f>SUM('Crecimiento_mensual'!AF158:AF169)</f>
        <v>157246440.34416103</v>
      </c>
      <c r="AG15" s="2">
        <f>SUM('Crecimiento_mensual'!AG158:AG169)</f>
        <v>157246440.34416103</v>
      </c>
      <c r="AH15" s="2">
        <v>1204085046.553002</v>
      </c>
      <c r="AI15" s="2">
        <v>81219133.54502106</v>
      </c>
      <c r="AJ15" s="2">
        <v>1122865913.007981</v>
      </c>
      <c r="AK15" s="3">
        <v>0.25</v>
      </c>
      <c r="AL15" s="3">
        <v>0</v>
      </c>
      <c r="AM15" s="2">
        <v>911886480.5273304</v>
      </c>
      <c r="AN15" s="2">
        <v>1191</v>
      </c>
      <c r="AO15" s="2">
        <v>1191</v>
      </c>
    </row>
    <row r="16" spans="1:41">
      <c r="A16" s="2">
        <v>2094</v>
      </c>
      <c r="B16" s="2">
        <v>2041</v>
      </c>
      <c r="C16" s="2">
        <f>SUM('Crecimiento_mensual'!C170:C181)</f>
        <v>2077</v>
      </c>
      <c r="D16" s="2">
        <v>529391.2778020406</v>
      </c>
      <c r="E16" s="2">
        <f>SUM('Crecimiento_mensual'!E170:E181)</f>
        <v>1099545683.9948382</v>
      </c>
      <c r="F16" s="2">
        <f>SUM('Crecimiento_mensual'!F170:F181)</f>
        <v>923987969.7435617</v>
      </c>
      <c r="G16" s="2">
        <f>SUM('Crecimiento_mensual'!G170:G181)</f>
        <v>1970</v>
      </c>
      <c r="H16" s="2">
        <f>SUM('Crecimiento_mensual'!H170:H181)</f>
        <v>241911825.2729812</v>
      </c>
      <c r="I16" s="2">
        <v>4</v>
      </c>
      <c r="J16" s="2">
        <v>491087.9672925547</v>
      </c>
      <c r="K16" s="2">
        <f>SUM('Crecimiento_mensual'!K170:K181)</f>
        <v>254652193.0095275</v>
      </c>
      <c r="L16" s="2">
        <f>SUM('Crecimiento_mensual'!L170:L181)</f>
        <v>94199352.79164852</v>
      </c>
      <c r="M16" s="2">
        <f>SUM('Crecimiento_mensual'!M170:M181)</f>
        <v>207671006.27398258</v>
      </c>
      <c r="N16" s="3">
        <v>3</v>
      </c>
      <c r="O16" s="3">
        <v>5.5</v>
      </c>
      <c r="P16" s="2">
        <f>SUM('Crecimiento_mensual'!P170:P181)</f>
        <v>5263812.242495789</v>
      </c>
      <c r="Q16" s="2">
        <f>SUM('Crecimiento_mensual'!Q170:Q181)</f>
        <v>17975918.80812312</v>
      </c>
      <c r="R16" s="2">
        <f>SUM('Crecimiento_mensual'!R170:R181)</f>
        <v>4537769.174565336</v>
      </c>
      <c r="S16" s="2">
        <f>SUM('Crecimiento_mensual'!S170:S181)</f>
        <v>5082301.475513176</v>
      </c>
      <c r="T16" s="2">
        <f>SUM('Crecimiento_mensual'!T170:T181)</f>
        <v>94249465.75572202</v>
      </c>
      <c r="U16" s="2">
        <f>SUM('Crecimiento_mensual'!U170:U181)</f>
        <v>334780273.730402</v>
      </c>
      <c r="V16" s="2">
        <f>SUM('Crecimiento_mensual'!V170:V181)</f>
        <v>240356150.21198368</v>
      </c>
      <c r="W16" s="2">
        <f>SUM('Crecimiento_mensual'!W170:W181)</f>
        <v>0</v>
      </c>
      <c r="X16" s="2">
        <f>SUM('Crecimiento_mensual'!X170:X181)</f>
        <v>0</v>
      </c>
      <c r="Y16" s="2">
        <f>SUM('Crecimiento_mensual'!Y170:Y181)</f>
        <v>0</v>
      </c>
      <c r="Z16" s="2">
        <v>3.37604433298111E-09</v>
      </c>
      <c r="AA16" s="2">
        <f>SUM('Crecimiento_mensual'!AA170:AA181)</f>
        <v>0</v>
      </c>
      <c r="AB16" s="2">
        <f>SUM('Crecimiento_mensual'!AB170:AB181)</f>
        <v>63274129.487132475</v>
      </c>
      <c r="AC16" s="2">
        <f>SUM('Crecimiento_mensual'!AC170:AC181)</f>
        <v>63274129.487132475</v>
      </c>
      <c r="AD16" s="2">
        <f>SUM('Crecimiento_mensual'!AD170:AD181)</f>
        <v>-1344055.020489512</v>
      </c>
      <c r="AE16" s="2">
        <v>0</v>
      </c>
      <c r="AF16" s="2">
        <f>SUM('Crecimiento_mensual'!AF170:AF181)</f>
        <v>191166443.48188695</v>
      </c>
      <c r="AG16" s="2">
        <f>SUM('Crecimiento_mensual'!AG170:AG181)</f>
        <v>191166443.48188695</v>
      </c>
      <c r="AH16" s="2">
        <v>1395251490.034889</v>
      </c>
      <c r="AI16" s="2">
        <v>84923244.03260049</v>
      </c>
      <c r="AJ16" s="2">
        <v>1310328246.002288</v>
      </c>
      <c r="AK16" s="3">
        <v>0.25</v>
      </c>
      <c r="AL16" s="3">
        <v>0</v>
      </c>
      <c r="AM16" s="2">
        <v>1066698961.676646</v>
      </c>
      <c r="AN16" s="2">
        <v>1209</v>
      </c>
      <c r="AO16" s="2">
        <v>1209</v>
      </c>
    </row>
  </sheetData>
  <autoFilter ref="A1:AO16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3" width="23.7109375" customWidth="1"/>
  </cols>
  <sheetData>
    <row r="1" spans="1:9">
      <c r="A1" s="1" t="s">
        <v>163</v>
      </c>
      <c r="B1" s="1" t="s">
        <v>164</v>
      </c>
      <c r="C1" s="1" t="s">
        <v>165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</row>
    <row r="2" spans="1:9">
      <c r="A2" s="2" t="s">
        <v>172</v>
      </c>
      <c r="B2" s="2">
        <v>31000000</v>
      </c>
      <c r="C2" s="2">
        <v>680006.5719769198</v>
      </c>
      <c r="D2" s="2">
        <v>9800394.318615194</v>
      </c>
      <c r="E2" s="2">
        <v>9.19681042432785E-09</v>
      </c>
      <c r="F2" s="2">
        <v>8160078.863723038</v>
      </c>
      <c r="G2" s="2">
        <v>-5359010.48291138</v>
      </c>
      <c r="H2" s="3">
        <v>0.4429362983388317</v>
      </c>
      <c r="I2" s="2">
        <v>41800000</v>
      </c>
    </row>
    <row r="3" spans="1:9">
      <c r="A3" s="2" t="s">
        <v>173</v>
      </c>
      <c r="B3" s="2">
        <v>31000000</v>
      </c>
      <c r="C3" s="2">
        <v>433836.2389900271</v>
      </c>
      <c r="D3" s="2">
        <v>21060348.67880325</v>
      </c>
      <c r="E3" s="2">
        <v>19777637.39781519</v>
      </c>
      <c r="F3" s="2">
        <v>5206034.867880325</v>
      </c>
      <c r="G3" s="2">
        <v>56736.84280025028</v>
      </c>
      <c r="H3" s="3">
        <v>0.6942702493888693</v>
      </c>
      <c r="I3" s="2">
        <v>31000000</v>
      </c>
    </row>
    <row r="4" spans="1:9">
      <c r="A4" s="2" t="s">
        <v>174</v>
      </c>
      <c r="B4" s="2">
        <v>31000000</v>
      </c>
      <c r="C4" s="2">
        <v>359906.0753436252</v>
      </c>
      <c r="D4" s="2">
        <v>33783093.56185259</v>
      </c>
      <c r="E4" s="2">
        <v>25717280.69933979</v>
      </c>
      <c r="F4" s="2">
        <v>4318872.904123502</v>
      </c>
      <c r="G4" s="2">
        <v>1683200.443021106</v>
      </c>
      <c r="H4" s="3">
        <v>0.8368838829685241</v>
      </c>
      <c r="I4" s="2">
        <v>28700000</v>
      </c>
    </row>
    <row r="5" spans="1:9">
      <c r="A5" s="2" t="s">
        <v>175</v>
      </c>
      <c r="B5" s="2">
        <v>31000000</v>
      </c>
      <c r="C5" s="2">
        <v>570328.0926258037</v>
      </c>
      <c r="D5" s="2">
        <v>8969685.557548219</v>
      </c>
      <c r="E5" s="2">
        <v>0</v>
      </c>
      <c r="F5" s="2">
        <v>12593937.11150964</v>
      </c>
      <c r="G5" s="2">
        <v>-8696083.93718683</v>
      </c>
      <c r="H5" s="3">
        <v>0.2869948526856795</v>
      </c>
    </row>
    <row r="7" spans="1:9">
      <c r="A7" t="s">
        <v>176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38.7109375" customWidth="1"/>
    <col min="2" max="6" width="24.7109375" customWidth="1"/>
  </cols>
  <sheetData>
    <row r="1" spans="1:5">
      <c r="A1" s="1" t="s">
        <v>177</v>
      </c>
      <c r="B1" s="1" t="s">
        <v>178</v>
      </c>
      <c r="C1" s="1" t="s">
        <v>179</v>
      </c>
      <c r="D1" s="1" t="s">
        <v>169</v>
      </c>
      <c r="E1" s="1" t="s">
        <v>180</v>
      </c>
    </row>
    <row r="2" spans="1:5">
      <c r="A2" s="2" t="s">
        <v>181</v>
      </c>
      <c r="B2" s="2">
        <v>200</v>
      </c>
      <c r="C2" s="2">
        <v>4426233.781512607</v>
      </c>
      <c r="D2" s="2">
        <v>56736.84280025028</v>
      </c>
      <c r="E2" s="2">
        <v>15504053.46519702</v>
      </c>
    </row>
    <row r="3" spans="1:5">
      <c r="A3" s="2" t="s">
        <v>182</v>
      </c>
      <c r="B3" s="2">
        <v>200</v>
      </c>
      <c r="C3" s="2">
        <v>-11380488.90756303</v>
      </c>
      <c r="D3" s="2">
        <v>-29144938.70969856</v>
      </c>
      <c r="E3" s="2">
        <v>-91321155.86399235</v>
      </c>
    </row>
    <row r="4" spans="1:5">
      <c r="A4" s="2" t="s">
        <v>183</v>
      </c>
      <c r="B4" s="2">
        <v>200</v>
      </c>
      <c r="C4" s="2">
        <v>-3477127.563025208</v>
      </c>
      <c r="D4" s="2">
        <v>-13484006.66830724</v>
      </c>
      <c r="E4" s="2">
        <v>-32232089.66427945</v>
      </c>
    </row>
    <row r="5" spans="1:5">
      <c r="A5" s="2" t="s">
        <v>184</v>
      </c>
      <c r="B5" s="2">
        <v>200</v>
      </c>
      <c r="C5" s="2">
        <v>1264889.24369748</v>
      </c>
      <c r="D5" s="2">
        <v>-5123442.316863604</v>
      </c>
      <c r="E5" s="2">
        <v>-3760632.264129165</v>
      </c>
    </row>
    <row r="6" spans="1:5">
      <c r="A6" s="2" t="s">
        <v>185</v>
      </c>
      <c r="B6" s="2">
        <v>130</v>
      </c>
      <c r="C6" s="2">
        <v>-8336948.042016806</v>
      </c>
      <c r="D6" s="2">
        <v>-19433131.25250342</v>
      </c>
      <c r="E6" s="2">
        <v>-50774058.38955984</v>
      </c>
    </row>
    <row r="7" spans="1:5">
      <c r="A7" s="2" t="s">
        <v>186</v>
      </c>
      <c r="B7" s="2">
        <v>200</v>
      </c>
      <c r="C7" s="2">
        <v>4426233.781512607</v>
      </c>
      <c r="D7" s="2">
        <v>-2107968.924572079</v>
      </c>
      <c r="E7" s="2">
        <v>15504053.46519702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20.7109375" customWidth="1"/>
    <col min="2" max="7" width="25.7109375" customWidth="1"/>
  </cols>
  <sheetData>
    <row r="1" spans="1:7">
      <c r="A1" s="1" t="s">
        <v>187</v>
      </c>
      <c r="B1" s="1" t="s">
        <v>188</v>
      </c>
      <c r="C1" s="1" t="s">
        <v>189</v>
      </c>
      <c r="D1" s="1" t="s">
        <v>190</v>
      </c>
      <c r="E1" s="1" t="s">
        <v>191</v>
      </c>
      <c r="F1" s="1" t="s">
        <v>192</v>
      </c>
      <c r="G1" s="1" t="s">
        <v>193</v>
      </c>
    </row>
    <row r="2" spans="1:7">
      <c r="A2" t="s">
        <v>181</v>
      </c>
      <c r="B2" s="2">
        <f>-'Base_evaluacion'!B2</f>
        <v>20489115.8</v>
      </c>
      <c r="C2" s="2">
        <f>SUM('Base_evaluacion'!C2:C62)</f>
        <v>15504053.465197023</v>
      </c>
      <c r="D2" s="4">
        <f>(1+IRR('Base_evaluacion'!B2:B62))^12-1</f>
        <v>0.3542915869448884</v>
      </c>
      <c r="E2" s="3">
        <v>34.60612373902126</v>
      </c>
      <c r="F2" s="3">
        <v>47.14513763157003</v>
      </c>
      <c r="G2" s="4">
        <v>0.2</v>
      </c>
    </row>
    <row r="3" spans="1:7">
      <c r="A3" t="s">
        <v>199</v>
      </c>
      <c r="B3" s="2">
        <f>-'Estres_evaluacion'!B2</f>
        <v>20478615.8</v>
      </c>
      <c r="C3" s="2">
        <f>SUM('Estres_evaluacion'!C2:C62)</f>
        <v>-50774058.389559835</v>
      </c>
      <c r="D3" s="4">
        <f>(1+IRR('Estres_evaluacion'!B2:B62))^12-1</f>
        <v>-0.3027738178398598</v>
      </c>
      <c r="E3" s="3" t="s">
        <v>200</v>
      </c>
      <c r="F3" s="3" t="s">
        <v>200</v>
      </c>
      <c r="G3" s="4">
        <v>0.2</v>
      </c>
    </row>
    <row r="4" spans="1:7">
      <c r="A4" t="s">
        <v>201</v>
      </c>
      <c r="B4" s="2">
        <f>-'Crecimiento_evaluacion'!B2</f>
        <v>23661181.6</v>
      </c>
      <c r="C4" s="2">
        <f>SUM('Crecimiento_evaluacion'!C2:C62)</f>
        <v>69653315.90529282</v>
      </c>
      <c r="D4" s="4">
        <f>(1+IRR('Crecimiento_evaluacion'!B2:B62))^12-1</f>
        <v>0.7670399294194581</v>
      </c>
      <c r="E4" s="3">
        <v>22.54136162822095</v>
      </c>
      <c r="F4" s="3">
        <v>23.30339469361375</v>
      </c>
      <c r="G4" s="4">
        <v>0.2</v>
      </c>
    </row>
    <row r="7" spans="1:7">
      <c r="A7" t="s">
        <v>202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E62"/>
  <sheetViews>
    <sheetView workbookViewId="0"/>
  </sheetViews>
  <sheetFormatPr defaultRowHeight="15"/>
  <cols>
    <col min="1" max="5" width="25.7109375" customWidth="1"/>
  </cols>
  <sheetData>
    <row r="1" spans="1:5">
      <c r="A1" s="1" t="s">
        <v>194</v>
      </c>
      <c r="B1" s="1" t="s">
        <v>195</v>
      </c>
      <c r="C1" s="1" t="s">
        <v>196</v>
      </c>
      <c r="D1" s="1" t="s">
        <v>197</v>
      </c>
      <c r="E1" s="1" t="s">
        <v>198</v>
      </c>
    </row>
    <row r="2" spans="1:5">
      <c r="A2" s="2">
        <v>0</v>
      </c>
      <c r="B2" s="2">
        <v>-20489115.8</v>
      </c>
      <c r="C2" s="2">
        <f>B2/(1+'Evaluacion proyecto'!G2)^(A2/12)</f>
        <v>-20489115.8</v>
      </c>
      <c r="D2" s="2">
        <f>SUM(B$2:B2)</f>
        <v>-20489115.8</v>
      </c>
      <c r="E2" s="2">
        <f>SUM(C$2:C2)</f>
        <v>-20489115.8</v>
      </c>
    </row>
    <row r="3" spans="1:5">
      <c r="A3" s="2">
        <v>1</v>
      </c>
      <c r="B3" s="2">
        <v>-2435378.517647059</v>
      </c>
      <c r="C3" s="2">
        <f>B3/(1+'Evaluacion proyecto'!G2)^(A3/12)</f>
        <v>-2398656.3588817655</v>
      </c>
      <c r="D3" s="2">
        <f>SUM(B$2:B3)</f>
        <v>-22924494.31764706</v>
      </c>
      <c r="E3" s="2">
        <f>SUM(C$2:C3)</f>
        <v>-22887772.158881765</v>
      </c>
    </row>
    <row r="4" spans="1:5">
      <c r="A4" s="2">
        <v>2</v>
      </c>
      <c r="B4" s="2">
        <v>-1907148.448739496</v>
      </c>
      <c r="C4" s="2">
        <f>B4/(1+'Evaluacion proyecto'!G2)^(A4/12)</f>
        <v>-1850067.7158410016</v>
      </c>
      <c r="D4" s="2">
        <f>SUM(B$2:B4)</f>
        <v>-24831642.766386554</v>
      </c>
      <c r="E4" s="2">
        <f>SUM(C$2:C4)</f>
        <v>-24737839.874722768</v>
      </c>
    </row>
    <row r="5" spans="1:5">
      <c r="A5" s="2">
        <v>3</v>
      </c>
      <c r="B5" s="2">
        <v>-1378918.379831932</v>
      </c>
      <c r="C5" s="2">
        <f>B5/(1+'Evaluacion proyecto'!G2)^(A5/12)</f>
        <v>-1317477.6270485432</v>
      </c>
      <c r="D5" s="2">
        <f>SUM(B$2:B5)</f>
        <v>-26210561.146218486</v>
      </c>
      <c r="E5" s="2">
        <f>SUM(C$2:C5)</f>
        <v>-26055317.501771312</v>
      </c>
    </row>
    <row r="6" spans="1:5">
      <c r="A6" s="2">
        <v>4</v>
      </c>
      <c r="B6" s="2">
        <v>-1815066.31092437</v>
      </c>
      <c r="C6" s="2">
        <f>B6/(1+'Evaluacion proyecto'!G2)^(A6/12)</f>
        <v>-1708042.793388007</v>
      </c>
      <c r="D6" s="2">
        <f>SUM(B$2:B6)</f>
        <v>-28025627.457142856</v>
      </c>
      <c r="E6" s="2">
        <f>SUM(C$2:C6)</f>
        <v>-27763360.295159318</v>
      </c>
    </row>
    <row r="7" spans="1:5">
      <c r="A7" s="2">
        <v>5</v>
      </c>
      <c r="B7" s="2">
        <v>-169918.8974789911</v>
      </c>
      <c r="C7" s="2">
        <f>B7/(1+'Evaluacion proyecto'!G2)^(A7/12)</f>
        <v>-157488.73536732636</v>
      </c>
      <c r="D7" s="2">
        <f>SUM(B$2:B7)</f>
        <v>-28195546.354621846</v>
      </c>
      <c r="E7" s="2">
        <f>SUM(C$2:C7)</f>
        <v>-27920849.030526645</v>
      </c>
    </row>
    <row r="8" spans="1:5">
      <c r="A8" s="2">
        <v>6</v>
      </c>
      <c r="B8" s="2">
        <v>-758606.1731092436</v>
      </c>
      <c r="C8" s="2">
        <f>B8/(1+'Evaluacion proyecto'!G2)^(A8/12)</f>
        <v>-692509.5221243362</v>
      </c>
      <c r="D8" s="2">
        <f>SUM(B$2:B8)</f>
        <v>-28954152.52773109</v>
      </c>
      <c r="E8" s="2">
        <f>SUM(C$2:C8)</f>
        <v>-28613358.55265098</v>
      </c>
    </row>
    <row r="9" spans="1:5">
      <c r="A9" s="2">
        <v>7</v>
      </c>
      <c r="B9" s="2">
        <v>-1042214.759663865</v>
      </c>
      <c r="C9" s="2">
        <f>B9/(1+'Evaluacion proyecto'!G2)^(A9/12)</f>
        <v>-937061.6385428391</v>
      </c>
      <c r="D9" s="2">
        <f>SUM(B$2:B9)</f>
        <v>-29996367.287394956</v>
      </c>
      <c r="E9" s="2">
        <f>SUM(C$2:C9)</f>
        <v>-29550420.19119382</v>
      </c>
    </row>
    <row r="10" spans="1:5">
      <c r="A10" s="2">
        <v>8</v>
      </c>
      <c r="B10" s="2">
        <v>1131162.722689075</v>
      </c>
      <c r="C10" s="2">
        <f>B10/(1+'Evaluacion proyecto'!G2)^(A10/12)</f>
        <v>1001699.8003378997</v>
      </c>
      <c r="D10" s="2">
        <f>SUM(B$2:B10)</f>
        <v>-28865204.56470588</v>
      </c>
      <c r="E10" s="2">
        <f>SUM(C$2:C10)</f>
        <v>-28548720.39085592</v>
      </c>
    </row>
    <row r="11" spans="1:5">
      <c r="A11" s="2">
        <v>9</v>
      </c>
      <c r="B11" s="2">
        <v>542475.4470588234</v>
      </c>
      <c r="C11" s="2">
        <f>B11/(1+'Evaluacion proyecto'!G2)^(A11/12)</f>
        <v>473144.88762433873</v>
      </c>
      <c r="D11" s="2">
        <f>SUM(B$2:B11)</f>
        <v>-28322729.117647056</v>
      </c>
      <c r="E11" s="2">
        <f>SUM(C$2:C11)</f>
        <v>-28075575.50323158</v>
      </c>
    </row>
    <row r="12" spans="1:5">
      <c r="A12" s="2">
        <v>10</v>
      </c>
      <c r="B12" s="2">
        <v>1751474.929411765</v>
      </c>
      <c r="C12" s="2">
        <f>B12/(1+'Evaluacion proyecto'!G2)^(A12/12)</f>
        <v>1504594.789527891</v>
      </c>
      <c r="D12" s="2">
        <f>SUM(B$2:B12)</f>
        <v>-26571254.18823529</v>
      </c>
      <c r="E12" s="2">
        <f>SUM(C$2:C12)</f>
        <v>-26570980.713703692</v>
      </c>
    </row>
    <row r="13" spans="1:5">
      <c r="A13" s="2">
        <v>11</v>
      </c>
      <c r="B13" s="2">
        <v>4208460.998319328</v>
      </c>
      <c r="C13" s="2">
        <f>B13/(1+'Evaluacion proyecto'!G2)^(A13/12)</f>
        <v>3560741.9231853057</v>
      </c>
      <c r="D13" s="2">
        <f>SUM(B$2:B13)</f>
        <v>-22362793.189915963</v>
      </c>
      <c r="E13" s="2">
        <f>SUM(C$2:C13)</f>
        <v>-23010238.79051839</v>
      </c>
    </row>
    <row r="14" spans="1:5">
      <c r="A14" s="2">
        <v>12</v>
      </c>
      <c r="B14" s="2">
        <v>5488072.515966387</v>
      </c>
      <c r="C14" s="2">
        <f>B14/(1+'Evaluacion proyecto'!G2)^(A14/12)</f>
        <v>4573393.763305322</v>
      </c>
      <c r="D14" s="2">
        <f>SUM(B$2:B14)</f>
        <v>-16874720.673949577</v>
      </c>
      <c r="E14" s="2">
        <f>SUM(C$2:C14)</f>
        <v>-18436845.027213067</v>
      </c>
    </row>
    <row r="15" spans="1:5">
      <c r="A15" s="2">
        <v>13</v>
      </c>
      <c r="B15" s="2">
        <v>-7550277.992579833</v>
      </c>
      <c r="C15" s="2">
        <f>B15/(1+'Evaluacion proyecto'!G2)^(A15/12)</f>
        <v>-6197025.153378126</v>
      </c>
      <c r="D15" s="2">
        <f>SUM(B$2:B15)</f>
        <v>-24424998.66652941</v>
      </c>
      <c r="E15" s="2">
        <f>SUM(C$2:C15)</f>
        <v>-24633870.180591192</v>
      </c>
    </row>
    <row r="16" spans="1:5">
      <c r="A16" s="2">
        <v>14</v>
      </c>
      <c r="B16" s="2">
        <v>-1601120.038452804</v>
      </c>
      <c r="C16" s="2">
        <f>B16/(1+'Evaluacion proyecto'!G2)^(A16/12)</f>
        <v>-1294332.2504537466</v>
      </c>
      <c r="D16" s="2">
        <f>SUM(B$2:B16)</f>
        <v>-26026118.704982214</v>
      </c>
      <c r="E16" s="2">
        <f>SUM(C$2:C16)</f>
        <v>-25928202.43104494</v>
      </c>
    </row>
    <row r="17" spans="1:5">
      <c r="A17" s="2">
        <v>15</v>
      </c>
      <c r="B17" s="2">
        <v>-2929020.963223045</v>
      </c>
      <c r="C17" s="2">
        <f>B17/(1+'Evaluacion proyecto'!G2)^(A17/12)</f>
        <v>-2332093.3062724588</v>
      </c>
      <c r="D17" s="2">
        <f>SUM(B$2:B17)</f>
        <v>-28955139.668205258</v>
      </c>
      <c r="E17" s="2">
        <f>SUM(C$2:C17)</f>
        <v>-28260295.7373174</v>
      </c>
    </row>
    <row r="18" spans="1:5">
      <c r="A18" s="2">
        <v>16</v>
      </c>
      <c r="B18" s="2">
        <v>-533376.5692219879</v>
      </c>
      <c r="C18" s="2">
        <f>B18/(1+'Evaluacion proyecto'!G2)^(A18/12)</f>
        <v>-418272.14049903874</v>
      </c>
      <c r="D18" s="2">
        <f>SUM(B$2:B18)</f>
        <v>-29488516.237427246</v>
      </c>
      <c r="E18" s="2">
        <f>SUM(C$2:C18)</f>
        <v>-28678567.87781644</v>
      </c>
    </row>
    <row r="19" spans="1:5">
      <c r="A19" s="2">
        <v>17</v>
      </c>
      <c r="B19" s="2">
        <v>-867818.7665083297</v>
      </c>
      <c r="C19" s="2">
        <f>B19/(1+'Evaluacion proyecto'!G2)^(A19/12)</f>
        <v>-670278.9884525551</v>
      </c>
      <c r="D19" s="2">
        <f>SUM(B$2:B19)</f>
        <v>-30356335.003935575</v>
      </c>
      <c r="E19" s="2">
        <f>SUM(C$2:C19)</f>
        <v>-29348846.866268992</v>
      </c>
    </row>
    <row r="20" spans="1:5">
      <c r="A20" s="2">
        <v>18</v>
      </c>
      <c r="B20" s="2">
        <v>377375.3346906202</v>
      </c>
      <c r="C20" s="2">
        <f>B20/(1+'Evaluacion proyecto'!G2)^(A20/12)</f>
        <v>287079.143689048</v>
      </c>
      <c r="D20" s="2">
        <f>SUM(B$2:B20)</f>
        <v>-29978959.669244956</v>
      </c>
      <c r="E20" s="2">
        <f>SUM(C$2:C20)</f>
        <v>-29061767.722579945</v>
      </c>
    </row>
    <row r="21" spans="1:5">
      <c r="A21" s="2">
        <v>19</v>
      </c>
      <c r="B21" s="2">
        <v>200093.7698258087</v>
      </c>
      <c r="C21" s="2">
        <f>B21/(1+'Evaluacion proyecto'!G2)^(A21/12)</f>
        <v>149921.27268444697</v>
      </c>
      <c r="D21" s="2">
        <f>SUM(B$2:B21)</f>
        <v>-29778865.899419148</v>
      </c>
      <c r="E21" s="2">
        <f>SUM(C$2:C21)</f>
        <v>-28911846.449895497</v>
      </c>
    </row>
    <row r="22" spans="1:5">
      <c r="A22" s="2">
        <v>20</v>
      </c>
      <c r="B22" s="2">
        <v>1268121.509395142</v>
      </c>
      <c r="C22" s="2">
        <f>B22/(1+'Evaluacion proyecto'!G2)^(A22/12)</f>
        <v>935819.5755024548</v>
      </c>
      <c r="D22" s="2">
        <f>SUM(B$2:B22)</f>
        <v>-28510744.390024006</v>
      </c>
      <c r="E22" s="2">
        <f>SUM(C$2:C22)</f>
        <v>-27976026.874393042</v>
      </c>
    </row>
    <row r="23" spans="1:5">
      <c r="A23" s="2">
        <v>21</v>
      </c>
      <c r="B23" s="2">
        <v>2241308.609363405</v>
      </c>
      <c r="C23" s="2">
        <f>B23/(1+'Evaluacion proyecto'!G2)^(A23/12)</f>
        <v>1629050.242209579</v>
      </c>
      <c r="D23" s="2">
        <f>SUM(B$2:B23)</f>
        <v>-26269435.7806606</v>
      </c>
      <c r="E23" s="2">
        <f>SUM(C$2:C23)</f>
        <v>-26346976.632183462</v>
      </c>
    </row>
    <row r="24" spans="1:5">
      <c r="A24" s="2">
        <v>22</v>
      </c>
      <c r="B24" s="2">
        <v>4145557.174218023</v>
      </c>
      <c r="C24" s="2">
        <f>B24/(1+'Evaluacion proyecto'!G2)^(A24/12)</f>
        <v>2967681.513866163</v>
      </c>
      <c r="D24" s="2">
        <f>SUM(B$2:B24)</f>
        <v>-22123878.606442578</v>
      </c>
      <c r="E24" s="2">
        <f>SUM(C$2:C24)</f>
        <v>-23379295.1183173</v>
      </c>
    </row>
    <row r="25" spans="1:5">
      <c r="A25" s="2">
        <v>23</v>
      </c>
      <c r="B25" s="2">
        <v>9206948.198530603</v>
      </c>
      <c r="C25" s="2">
        <f>B25/(1+'Evaluacion proyecto'!G2)^(A25/12)</f>
        <v>6491598.403033723</v>
      </c>
      <c r="D25" s="2">
        <f>SUM(B$2:B25)</f>
        <v>-12916930.407911975</v>
      </c>
      <c r="E25" s="2">
        <f>SUM(C$2:C25)</f>
        <v>-16887696.715283576</v>
      </c>
    </row>
    <row r="26" spans="1:5">
      <c r="A26" s="2">
        <v>24</v>
      </c>
      <c r="B26" s="2">
        <v>8718487.616781598</v>
      </c>
      <c r="C26" s="2">
        <f>B26/(1+'Evaluacion proyecto'!G2)^(A26/12)</f>
        <v>6054505.289431665</v>
      </c>
      <c r="D26" s="2">
        <f>SUM(B$2:B26)</f>
        <v>-4198442.791130377</v>
      </c>
      <c r="E26" s="2">
        <f>SUM(C$2:C26)</f>
        <v>-10833191.425851911</v>
      </c>
    </row>
    <row r="27" spans="1:5">
      <c r="A27" s="2">
        <v>25</v>
      </c>
      <c r="B27" s="2">
        <v>-8995019.422158238</v>
      </c>
      <c r="C27" s="2">
        <f>B27/(1+'Evaluacion proyecto'!G2)^(A27/12)</f>
        <v>-6152352.013729511</v>
      </c>
      <c r="D27" s="2">
        <f>SUM(B$2:B27)</f>
        <v>-13193462.213288615</v>
      </c>
      <c r="E27" s="2">
        <f>SUM(C$2:C27)</f>
        <v>-16985543.439581424</v>
      </c>
    </row>
    <row r="28" spans="1:5">
      <c r="A28" s="2">
        <v>26</v>
      </c>
      <c r="B28" s="2">
        <v>-2971378.790405717</v>
      </c>
      <c r="C28" s="2">
        <f>B28/(1+'Evaluacion proyecto'!G2)^(A28/12)</f>
        <v>-2001698.4487792202</v>
      </c>
      <c r="D28" s="2">
        <f>SUM(B$2:B28)</f>
        <v>-16164841.003694331</v>
      </c>
      <c r="E28" s="2">
        <f>SUM(C$2:C28)</f>
        <v>-18987241.888360646</v>
      </c>
    </row>
    <row r="29" spans="1:5">
      <c r="A29" s="2">
        <v>27</v>
      </c>
      <c r="B29" s="2">
        <v>-2593731.583940373</v>
      </c>
      <c r="C29" s="2">
        <f>B29/(1+'Evaluacion proyecto'!G2)^(A29/12)</f>
        <v>-1720945.9352698927</v>
      </c>
      <c r="D29" s="2">
        <f>SUM(B$2:B29)</f>
        <v>-18758572.587634705</v>
      </c>
      <c r="E29" s="2">
        <f>SUM(C$2:C29)</f>
        <v>-20708187.823630538</v>
      </c>
    </row>
    <row r="30" spans="1:5">
      <c r="A30" s="2">
        <v>28</v>
      </c>
      <c r="B30" s="2">
        <v>-2054280.899864832</v>
      </c>
      <c r="C30" s="2">
        <f>B30/(1+'Evaluacion proyecto'!G2)^(A30/12)</f>
        <v>-1342466.9029270469</v>
      </c>
      <c r="D30" s="2">
        <f>SUM(B$2:B30)</f>
        <v>-20812853.48749954</v>
      </c>
      <c r="E30" s="2">
        <f>SUM(C$2:C30)</f>
        <v>-22050654.726557586</v>
      </c>
    </row>
    <row r="31" spans="1:5">
      <c r="A31" s="2">
        <v>29</v>
      </c>
      <c r="B31" s="2">
        <v>-491619.5435493998</v>
      </c>
      <c r="C31" s="2">
        <f>B31/(1+'Evaluacion proyecto'!G2)^(A31/12)</f>
        <v>-316427.6757919091</v>
      </c>
      <c r="D31" s="2">
        <f>SUM(B$2:B31)</f>
        <v>-21304473.03104894</v>
      </c>
      <c r="E31" s="2">
        <f>SUM(C$2:C31)</f>
        <v>-22367082.402349494</v>
      </c>
    </row>
    <row r="32" spans="1:5">
      <c r="A32" s="2">
        <v>30</v>
      </c>
      <c r="B32" s="2">
        <v>-113881.0790099243</v>
      </c>
      <c r="C32" s="2">
        <f>B32/(1+'Evaluacion proyecto'!G2)^(A32/12)</f>
        <v>-72193.56000782829</v>
      </c>
      <c r="D32" s="2">
        <f>SUM(B$2:B32)</f>
        <v>-21418354.110058863</v>
      </c>
      <c r="E32" s="2">
        <f>SUM(C$2:C32)</f>
        <v>-22439275.962357324</v>
      </c>
    </row>
    <row r="33" spans="1:5">
      <c r="A33" s="2">
        <v>31</v>
      </c>
      <c r="B33" s="2">
        <v>1448849.473731758</v>
      </c>
      <c r="C33" s="2">
        <f>B33/(1+'Evaluacion proyecto'!G2)^(A33/12)</f>
        <v>904631.5185923042</v>
      </c>
      <c r="D33" s="2">
        <f>SUM(B$2:B33)</f>
        <v>-19969504.636327103</v>
      </c>
      <c r="E33" s="2">
        <f>SUM(C$2:C33)</f>
        <v>-21534644.443765018</v>
      </c>
    </row>
    <row r="34" spans="1:5">
      <c r="A34" s="2">
        <v>32</v>
      </c>
      <c r="B34" s="2">
        <v>2204556.628964366</v>
      </c>
      <c r="C34" s="2">
        <f>B34/(1+'Evaluacion proyecto'!G2)^(A34/12)</f>
        <v>1355723.9542924273</v>
      </c>
      <c r="D34" s="2">
        <f>SUM(B$2:B34)</f>
        <v>-17764948.00736274</v>
      </c>
      <c r="E34" s="2">
        <f>SUM(C$2:C34)</f>
        <v>-20178920.48947259</v>
      </c>
    </row>
    <row r="35" spans="1:5">
      <c r="A35" s="2">
        <v>33</v>
      </c>
      <c r="B35" s="2">
        <v>3929149.113833481</v>
      </c>
      <c r="C35" s="2">
        <f>B35/(1+'Evaluacion proyecto'!G2)^(A35/12)</f>
        <v>2379852.737528631</v>
      </c>
      <c r="D35" s="2">
        <f>SUM(B$2:B35)</f>
        <v>-13835798.893529257</v>
      </c>
      <c r="E35" s="2">
        <f>SUM(C$2:C35)</f>
        <v>-17799067.75194396</v>
      </c>
    </row>
    <row r="36" spans="1:5">
      <c r="A36" s="2">
        <v>34</v>
      </c>
      <c r="B36" s="2">
        <v>5707999.129352484</v>
      </c>
      <c r="C36" s="2">
        <f>B36/(1+'Evaluacion proyecto'!G2)^(A36/12)</f>
        <v>3405156.1678876984</v>
      </c>
      <c r="D36" s="2">
        <f>SUM(B$2:B36)</f>
        <v>-8127799.764176773</v>
      </c>
      <c r="E36" s="2">
        <f>SUM(C$2:C36)</f>
        <v>-14393911.584056262</v>
      </c>
    </row>
    <row r="37" spans="1:5">
      <c r="A37" s="2">
        <v>35</v>
      </c>
      <c r="B37" s="2">
        <v>13409472.75436057</v>
      </c>
      <c r="C37" s="2">
        <f>B37/(1+'Evaluacion proyecto'!G2)^(A37/12)</f>
        <v>7878914.7464759275</v>
      </c>
      <c r="D37" s="2">
        <f>SUM(B$2:B37)</f>
        <v>5281672.990183795</v>
      </c>
      <c r="E37" s="2">
        <f>SUM(C$2:C37)</f>
        <v>-6514996.837580334</v>
      </c>
    </row>
    <row r="38" spans="1:5">
      <c r="A38" s="2">
        <v>36</v>
      </c>
      <c r="B38" s="2">
        <v>8955432.144355576</v>
      </c>
      <c r="C38" s="2">
        <f>B38/(1+'Evaluacion proyecto'!G2)^(A38/12)</f>
        <v>5182541.750205774</v>
      </c>
      <c r="D38" s="2">
        <f>SUM(B$2:B38)</f>
        <v>14237105.134539371</v>
      </c>
      <c r="E38" s="2">
        <f>SUM(C$2:C38)</f>
        <v>-1332455.0873745605</v>
      </c>
    </row>
    <row r="39" spans="1:5">
      <c r="A39" s="2">
        <v>37</v>
      </c>
      <c r="B39" s="2">
        <v>-14748038.0607652</v>
      </c>
      <c r="C39" s="2">
        <f>B39/(1+'Evaluacion proyecto'!G2)^(A39/12)</f>
        <v>-8406052.042366197</v>
      </c>
      <c r="D39" s="2">
        <f>SUM(B$2:B39)</f>
        <v>-510932.9262258243</v>
      </c>
      <c r="E39" s="2">
        <f>SUM(C$2:C39)</f>
        <v>-9738507.129740758</v>
      </c>
    </row>
    <row r="40" spans="1:5">
      <c r="A40" s="2">
        <v>38</v>
      </c>
      <c r="B40" s="2">
        <v>-5967667.787574938</v>
      </c>
      <c r="C40" s="2">
        <f>B40/(1+'Evaluacion proyecto'!G2)^(A40/12)</f>
        <v>-3350148.2521035913</v>
      </c>
      <c r="D40" s="2">
        <f>SUM(B$2:B40)</f>
        <v>-6478600.713800763</v>
      </c>
      <c r="E40" s="2">
        <f>SUM(C$2:C40)</f>
        <v>-13088655.38184435</v>
      </c>
    </row>
    <row r="41" spans="1:5">
      <c r="A41" s="2">
        <v>39</v>
      </c>
      <c r="B41" s="2">
        <v>-3902944.960077417</v>
      </c>
      <c r="C41" s="2">
        <f>B41/(1+'Evaluacion proyecto'!G2)^(A41/12)</f>
        <v>-2158009.6241182457</v>
      </c>
      <c r="D41" s="2">
        <f>SUM(B$2:B41)</f>
        <v>-10381545.67387818</v>
      </c>
      <c r="E41" s="2">
        <f>SUM(C$2:C41)</f>
        <v>-15246665.005962595</v>
      </c>
    </row>
    <row r="42" spans="1:5">
      <c r="A42" s="2">
        <v>40</v>
      </c>
      <c r="B42" s="2">
        <v>-1882888.936875925</v>
      </c>
      <c r="C42" s="2">
        <f>B42/(1+'Evaluacion proyecto'!G2)^(A42/12)</f>
        <v>-1025385.6064709158</v>
      </c>
      <c r="D42" s="2">
        <f>SUM(B$2:B42)</f>
        <v>-12264434.610754106</v>
      </c>
      <c r="E42" s="2">
        <f>SUM(C$2:C42)</f>
        <v>-16272050.612433512</v>
      </c>
    </row>
    <row r="43" spans="1:5">
      <c r="A43" s="2">
        <v>41</v>
      </c>
      <c r="B43" s="2">
        <v>-1205312.365162255</v>
      </c>
      <c r="C43" s="2">
        <f>B43/(1+'Evaluacion proyecto'!G2)^(A43/12)</f>
        <v>-646492.7932515108</v>
      </c>
      <c r="D43" s="2">
        <f>SUM(B$2:B43)</f>
        <v>-13469746.975916361</v>
      </c>
      <c r="E43" s="2">
        <f>SUM(C$2:C43)</f>
        <v>-16918543.405685022</v>
      </c>
    </row>
    <row r="44" spans="1:5">
      <c r="A44" s="2">
        <v>42</v>
      </c>
      <c r="B44" s="2">
        <v>-1126234.229990713</v>
      </c>
      <c r="C44" s="2">
        <f>B44/(1+'Evaluacion proyecto'!G2)^(A44/12)</f>
        <v>-594969.0324077691</v>
      </c>
      <c r="D44" s="2">
        <f>SUM(B$2:B44)</f>
        <v>-14595981.205907075</v>
      </c>
      <c r="E44" s="2">
        <f>SUM(C$2:C44)</f>
        <v>-17513512.43809279</v>
      </c>
    </row>
    <row r="45" spans="1:5">
      <c r="A45" s="2">
        <v>43</v>
      </c>
      <c r="B45" s="2">
        <v>938616.4055088293</v>
      </c>
      <c r="C45" s="2">
        <f>B45/(1+'Evaluacion proyecto'!G2)^(A45/12)</f>
        <v>488377.1570049624</v>
      </c>
      <c r="D45" s="2">
        <f>SUM(B$2:B45)</f>
        <v>-13657364.800398245</v>
      </c>
      <c r="E45" s="2">
        <f>SUM(C$2:C45)</f>
        <v>-17025135.281087827</v>
      </c>
    </row>
    <row r="46" spans="1:5">
      <c r="A46" s="2">
        <v>44</v>
      </c>
      <c r="B46" s="2">
        <v>3636608.987275668</v>
      </c>
      <c r="C46" s="2">
        <f>B46/(1+'Evaluacion proyecto'!G2)^(A46/12)</f>
        <v>1863654.3707055298</v>
      </c>
      <c r="D46" s="2">
        <f>SUM(B$2:B46)</f>
        <v>-10020755.813122578</v>
      </c>
      <c r="E46" s="2">
        <f>SUM(C$2:C46)</f>
        <v>-15161480.910382297</v>
      </c>
    </row>
    <row r="47" spans="1:5">
      <c r="A47" s="2">
        <v>45</v>
      </c>
      <c r="B47" s="2">
        <v>4481029.463323595</v>
      </c>
      <c r="C47" s="2">
        <f>B47/(1+'Evaluacion proyecto'!G2)^(A47/12)</f>
        <v>2261768.372379352</v>
      </c>
      <c r="D47" s="2">
        <f>SUM(B$2:B47)</f>
        <v>-5539726.349798983</v>
      </c>
      <c r="E47" s="2">
        <f>SUM(C$2:C47)</f>
        <v>-12899712.538002945</v>
      </c>
    </row>
    <row r="48" spans="1:5">
      <c r="A48" s="2">
        <v>46</v>
      </c>
      <c r="B48" s="2">
        <v>6291924.001666299</v>
      </c>
      <c r="C48" s="2">
        <f>B48/(1+'Evaluacion proyecto'!G2)^(A48/12)</f>
        <v>3127917.9937706557</v>
      </c>
      <c r="D48" s="2">
        <f>SUM(B$2:B48)</f>
        <v>752197.6518673161</v>
      </c>
      <c r="E48" s="2">
        <f>SUM(C$2:C48)</f>
        <v>-9771794.54423229</v>
      </c>
    </row>
    <row r="49" spans="1:5">
      <c r="A49" s="2">
        <v>47</v>
      </c>
      <c r="B49" s="2">
        <v>18129745.7420246</v>
      </c>
      <c r="C49" s="2">
        <f>B49/(1+'Evaluacion proyecto'!G2)^(A49/12)</f>
        <v>8876978.467221143</v>
      </c>
      <c r="D49" s="2">
        <f>SUM(B$2:B49)</f>
        <v>18881943.39389192</v>
      </c>
      <c r="E49" s="2">
        <f>SUM(C$2:C49)</f>
        <v>-894816.0770111475</v>
      </c>
    </row>
    <row r="50" spans="1:5">
      <c r="A50" s="2">
        <v>48</v>
      </c>
      <c r="B50" s="2">
        <v>12784352.3228157</v>
      </c>
      <c r="C50" s="2">
        <f>B50/(1+'Evaluacion proyecto'!G2)^(A50/12)</f>
        <v>6165293.365555411</v>
      </c>
      <c r="D50" s="2">
        <f>SUM(B$2:B50)</f>
        <v>31666295.716707617</v>
      </c>
      <c r="E50" s="2">
        <f>SUM(C$2:C50)</f>
        <v>5270477.288544264</v>
      </c>
    </row>
    <row r="51" spans="1:5">
      <c r="A51" s="2">
        <v>49</v>
      </c>
      <c r="B51" s="2">
        <v>-15867239.84277789</v>
      </c>
      <c r="C51" s="2">
        <f>B51/(1+'Evaluacion proyecto'!G2)^(A51/12)</f>
        <v>-7536643.367835249</v>
      </c>
      <c r="D51" s="2">
        <f>SUM(B$2:B51)</f>
        <v>15799055.873929724</v>
      </c>
      <c r="E51" s="2">
        <f>SUM(C$2:C51)</f>
        <v>-2266166.079290985</v>
      </c>
    </row>
    <row r="52" spans="1:5">
      <c r="A52" s="2">
        <v>50</v>
      </c>
      <c r="B52" s="2">
        <v>-6531902.495662565</v>
      </c>
      <c r="C52" s="2">
        <f>B52/(1+'Evaluacion proyecto'!G2)^(A52/12)</f>
        <v>-3055750.100331837</v>
      </c>
      <c r="D52" s="2">
        <f>SUM(B$2:B52)</f>
        <v>9267153.378267158</v>
      </c>
      <c r="E52" s="2">
        <f>SUM(C$2:C52)</f>
        <v>-5321916.1796228215</v>
      </c>
    </row>
    <row r="53" spans="1:5">
      <c r="A53" s="2">
        <v>51</v>
      </c>
      <c r="B53" s="2">
        <v>-6153504.045218876</v>
      </c>
      <c r="C53" s="2">
        <f>B53/(1+'Evaluacion proyecto'!G2)^(A53/12)</f>
        <v>-2835320.740164347</v>
      </c>
      <c r="D53" s="2">
        <f>SUM(B$2:B53)</f>
        <v>3113649.333048282</v>
      </c>
      <c r="E53" s="2">
        <f>SUM(C$2:C53)</f>
        <v>-8157236.9197871685</v>
      </c>
    </row>
    <row r="54" spans="1:5">
      <c r="A54" s="2">
        <v>52</v>
      </c>
      <c r="B54" s="2">
        <v>-3135075.482127462</v>
      </c>
      <c r="C54" s="2">
        <f>B54/(1+'Evaluacion proyecto'!G2)^(A54/12)</f>
        <v>-1422752.2096563962</v>
      </c>
      <c r="D54" s="2">
        <f>SUM(B$2:B54)</f>
        <v>-21426.14907917939</v>
      </c>
      <c r="E54" s="2">
        <f>SUM(C$2:C54)</f>
        <v>-9579989.129443565</v>
      </c>
    </row>
    <row r="55" spans="1:5">
      <c r="A55" s="2">
        <v>53</v>
      </c>
      <c r="B55" s="2">
        <v>-757226.9328397643</v>
      </c>
      <c r="C55" s="2">
        <f>B55/(1+'Evaluacion proyecto'!G2)^(A55/12)</f>
        <v>-338461.1941589605</v>
      </c>
      <c r="D55" s="2">
        <f>SUM(B$2:B55)</f>
        <v>-778653.0819189437</v>
      </c>
      <c r="E55" s="2">
        <f>SUM(C$2:C55)</f>
        <v>-9918450.323602526</v>
      </c>
    </row>
    <row r="56" spans="1:5">
      <c r="A56" s="2">
        <v>54</v>
      </c>
      <c r="B56" s="2">
        <v>-1338404.236829429</v>
      </c>
      <c r="C56" s="2">
        <f>B56/(1+'Evaluacion proyecto'!G2)^(A56/12)</f>
        <v>-589212.1524337424</v>
      </c>
      <c r="D56" s="2">
        <f>SUM(B$2:B56)</f>
        <v>-2117057.3187483726</v>
      </c>
      <c r="E56" s="2">
        <f>SUM(C$2:C56)</f>
        <v>-10507662.476036267</v>
      </c>
    </row>
    <row r="57" spans="1:5">
      <c r="A57" s="2">
        <v>55</v>
      </c>
      <c r="B57" s="2">
        <v>1554569.876162522</v>
      </c>
      <c r="C57" s="2">
        <f>B57/(1+'Evaluacion proyecto'!G2)^(A57/12)</f>
        <v>674056.3486406651</v>
      </c>
      <c r="D57" s="2">
        <f>SUM(B$2:B57)</f>
        <v>-562487.4425858511</v>
      </c>
      <c r="E57" s="2">
        <f>SUM(C$2:C57)</f>
        <v>-9833606.127395602</v>
      </c>
    </row>
    <row r="58" spans="1:5">
      <c r="A58" s="2">
        <v>56</v>
      </c>
      <c r="B58" s="2">
        <v>4437112.193067795</v>
      </c>
      <c r="C58" s="2">
        <f>B58/(1+'Evaluacion proyecto'!G2)^(A58/12)</f>
        <v>1894907.1238378268</v>
      </c>
      <c r="D58" s="2">
        <f>SUM(B$2:B58)</f>
        <v>3874624.7504819436</v>
      </c>
      <c r="E58" s="2">
        <f>SUM(C$2:C58)</f>
        <v>-7938699.003557775</v>
      </c>
    </row>
    <row r="59" spans="1:5">
      <c r="A59" s="2">
        <v>57</v>
      </c>
      <c r="B59" s="2">
        <v>6073056.360363225</v>
      </c>
      <c r="C59" s="2">
        <f>B59/(1+'Evaluacion proyecto'!G2)^(A59/12)</f>
        <v>2554444.0386545453</v>
      </c>
      <c r="D59" s="2">
        <f>SUM(B$2:B59)</f>
        <v>9947681.110845169</v>
      </c>
      <c r="E59" s="2">
        <f>SUM(C$2:C59)</f>
        <v>-5384254.96490323</v>
      </c>
    </row>
    <row r="60" spans="1:5">
      <c r="A60" s="2">
        <v>58</v>
      </c>
      <c r="B60" s="2">
        <v>9127323.796576535</v>
      </c>
      <c r="C60" s="2">
        <f>B60/(1+'Evaluacion proyecto'!G2)^(A60/12)</f>
        <v>3781238.766118021</v>
      </c>
      <c r="D60" s="2">
        <f>SUM(B$2:B60)</f>
        <v>19075004.907421704</v>
      </c>
      <c r="E60" s="2">
        <f>SUM(C$2:C60)</f>
        <v>-1603016.1987852086</v>
      </c>
    </row>
    <row r="61" spans="1:5">
      <c r="A61" s="2">
        <v>59</v>
      </c>
      <c r="B61" s="2">
        <v>25171059.01103861</v>
      </c>
      <c r="C61" s="2">
        <f>B61/(1+'Evaluacion proyecto'!G2)^(A61/12)</f>
        <v>10270549.847453345</v>
      </c>
      <c r="D61" s="2">
        <f>SUM(B$2:B61)</f>
        <v>44246063.91846032</v>
      </c>
      <c r="E61" s="2">
        <f>SUM(C$2:C61)</f>
        <v>8667533.648668136</v>
      </c>
    </row>
    <row r="62" spans="1:5">
      <c r="A62" s="2">
        <v>60</v>
      </c>
      <c r="B62" s="2">
        <v>17011448.98986514</v>
      </c>
      <c r="C62" s="2">
        <f>B62/(1+'Evaluacion proyecto'!G2)^(A62/12)</f>
        <v>6836519.816528882</v>
      </c>
      <c r="D62" s="2">
        <f>SUM(B$2:B62)</f>
        <v>61257512.90832546</v>
      </c>
      <c r="E62" s="2">
        <f>SUM(C$2:C62)</f>
        <v>15504053.46519702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62"/>
  <sheetViews>
    <sheetView workbookViewId="0"/>
  </sheetViews>
  <sheetFormatPr defaultRowHeight="15"/>
  <cols>
    <col min="1" max="5" width="25.7109375" customWidth="1"/>
  </cols>
  <sheetData>
    <row r="1" spans="1:5">
      <c r="A1" s="1" t="s">
        <v>194</v>
      </c>
      <c r="B1" s="1" t="s">
        <v>195</v>
      </c>
      <c r="C1" s="1" t="s">
        <v>196</v>
      </c>
      <c r="D1" s="1" t="s">
        <v>197</v>
      </c>
      <c r="E1" s="1" t="s">
        <v>198</v>
      </c>
    </row>
    <row r="2" spans="1:5">
      <c r="A2" s="2">
        <v>0</v>
      </c>
      <c r="B2" s="2">
        <v>-20478615.8</v>
      </c>
      <c r="C2" s="2">
        <f>B2/(1+'Evaluacion proyecto'!G3)^(A2/12)</f>
        <v>-20478615.8</v>
      </c>
      <c r="D2" s="2">
        <f>SUM(B$2:B2)</f>
        <v>-20478615.8</v>
      </c>
      <c r="E2" s="2">
        <f>SUM(C$2:C2)</f>
        <v>-20478615.8</v>
      </c>
    </row>
    <row r="3" spans="1:5">
      <c r="A3" s="2">
        <v>1</v>
      </c>
      <c r="B3" s="2">
        <v>-2695993.55210084</v>
      </c>
      <c r="C3" s="2">
        <f>B3/(1+'Evaluacion proyecto'!G3)^(A3/12)</f>
        <v>-2655341.6770296483</v>
      </c>
      <c r="D3" s="2">
        <f>SUM(B$2:B3)</f>
        <v>-23174609.35210084</v>
      </c>
      <c r="E3" s="2">
        <f>SUM(C$2:C3)</f>
        <v>-23133957.477029648</v>
      </c>
    </row>
    <row r="4" spans="1:5">
      <c r="A4" s="2">
        <v>2</v>
      </c>
      <c r="B4" s="2">
        <v>-1467500.517647059</v>
      </c>
      <c r="C4" s="2">
        <f>B4/(1+'Evaluacion proyecto'!G3)^(A4/12)</f>
        <v>-1423578.3965706541</v>
      </c>
      <c r="D4" s="2">
        <f>SUM(B$2:B4)</f>
        <v>-24642109.8697479</v>
      </c>
      <c r="E4" s="2">
        <f>SUM(C$2:C4)</f>
        <v>-24557535.8736003</v>
      </c>
    </row>
    <row r="5" spans="1:5">
      <c r="A5" s="2">
        <v>3</v>
      </c>
      <c r="B5" s="2">
        <v>-2320302.827731092</v>
      </c>
      <c r="C5" s="2">
        <f>B5/(1+'Evaluacion proyecto'!G3)^(A5/12)</f>
        <v>-2216916.612487083</v>
      </c>
      <c r="D5" s="2">
        <f>SUM(B$2:B5)</f>
        <v>-26962412.69747899</v>
      </c>
      <c r="E5" s="2">
        <f>SUM(C$2:C5)</f>
        <v>-26774452.48608738</v>
      </c>
    </row>
    <row r="6" spans="1:5">
      <c r="A6" s="2">
        <v>4</v>
      </c>
      <c r="B6" s="2">
        <v>-1639533.414285714</v>
      </c>
      <c r="C6" s="2">
        <f>B6/(1+'Evaluacion proyecto'!G3)^(A6/12)</f>
        <v>-1542860.0133971826</v>
      </c>
      <c r="D6" s="2">
        <f>SUM(B$2:B6)</f>
        <v>-28601946.111764707</v>
      </c>
      <c r="E6" s="2">
        <f>SUM(C$2:C6)</f>
        <v>-28317312.499484565</v>
      </c>
    </row>
    <row r="7" spans="1:5">
      <c r="A7" s="2">
        <v>5</v>
      </c>
      <c r="B7" s="2">
        <v>-1375418.379831932</v>
      </c>
      <c r="C7" s="2">
        <f>B7/(1+'Evaluacion proyecto'!G3)^(A7/12)</f>
        <v>-1274801.711019165</v>
      </c>
      <c r="D7" s="2">
        <f>SUM(B$2:B7)</f>
        <v>-29977364.49159664</v>
      </c>
      <c r="E7" s="2">
        <f>SUM(C$2:C7)</f>
        <v>-29592114.21050373</v>
      </c>
    </row>
    <row r="8" spans="1:5">
      <c r="A8" s="2">
        <v>6</v>
      </c>
      <c r="B8" s="2">
        <v>-1111303.345378151</v>
      </c>
      <c r="C8" s="2">
        <f>B8/(1+'Evaluacion proyecto'!G3)^(A8/12)</f>
        <v>-1014476.5174909466</v>
      </c>
      <c r="D8" s="2">
        <f>SUM(B$2:B8)</f>
        <v>-31088667.836974792</v>
      </c>
      <c r="E8" s="2">
        <f>SUM(C$2:C8)</f>
        <v>-30606590.727994677</v>
      </c>
    </row>
    <row r="9" spans="1:5">
      <c r="A9" s="2">
        <v>7</v>
      </c>
      <c r="B9" s="2">
        <v>-1811566.31092437</v>
      </c>
      <c r="C9" s="2">
        <f>B9/(1+'Evaluacion proyecto'!G3)^(A9/12)</f>
        <v>-1628790.3044006873</v>
      </c>
      <c r="D9" s="2">
        <f>SUM(B$2:B9)</f>
        <v>-32900234.147899162</v>
      </c>
      <c r="E9" s="2">
        <f>SUM(C$2:C9)</f>
        <v>-32235381.032395363</v>
      </c>
    </row>
    <row r="10" spans="1:5">
      <c r="A10" s="2">
        <v>8</v>
      </c>
      <c r="B10" s="2">
        <v>97696.13697479019</v>
      </c>
      <c r="C10" s="2">
        <f>B10/(1+'Evaluacion proyecto'!G3)^(A10/12)</f>
        <v>86514.69761024912</v>
      </c>
      <c r="D10" s="2">
        <f>SUM(B$2:B10)</f>
        <v>-32802538.010924373</v>
      </c>
      <c r="E10" s="2">
        <f>SUM(C$2:C10)</f>
        <v>-32148866.334785115</v>
      </c>
    </row>
    <row r="11" spans="1:5">
      <c r="A11" s="2">
        <v>9</v>
      </c>
      <c r="B11" s="2">
        <v>-755106.1731092436</v>
      </c>
      <c r="C11" s="2">
        <f>B11/(1+'Evaluacion proyecto'!G3)^(A11/12)</f>
        <v>-658600.5456233606</v>
      </c>
      <c r="D11" s="2">
        <f>SUM(B$2:B11)</f>
        <v>-33557644.18403362</v>
      </c>
      <c r="E11" s="2">
        <f>SUM(C$2:C11)</f>
        <v>-32807466.880408477</v>
      </c>
    </row>
    <row r="12" spans="1:5">
      <c r="A12" s="2">
        <v>10</v>
      </c>
      <c r="B12" s="2">
        <v>189778.2747899159</v>
      </c>
      <c r="C12" s="2">
        <f>B12/(1+'Evaluacion proyecto'!G3)^(A12/12)</f>
        <v>163027.97066607085</v>
      </c>
      <c r="D12" s="2">
        <f>SUM(B$2:B12)</f>
        <v>-33367865.909243703</v>
      </c>
      <c r="E12" s="2">
        <f>SUM(C$2:C12)</f>
        <v>-32644438.909742408</v>
      </c>
    </row>
    <row r="13" spans="1:5">
      <c r="A13" s="2">
        <v>11</v>
      </c>
      <c r="B13" s="2">
        <v>1418271.309243698</v>
      </c>
      <c r="C13" s="2">
        <f>B13/(1+'Evaluacion proyecto'!G3)^(A13/12)</f>
        <v>1199986.9100109828</v>
      </c>
      <c r="D13" s="2">
        <f>SUM(B$2:B13)</f>
        <v>-31949594.600000005</v>
      </c>
      <c r="E13" s="2">
        <f>SUM(C$2:C13)</f>
        <v>-31444451.999731425</v>
      </c>
    </row>
    <row r="14" spans="1:5">
      <c r="A14" s="2">
        <v>12</v>
      </c>
      <c r="B14" s="2">
        <v>2322192.102521008</v>
      </c>
      <c r="C14" s="2">
        <f>B14/(1+'Evaluacion proyecto'!G3)^(A14/12)</f>
        <v>1935160.0854341732</v>
      </c>
      <c r="D14" s="2">
        <f>SUM(B$2:B14)</f>
        <v>-29627402.497479</v>
      </c>
      <c r="E14" s="2">
        <f>SUM(C$2:C14)</f>
        <v>-29509291.914297253</v>
      </c>
    </row>
    <row r="15" spans="1:5">
      <c r="A15" s="2">
        <v>13</v>
      </c>
      <c r="B15" s="2">
        <v>-6336205.348403361</v>
      </c>
      <c r="C15" s="2">
        <f>B15/(1+'Evaluacion proyecto'!G3)^(A15/12)</f>
        <v>-5200553.404737364</v>
      </c>
      <c r="D15" s="2">
        <f>SUM(B$2:B15)</f>
        <v>-35963607.845882356</v>
      </c>
      <c r="E15" s="2">
        <f>SUM(C$2:C15)</f>
        <v>-34709845.31903461</v>
      </c>
    </row>
    <row r="16" spans="1:5">
      <c r="A16" s="2">
        <v>14</v>
      </c>
      <c r="B16" s="2">
        <v>-3983537.60872549</v>
      </c>
      <c r="C16" s="2">
        <f>B16/(1+'Evaluacion proyecto'!G3)^(A16/12)</f>
        <v>-3220258.9899825198</v>
      </c>
      <c r="D16" s="2">
        <f>SUM(B$2:B16)</f>
        <v>-39947145.454607844</v>
      </c>
      <c r="E16" s="2">
        <f>SUM(C$2:C16)</f>
        <v>-37930104.30901714</v>
      </c>
    </row>
    <row r="17" spans="1:5">
      <c r="A17" s="2">
        <v>15</v>
      </c>
      <c r="B17" s="2">
        <v>-2131946.892963801</v>
      </c>
      <c r="C17" s="2">
        <f>B17/(1+'Evaluacion proyecto'!G3)^(A17/12)</f>
        <v>-1697461.076870632</v>
      </c>
      <c r="D17" s="2">
        <f>SUM(B$2:B17)</f>
        <v>-42079092.34757164</v>
      </c>
      <c r="E17" s="2">
        <f>SUM(C$2:C17)</f>
        <v>-39627565.38588777</v>
      </c>
    </row>
    <row r="18" spans="1:5">
      <c r="A18" s="2">
        <v>16</v>
      </c>
      <c r="B18" s="2">
        <v>-2738449.327636759</v>
      </c>
      <c r="C18" s="2">
        <f>B18/(1+'Evaluacion proyecto'!G3)^(A18/12)</f>
        <v>-2147482.900476015</v>
      </c>
      <c r="D18" s="2">
        <f>SUM(B$2:B18)</f>
        <v>-44817541.6752084</v>
      </c>
      <c r="E18" s="2">
        <f>SUM(C$2:C18)</f>
        <v>-41775048.28636379</v>
      </c>
    </row>
    <row r="19" spans="1:5">
      <c r="A19" s="2">
        <v>17</v>
      </c>
      <c r="B19" s="2">
        <v>-771903.4869872746</v>
      </c>
      <c r="C19" s="2">
        <f>B19/(1+'Evaluacion proyecto'!G3)^(A19/12)</f>
        <v>-596196.7042065163</v>
      </c>
      <c r="D19" s="2">
        <f>SUM(B$2:B19)</f>
        <v>-45589445.162195675</v>
      </c>
      <c r="E19" s="2">
        <f>SUM(C$2:C19)</f>
        <v>-42371244.99057031</v>
      </c>
    </row>
    <row r="20" spans="1:5">
      <c r="A20" s="2">
        <v>18</v>
      </c>
      <c r="B20" s="2">
        <v>-2371726.300286933</v>
      </c>
      <c r="C20" s="2">
        <f>B20/(1+'Evaluacion proyecto'!G3)^(A20/12)</f>
        <v>-1804233.3262436453</v>
      </c>
      <c r="D20" s="2">
        <f>SUM(B$2:B20)</f>
        <v>-47961171.46248261</v>
      </c>
      <c r="E20" s="2">
        <f>SUM(C$2:C20)</f>
        <v>-44175478.31681395</v>
      </c>
    </row>
    <row r="21" spans="1:5">
      <c r="A21" s="2">
        <v>19</v>
      </c>
      <c r="B21" s="2">
        <v>-520162.2129365779</v>
      </c>
      <c r="C21" s="2">
        <f>B21/(1+'Evaluacion proyecto'!G3)^(A21/12)</f>
        <v>-389734.1782989963</v>
      </c>
      <c r="D21" s="2">
        <f>SUM(B$2:B21)</f>
        <v>-48481333.67541919</v>
      </c>
      <c r="E21" s="2">
        <f>SUM(C$2:C21)</f>
        <v>-44565212.49511295</v>
      </c>
    </row>
    <row r="22" spans="1:5">
      <c r="A22" s="2">
        <v>20</v>
      </c>
      <c r="B22" s="2">
        <v>-310436.0230042189</v>
      </c>
      <c r="C22" s="2">
        <f>B22/(1+'Evaluacion proyecto'!G3)^(A22/12)</f>
        <v>-229088.54168639128</v>
      </c>
      <c r="D22" s="2">
        <f>SUM(B$2:B22)</f>
        <v>-48791769.69842341</v>
      </c>
      <c r="E22" s="2">
        <f>SUM(C$2:C22)</f>
        <v>-44794301.03679934</v>
      </c>
    </row>
    <row r="23" spans="1:5">
      <c r="A23" s="2">
        <v>21</v>
      </c>
      <c r="B23" s="2">
        <v>390708.1816806393</v>
      </c>
      <c r="C23" s="2">
        <f>B23/(1+'Evaluacion proyecto'!G3)^(A23/12)</f>
        <v>283978.41124649445</v>
      </c>
      <c r="D23" s="2">
        <f>SUM(B$2:B23)</f>
        <v>-48401061.516742766</v>
      </c>
      <c r="E23" s="2">
        <f>SUM(C$2:C23)</f>
        <v>-44510322.62555285</v>
      </c>
    </row>
    <row r="24" spans="1:5">
      <c r="A24" s="2">
        <v>22</v>
      </c>
      <c r="B24" s="2">
        <v>757558.8174424153</v>
      </c>
      <c r="C24" s="2">
        <f>B24/(1+'Evaluacion proyecto'!G3)^(A24/12)</f>
        <v>542313.9046717512</v>
      </c>
      <c r="D24" s="2">
        <f>SUM(B$2:B24)</f>
        <v>-47643502.69930035</v>
      </c>
      <c r="E24" s="2">
        <f>SUM(C$2:C24)</f>
        <v>-43968008.7208811</v>
      </c>
    </row>
    <row r="25" spans="1:5">
      <c r="A25" s="2">
        <v>23</v>
      </c>
      <c r="B25" s="2">
        <v>4438673.7955873</v>
      </c>
      <c r="C25" s="2">
        <f>B25/(1+'Evaluacion proyecto'!G3)^(A25/12)</f>
        <v>3129602.4591102595</v>
      </c>
      <c r="D25" s="2">
        <f>SUM(B$2:B25)</f>
        <v>-43204828.90371305</v>
      </c>
      <c r="E25" s="2">
        <f>SUM(C$2:C25)</f>
        <v>-40838406.26177084</v>
      </c>
    </row>
    <row r="26" spans="1:5">
      <c r="A26" s="2">
        <v>24</v>
      </c>
      <c r="B26" s="2">
        <v>5871598.211599711</v>
      </c>
      <c r="C26" s="2">
        <f>B26/(1+'Evaluacion proyecto'!G3)^(A26/12)</f>
        <v>4077498.7580553554</v>
      </c>
      <c r="D26" s="2">
        <f>SUM(B$2:B26)</f>
        <v>-37333230.69211334</v>
      </c>
      <c r="E26" s="2">
        <f>SUM(C$2:C26)</f>
        <v>-36760907.503715485</v>
      </c>
    </row>
    <row r="27" spans="1:5">
      <c r="A27" s="2">
        <v>25</v>
      </c>
      <c r="B27" s="2">
        <v>-8891731.129183609</v>
      </c>
      <c r="C27" s="2">
        <f>B27/(1+'Evaluacion proyecto'!G3)^(A27/12)</f>
        <v>-6081705.591809427</v>
      </c>
      <c r="D27" s="2">
        <f>SUM(B$2:B27)</f>
        <v>-46224961.821296945</v>
      </c>
      <c r="E27" s="2">
        <f>SUM(C$2:C27)</f>
        <v>-42842613.095524915</v>
      </c>
    </row>
    <row r="28" spans="1:5">
      <c r="A28" s="2">
        <v>26</v>
      </c>
      <c r="B28" s="2">
        <v>-4504990.800784804</v>
      </c>
      <c r="C28" s="2">
        <f>B28/(1+'Evaluacion proyecto'!G3)^(A28/12)</f>
        <v>-3034831.2126386</v>
      </c>
      <c r="D28" s="2">
        <f>SUM(B$2:B28)</f>
        <v>-50729952.62208175</v>
      </c>
      <c r="E28" s="2">
        <f>SUM(C$2:C28)</f>
        <v>-45877444.308163516</v>
      </c>
    </row>
    <row r="29" spans="1:5">
      <c r="A29" s="2">
        <v>27</v>
      </c>
      <c r="B29" s="2">
        <v>-3502696.735245152</v>
      </c>
      <c r="C29" s="2">
        <f>B29/(1+'Evaluacion proyecto'!G3)^(A29/12)</f>
        <v>-2324046.0756720477</v>
      </c>
      <c r="D29" s="2">
        <f>SUM(B$2:B29)</f>
        <v>-54232649.3573269</v>
      </c>
      <c r="E29" s="2">
        <f>SUM(C$2:C29)</f>
        <v>-48201490.38383556</v>
      </c>
    </row>
    <row r="30" spans="1:5">
      <c r="A30" s="2">
        <v>28</v>
      </c>
      <c r="B30" s="2">
        <v>-2662204.391347081</v>
      </c>
      <c r="C30" s="2">
        <f>B30/(1+'Evaluacion proyecto'!G3)^(A30/12)</f>
        <v>-1739743.2281270088</v>
      </c>
      <c r="D30" s="2">
        <f>SUM(B$2:B30)</f>
        <v>-56894853.74867398</v>
      </c>
      <c r="E30" s="2">
        <f>SUM(C$2:C30)</f>
        <v>-49941233.61196257</v>
      </c>
    </row>
    <row r="31" spans="1:5">
      <c r="A31" s="2">
        <v>29</v>
      </c>
      <c r="B31" s="2">
        <v>-2564644.553071065</v>
      </c>
      <c r="C31" s="2">
        <f>B31/(1+'Evaluacion proyecto'!G3)^(A31/12)</f>
        <v>-1650716.5465831636</v>
      </c>
      <c r="D31" s="2">
        <f>SUM(B$2:B31)</f>
        <v>-59459498.30174505</v>
      </c>
      <c r="E31" s="2">
        <f>SUM(C$2:C31)</f>
        <v>-51591950.15854573</v>
      </c>
    </row>
    <row r="32" spans="1:5">
      <c r="A32" s="2">
        <v>30</v>
      </c>
      <c r="B32" s="2">
        <v>-1562318.205054876</v>
      </c>
      <c r="C32" s="2">
        <f>B32/(1+'Evaluacion proyecto'!G3)^(A32/12)</f>
        <v>-990413.1052193722</v>
      </c>
      <c r="D32" s="2">
        <f>SUM(B$2:B32)</f>
        <v>-61021816.50679993</v>
      </c>
      <c r="E32" s="2">
        <f>SUM(C$2:C32)</f>
        <v>-52582363.263765104</v>
      </c>
    </row>
    <row r="33" spans="1:5">
      <c r="A33" s="2">
        <v>31</v>
      </c>
      <c r="B33" s="2">
        <v>-1744921.342107647</v>
      </c>
      <c r="C33" s="2">
        <f>B33/(1+'Evaluacion proyecto'!G3)^(A33/12)</f>
        <v>-1089492.643752176</v>
      </c>
      <c r="D33" s="2">
        <f>SUM(B$2:B33)</f>
        <v>-62766737.848907575</v>
      </c>
      <c r="E33" s="2">
        <f>SUM(C$2:C33)</f>
        <v>-53671855.90751728</v>
      </c>
    </row>
    <row r="34" spans="1:5">
      <c r="A34" s="2">
        <v>32</v>
      </c>
      <c r="B34" s="2">
        <v>98065.70705700293</v>
      </c>
      <c r="C34" s="2">
        <f>B34/(1+'Evaluacion proyecto'!G3)^(A34/12)</f>
        <v>60306.9235804837</v>
      </c>
      <c r="D34" s="2">
        <f>SUM(B$2:B34)</f>
        <v>-62668672.141850576</v>
      </c>
      <c r="E34" s="2">
        <f>SUM(C$2:C34)</f>
        <v>-53611548.983936794</v>
      </c>
    </row>
    <row r="35" spans="1:5">
      <c r="A35" s="2">
        <v>33</v>
      </c>
      <c r="B35" s="2">
        <v>1218824.413917799</v>
      </c>
      <c r="C35" s="2">
        <f>B35/(1+'Evaluacion proyecto'!G3)^(A35/12)</f>
        <v>738231.7478908313</v>
      </c>
      <c r="D35" s="2">
        <f>SUM(B$2:B35)</f>
        <v>-61449847.72793278</v>
      </c>
      <c r="E35" s="2">
        <f>SUM(C$2:C35)</f>
        <v>-52873317.236045964</v>
      </c>
    </row>
    <row r="36" spans="1:5">
      <c r="A36" s="2">
        <v>34</v>
      </c>
      <c r="B36" s="2">
        <v>853765.6868905423</v>
      </c>
      <c r="C36" s="2">
        <f>B36/(1+'Evaluacion proyecto'!G3)^(A36/12)</f>
        <v>509321.2925868125</v>
      </c>
      <c r="D36" s="2">
        <f>SUM(B$2:B36)</f>
        <v>-60596082.04104224</v>
      </c>
      <c r="E36" s="2">
        <f>SUM(C$2:C36)</f>
        <v>-52363995.94345915</v>
      </c>
    </row>
    <row r="37" spans="1:5">
      <c r="A37" s="2">
        <v>35</v>
      </c>
      <c r="B37" s="2">
        <v>7133563.867871768</v>
      </c>
      <c r="C37" s="2">
        <f>B37/(1+'Evaluacion proyecto'!G3)^(A37/12)</f>
        <v>4191420.690662558</v>
      </c>
      <c r="D37" s="2">
        <f>SUM(B$2:B37)</f>
        <v>-53462518.17317047</v>
      </c>
      <c r="E37" s="2">
        <f>SUM(C$2:C37)</f>
        <v>-48172575.2527966</v>
      </c>
    </row>
    <row r="38" spans="1:5">
      <c r="A38" s="2">
        <v>36</v>
      </c>
      <c r="B38" s="2">
        <v>9126421.797267439</v>
      </c>
      <c r="C38" s="2">
        <f>B38/(1+'Evaluacion proyecto'!G3)^(A38/12)</f>
        <v>5281494.09564088</v>
      </c>
      <c r="D38" s="2">
        <f>SUM(B$2:B38)</f>
        <v>-44336096.37590303</v>
      </c>
      <c r="E38" s="2">
        <f>SUM(C$2:C38)</f>
        <v>-42891081.157155715</v>
      </c>
    </row>
    <row r="39" spans="1:5">
      <c r="A39" s="2">
        <v>37</v>
      </c>
      <c r="B39" s="2">
        <v>-12014529.67618801</v>
      </c>
      <c r="C39" s="2">
        <f>B39/(1+'Evaluacion proyecto'!G3)^(A39/12)</f>
        <v>-6848013.363300841</v>
      </c>
      <c r="D39" s="2">
        <f>SUM(B$2:B39)</f>
        <v>-56350626.05209104</v>
      </c>
      <c r="E39" s="2">
        <f>SUM(C$2:C39)</f>
        <v>-49739094.52045655</v>
      </c>
    </row>
    <row r="40" spans="1:5">
      <c r="A40" s="2">
        <v>38</v>
      </c>
      <c r="B40" s="2">
        <v>-4773731.131483648</v>
      </c>
      <c r="C40" s="2">
        <f>B40/(1+'Evaluacion proyecto'!G3)^(A40/12)</f>
        <v>-2679892.3089268254</v>
      </c>
      <c r="D40" s="2">
        <f>SUM(B$2:B40)</f>
        <v>-61124357.18357469</v>
      </c>
      <c r="E40" s="2">
        <f>SUM(C$2:C40)</f>
        <v>-52418986.82938338</v>
      </c>
    </row>
    <row r="41" spans="1:5">
      <c r="A41" s="2">
        <v>39</v>
      </c>
      <c r="B41" s="2">
        <v>-3619399.756800956</v>
      </c>
      <c r="C41" s="2">
        <f>B41/(1+'Evaluacion proyecto'!G3)^(A41/12)</f>
        <v>-2001232.2973042312</v>
      </c>
      <c r="D41" s="2">
        <f>SUM(B$2:B41)</f>
        <v>-64743756.94037565</v>
      </c>
      <c r="E41" s="2">
        <f>SUM(C$2:C41)</f>
        <v>-54420219.12668761</v>
      </c>
    </row>
    <row r="42" spans="1:5">
      <c r="A42" s="2">
        <v>40</v>
      </c>
      <c r="B42" s="2">
        <v>-3518998.382389759</v>
      </c>
      <c r="C42" s="2">
        <f>B42/(1+'Evaluacion proyecto'!G3)^(A42/12)</f>
        <v>-1916379.7820618183</v>
      </c>
      <c r="D42" s="2">
        <f>SUM(B$2:B42)</f>
        <v>-68262755.32276541</v>
      </c>
      <c r="E42" s="2">
        <f>SUM(C$2:C42)</f>
        <v>-56336598.908749424</v>
      </c>
    </row>
    <row r="43" spans="1:5">
      <c r="A43" s="2">
        <v>41</v>
      </c>
      <c r="B43" s="2">
        <v>-3251906.164716315</v>
      </c>
      <c r="C43" s="2">
        <f>B43/(1+'Evaluacion proyecto'!G3)^(A43/12)</f>
        <v>-1744223.2906456988</v>
      </c>
      <c r="D43" s="2">
        <f>SUM(B$2:B43)</f>
        <v>-71514661.48748173</v>
      </c>
      <c r="E43" s="2">
        <f>SUM(C$2:C43)</f>
        <v>-58080822.19939512</v>
      </c>
    </row>
    <row r="44" spans="1:5">
      <c r="A44" s="2">
        <v>42</v>
      </c>
      <c r="B44" s="2">
        <v>-1642307.955043984</v>
      </c>
      <c r="C44" s="2">
        <f>B44/(1+'Evaluacion proyecto'!G3)^(A44/12)</f>
        <v>-867601.3824727722</v>
      </c>
      <c r="D44" s="2">
        <f>SUM(B$2:B44)</f>
        <v>-73156969.44252571</v>
      </c>
      <c r="E44" s="2">
        <f>SUM(C$2:C44)</f>
        <v>-58948423.58186789</v>
      </c>
    </row>
    <row r="45" spans="1:5">
      <c r="A45" s="2">
        <v>43</v>
      </c>
      <c r="B45" s="2">
        <v>-487977.7577140331</v>
      </c>
      <c r="C45" s="2">
        <f>B45/(1+'Evaluacion proyecto'!G3)^(A45/12)</f>
        <v>-253902.64712541728</v>
      </c>
      <c r="D45" s="2">
        <f>SUM(B$2:B45)</f>
        <v>-73644947.20023975</v>
      </c>
      <c r="E45" s="2">
        <f>SUM(C$2:C45)</f>
        <v>-59202326.228993304</v>
      </c>
    </row>
    <row r="46" spans="1:5">
      <c r="A46" s="2">
        <v>44</v>
      </c>
      <c r="B46" s="2">
        <v>-286815.1613216037</v>
      </c>
      <c r="C46" s="2">
        <f>B46/(1+'Evaluacion proyecto'!G3)^(A46/12)</f>
        <v>-146984.27322043557</v>
      </c>
      <c r="D46" s="2">
        <f>SUM(B$2:B46)</f>
        <v>-73931762.36156136</v>
      </c>
      <c r="E46" s="2">
        <f>SUM(C$2:C46)</f>
        <v>-59349310.50221374</v>
      </c>
    </row>
    <row r="47" spans="1:5">
      <c r="A47" s="2">
        <v>45</v>
      </c>
      <c r="B47" s="2">
        <v>1200909.021989507</v>
      </c>
      <c r="C47" s="2">
        <f>B47/(1+'Evaluacion proyecto'!G3)^(A47/12)</f>
        <v>606150.4541026354</v>
      </c>
      <c r="D47" s="2">
        <f>SUM(B$2:B47)</f>
        <v>-72730853.33957185</v>
      </c>
      <c r="E47" s="2">
        <f>SUM(C$2:C47)</f>
        <v>-58743160.0481111</v>
      </c>
    </row>
    <row r="48" spans="1:5">
      <c r="A48" s="2">
        <v>46</v>
      </c>
      <c r="B48" s="2">
        <v>2744520.112328636</v>
      </c>
      <c r="C48" s="2">
        <f>B48/(1+'Evaluacion proyecto'!G3)^(A48/12)</f>
        <v>1364389.3094297897</v>
      </c>
      <c r="D48" s="2">
        <f>SUM(B$2:B48)</f>
        <v>-69986333.22724321</v>
      </c>
      <c r="E48" s="2">
        <f>SUM(C$2:C48)</f>
        <v>-57378770.73868132</v>
      </c>
    </row>
    <row r="49" spans="1:5">
      <c r="A49" s="2">
        <v>47</v>
      </c>
      <c r="B49" s="2">
        <v>10388437.67455997</v>
      </c>
      <c r="C49" s="2">
        <f>B49/(1+'Evaluacion proyecto'!G3)^(A49/12)</f>
        <v>5086554.376290966</v>
      </c>
      <c r="D49" s="2">
        <f>SUM(B$2:B49)</f>
        <v>-59597895.55268324</v>
      </c>
      <c r="E49" s="2">
        <f>SUM(C$2:C49)</f>
        <v>-52292216.362390354</v>
      </c>
    </row>
    <row r="50" spans="1:5">
      <c r="A50" s="2">
        <v>48</v>
      </c>
      <c r="B50" s="2">
        <v>12086404.90101089</v>
      </c>
      <c r="C50" s="2">
        <f>B50/(1+'Evaluacion proyecto'!G3)^(A50/12)</f>
        <v>5828706.067231332</v>
      </c>
      <c r="D50" s="2">
        <f>SUM(B$2:B50)</f>
        <v>-47511490.65167235</v>
      </c>
      <c r="E50" s="2">
        <f>SUM(C$2:C50)</f>
        <v>-46463510.29515902</v>
      </c>
    </row>
    <row r="51" spans="1:5">
      <c r="A51" s="2">
        <v>49</v>
      </c>
      <c r="B51" s="2">
        <v>-15374575.32762073</v>
      </c>
      <c r="C51" s="2">
        <f>B51/(1+'Evaluacion proyecto'!G3)^(A51/12)</f>
        <v>-7302636.899948082</v>
      </c>
      <c r="D51" s="2">
        <f>SUM(B$2:B51)</f>
        <v>-62886065.97929308</v>
      </c>
      <c r="E51" s="2">
        <f>SUM(C$2:C51)</f>
        <v>-53766147.1951071</v>
      </c>
    </row>
    <row r="52" spans="1:5">
      <c r="A52" s="2">
        <v>50</v>
      </c>
      <c r="B52" s="2">
        <v>-7421786.094276669</v>
      </c>
      <c r="C52" s="2">
        <f>B52/(1+'Evaluacion proyecto'!G3)^(A52/12)</f>
        <v>-3472054.8289395277</v>
      </c>
      <c r="D52" s="2">
        <f>SUM(B$2:B52)</f>
        <v>-70307852.07356974</v>
      </c>
      <c r="E52" s="2">
        <f>SUM(C$2:C52)</f>
        <v>-57238202.02404663</v>
      </c>
    </row>
    <row r="53" spans="1:5">
      <c r="A53" s="2">
        <v>51</v>
      </c>
      <c r="B53" s="2">
        <v>-5466640.68925763</v>
      </c>
      <c r="C53" s="2">
        <f>B53/(1+'Evaluacion proyecto'!G3)^(A53/12)</f>
        <v>-2518837.9842410856</v>
      </c>
      <c r="D53" s="2">
        <f>SUM(B$2:B53)</f>
        <v>-75774492.76282738</v>
      </c>
      <c r="E53" s="2">
        <f>SUM(C$2:C53)</f>
        <v>-59757040.00828771</v>
      </c>
    </row>
    <row r="54" spans="1:5">
      <c r="A54" s="2">
        <v>52</v>
      </c>
      <c r="B54" s="2">
        <v>-4768718.121260352</v>
      </c>
      <c r="C54" s="2">
        <f>B54/(1+'Evaluacion proyecto'!G3)^(A54/12)</f>
        <v>-2164127.876004939</v>
      </c>
      <c r="D54" s="2">
        <f>SUM(B$2:B54)</f>
        <v>-80543210.88408773</v>
      </c>
      <c r="E54" s="2">
        <f>SUM(C$2:C54)</f>
        <v>-61921167.884292655</v>
      </c>
    </row>
    <row r="55" spans="1:5">
      <c r="A55" s="2">
        <v>53</v>
      </c>
      <c r="B55" s="2">
        <v>-3110920.835159278</v>
      </c>
      <c r="C55" s="2">
        <f>B55/(1+'Evaluacion proyecto'!G3)^(A55/12)</f>
        <v>-1390502.5496825639</v>
      </c>
      <c r="D55" s="2">
        <f>SUM(B$2:B55)</f>
        <v>-83654131.719247</v>
      </c>
      <c r="E55" s="2">
        <f>SUM(C$2:C55)</f>
        <v>-63311670.43397522</v>
      </c>
    </row>
    <row r="56" spans="1:5">
      <c r="A56" s="2">
        <v>54</v>
      </c>
      <c r="B56" s="2">
        <v>-3498393.149716748</v>
      </c>
      <c r="C56" s="2">
        <f>B56/(1+'Evaluacion proyecto'!G3)^(A56/12)</f>
        <v>-1540114.4893915663</v>
      </c>
      <c r="D56" s="2">
        <f>SUM(B$2:B56)</f>
        <v>-87152524.86896375</v>
      </c>
      <c r="E56" s="2">
        <f>SUM(C$2:C56)</f>
        <v>-64851784.923366785</v>
      </c>
    </row>
    <row r="57" spans="1:5">
      <c r="A57" s="2">
        <v>55</v>
      </c>
      <c r="B57" s="2">
        <v>-1668846.150954817</v>
      </c>
      <c r="C57" s="2">
        <f>B57/(1+'Evaluacion proyecto'!G3)^(A57/12)</f>
        <v>-723606.1628393672</v>
      </c>
      <c r="D57" s="2">
        <f>SUM(B$2:B57)</f>
        <v>-88821371.01991856</v>
      </c>
      <c r="E57" s="2">
        <f>SUM(C$2:C57)</f>
        <v>-65575391.08620615</v>
      </c>
    </row>
    <row r="58" spans="1:5">
      <c r="A58" s="2">
        <v>56</v>
      </c>
      <c r="B58" s="2">
        <v>515565.0817245198</v>
      </c>
      <c r="C58" s="2">
        <f>B58/(1+'Evaluacion proyecto'!G3)^(A58/12)</f>
        <v>220176.5255537448</v>
      </c>
      <c r="D58" s="2">
        <f>SUM(B$2:B58)</f>
        <v>-88305805.93819404</v>
      </c>
      <c r="E58" s="2">
        <f>SUM(C$2:C58)</f>
        <v>-65355214.560652405</v>
      </c>
    </row>
    <row r="59" spans="1:5">
      <c r="A59" s="2">
        <v>57</v>
      </c>
      <c r="B59" s="2">
        <v>1385329.954603781</v>
      </c>
      <c r="C59" s="2">
        <f>B59/(1+'Evaluacion proyecto'!G3)^(A59/12)</f>
        <v>582696.3614570424</v>
      </c>
      <c r="D59" s="2">
        <f>SUM(B$2:B59)</f>
        <v>-86920475.98359026</v>
      </c>
      <c r="E59" s="2">
        <f>SUM(C$2:C59)</f>
        <v>-64772518.19919536</v>
      </c>
    </row>
    <row r="60" spans="1:5">
      <c r="A60" s="2">
        <v>58</v>
      </c>
      <c r="B60" s="2">
        <v>3741449.447462889</v>
      </c>
      <c r="C60" s="2">
        <f>B60/(1+'Evaluacion proyecto'!G3)^(A60/12)</f>
        <v>1549995.8155887802</v>
      </c>
      <c r="D60" s="2">
        <f>SUM(B$2:B60)</f>
        <v>-83179026.53612737</v>
      </c>
      <c r="E60" s="2">
        <f>SUM(C$2:C60)</f>
        <v>-63222522.38360658</v>
      </c>
    </row>
    <row r="61" spans="1:5">
      <c r="A61" s="2">
        <v>59</v>
      </c>
      <c r="B61" s="2">
        <v>14082782.00501516</v>
      </c>
      <c r="C61" s="2">
        <f>B61/(1+'Evaluacion proyecto'!G3)^(A61/12)</f>
        <v>5746199.018082517</v>
      </c>
      <c r="D61" s="2">
        <f>SUM(B$2:B61)</f>
        <v>-69096244.53111221</v>
      </c>
      <c r="E61" s="2">
        <f>SUM(C$2:C61)</f>
        <v>-57476323.36552407</v>
      </c>
    </row>
    <row r="62" spans="1:5">
      <c r="A62" s="2">
        <v>60</v>
      </c>
      <c r="B62" s="2">
        <v>16677379.98499131</v>
      </c>
      <c r="C62" s="2">
        <f>B62/(1+'Evaluacion proyecto'!G3)^(A62/12)</f>
        <v>6702264.97596423</v>
      </c>
      <c r="D62" s="2">
        <f>SUM(B$2:B62)</f>
        <v>-52418864.5461209</v>
      </c>
      <c r="E62" s="2">
        <f>SUM(C$2:C62)</f>
        <v>-50774058.389559835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62"/>
  <sheetViews>
    <sheetView workbookViewId="0"/>
  </sheetViews>
  <sheetFormatPr defaultRowHeight="15"/>
  <cols>
    <col min="1" max="5" width="25.7109375" customWidth="1"/>
  </cols>
  <sheetData>
    <row r="1" spans="1:5">
      <c r="A1" s="1" t="s">
        <v>194</v>
      </c>
      <c r="B1" s="1" t="s">
        <v>195</v>
      </c>
      <c r="C1" s="1" t="s">
        <v>196</v>
      </c>
      <c r="D1" s="1" t="s">
        <v>197</v>
      </c>
      <c r="E1" s="1" t="s">
        <v>198</v>
      </c>
    </row>
    <row r="2" spans="1:5">
      <c r="A2" s="2">
        <v>0</v>
      </c>
      <c r="B2" s="2">
        <v>-23661181.6</v>
      </c>
      <c r="C2" s="2">
        <f>B2/(1+'Evaluacion proyecto'!G4)^(A2/12)</f>
        <v>-23661181.6</v>
      </c>
      <c r="D2" s="2">
        <f>SUM(B$2:B2)</f>
        <v>-23661181.6</v>
      </c>
      <c r="E2" s="2">
        <f>SUM(C$2:C2)</f>
        <v>-23661181.6</v>
      </c>
    </row>
    <row r="3" spans="1:5">
      <c r="A3" s="2">
        <v>1</v>
      </c>
      <c r="B3" s="2">
        <v>-2458359.104201681</v>
      </c>
      <c r="C3" s="2">
        <f>B3/(1+'Evaluacion proyecto'!G4)^(A3/12)</f>
        <v>-2421290.429795446</v>
      </c>
      <c r="D3" s="2">
        <f>SUM(B$2:B3)</f>
        <v>-26119540.704201683</v>
      </c>
      <c r="E3" s="2">
        <f>SUM(C$2:C3)</f>
        <v>-26082472.029795446</v>
      </c>
    </row>
    <row r="4" spans="1:5">
      <c r="A4" s="2">
        <v>2</v>
      </c>
      <c r="B4" s="2">
        <v>-2782931.345378151</v>
      </c>
      <c r="C4" s="2">
        <f>B4/(1+'Evaluacion proyecto'!G4)^(A4/12)</f>
        <v>-2699638.53148872</v>
      </c>
      <c r="D4" s="2">
        <f>SUM(B$2:B4)</f>
        <v>-28902472.049579836</v>
      </c>
      <c r="E4" s="2">
        <f>SUM(C$2:C4)</f>
        <v>-28782110.561284166</v>
      </c>
    </row>
    <row r="5" spans="1:5">
      <c r="A5" s="2">
        <v>3</v>
      </c>
      <c r="B5" s="2">
        <v>-873668.8974789912</v>
      </c>
      <c r="C5" s="2">
        <f>B5/(1+'Evaluacion proyecto'!G4)^(A5/12)</f>
        <v>-834740.650869438</v>
      </c>
      <c r="D5" s="2">
        <f>SUM(B$2:B5)</f>
        <v>-29776140.947058827</v>
      </c>
      <c r="E5" s="2">
        <f>SUM(C$2:C5)</f>
        <v>-29616851.212153602</v>
      </c>
    </row>
    <row r="6" spans="1:5">
      <c r="A6" s="2">
        <v>4</v>
      </c>
      <c r="B6" s="2">
        <v>-2162619.138655462</v>
      </c>
      <c r="C6" s="2">
        <f>B6/(1+'Evaluacion proyecto'!G4)^(A6/12)</f>
        <v>-2035102.5262224465</v>
      </c>
      <c r="D6" s="2">
        <f>SUM(B$2:B6)</f>
        <v>-31938760.085714288</v>
      </c>
      <c r="E6" s="2">
        <f>SUM(C$2:C6)</f>
        <v>-31651953.738376047</v>
      </c>
    </row>
    <row r="7" spans="1:5">
      <c r="A7" s="2">
        <v>5</v>
      </c>
      <c r="B7" s="2">
        <v>-100817.3462184872</v>
      </c>
      <c r="C7" s="2">
        <f>B7/(1+'Evaluacion proyecto'!G4)^(A7/12)</f>
        <v>-93442.20445523174</v>
      </c>
      <c r="D7" s="2">
        <f>SUM(B$2:B7)</f>
        <v>-32039577.431932773</v>
      </c>
      <c r="E7" s="2">
        <f>SUM(C$2:C7)</f>
        <v>-31745395.942831278</v>
      </c>
    </row>
    <row r="8" spans="1:5">
      <c r="A8" s="2">
        <v>6</v>
      </c>
      <c r="B8" s="2">
        <v>-425389.5873949575</v>
      </c>
      <c r="C8" s="2">
        <f>B8/(1+'Evaluacion proyecto'!G4)^(A8/12)</f>
        <v>-388325.7879067225</v>
      </c>
      <c r="D8" s="2">
        <f>SUM(B$2:B8)</f>
        <v>-32464967.01932773</v>
      </c>
      <c r="E8" s="2">
        <f>SUM(C$2:C8)</f>
        <v>-32133721.730738</v>
      </c>
    </row>
    <row r="9" spans="1:5">
      <c r="A9" s="2">
        <v>7</v>
      </c>
      <c r="B9" s="2">
        <v>519494.8605042021</v>
      </c>
      <c r="C9" s="2">
        <f>B9/(1+'Evaluacion proyecto'!G4)^(A9/12)</f>
        <v>467080.9933220034</v>
      </c>
      <c r="D9" s="2">
        <f>SUM(B$2:B9)</f>
        <v>-31945472.158823527</v>
      </c>
      <c r="E9" s="2">
        <f>SUM(C$2:C9)</f>
        <v>-31666640.737415995</v>
      </c>
    </row>
    <row r="10" spans="1:5">
      <c r="A10" s="2">
        <v>8</v>
      </c>
      <c r="B10" s="2">
        <v>1139807.06722689</v>
      </c>
      <c r="C10" s="2">
        <f>B10/(1+'Evaluacion proyecto'!G4)^(A10/12)</f>
        <v>1009354.7893362964</v>
      </c>
      <c r="D10" s="2">
        <f>SUM(B$2:B10)</f>
        <v>-30805665.091596637</v>
      </c>
      <c r="E10" s="2">
        <f>SUM(C$2:C10)</f>
        <v>-30657285.948079698</v>
      </c>
    </row>
    <row r="11" spans="1:5">
      <c r="A11" s="2">
        <v>9</v>
      </c>
      <c r="B11" s="2">
        <v>2084691.515126051</v>
      </c>
      <c r="C11" s="2">
        <f>B11/(1+'Evaluacion proyecto'!G4)^(A11/12)</f>
        <v>1818259.4954362456</v>
      </c>
      <c r="D11" s="2">
        <f>SUM(B$2:B11)</f>
        <v>-28720973.576470584</v>
      </c>
      <c r="E11" s="2">
        <f>SUM(C$2:C11)</f>
        <v>-28839026.452643454</v>
      </c>
    </row>
    <row r="12" spans="1:5">
      <c r="A12" s="2">
        <v>10</v>
      </c>
      <c r="B12" s="2">
        <v>2705003.721848739</v>
      </c>
      <c r="C12" s="2">
        <f>B12/(1+'Evaluacion proyecto'!G4)^(A12/12)</f>
        <v>2323718.391398304</v>
      </c>
      <c r="D12" s="2">
        <f>SUM(B$2:B12)</f>
        <v>-26015969.854621843</v>
      </c>
      <c r="E12" s="2">
        <f>SUM(C$2:C12)</f>
        <v>-26515308.06124515</v>
      </c>
    </row>
    <row r="13" spans="1:5">
      <c r="A13" s="2">
        <v>11</v>
      </c>
      <c r="B13" s="2">
        <v>6543022.1697479</v>
      </c>
      <c r="C13" s="2">
        <f>B13/(1+'Evaluacion proyecto'!G4)^(A13/12)</f>
        <v>5535993.645528953</v>
      </c>
      <c r="D13" s="2">
        <f>SUM(B$2:B13)</f>
        <v>-19472947.684873942</v>
      </c>
      <c r="E13" s="2">
        <f>SUM(C$2:C13)</f>
        <v>-20979314.415716197</v>
      </c>
    </row>
    <row r="14" spans="1:5">
      <c r="A14" s="2">
        <v>12</v>
      </c>
      <c r="B14" s="2">
        <v>9241088.107983194</v>
      </c>
      <c r="C14" s="2">
        <f>B14/(1+'Evaluacion proyecto'!G4)^(A14/12)</f>
        <v>7700906.7566526625</v>
      </c>
      <c r="D14" s="2">
        <f>SUM(B$2:B14)</f>
        <v>-10231859.576890748</v>
      </c>
      <c r="E14" s="2">
        <f>SUM(C$2:C14)</f>
        <v>-13278407.659063535</v>
      </c>
    </row>
    <row r="15" spans="1:5">
      <c r="A15" s="2">
        <v>13</v>
      </c>
      <c r="B15" s="2">
        <v>-8356970.042670588</v>
      </c>
      <c r="C15" s="2">
        <f>B15/(1+'Evaluacion proyecto'!G4)^(A15/12)</f>
        <v>-6859132.022867637</v>
      </c>
      <c r="D15" s="2">
        <f>SUM(B$2:B15)</f>
        <v>-18588829.619561337</v>
      </c>
      <c r="E15" s="2">
        <f>SUM(C$2:C15)</f>
        <v>-20137539.68193117</v>
      </c>
    </row>
    <row r="16" spans="1:5">
      <c r="A16" s="2">
        <v>14</v>
      </c>
      <c r="B16" s="2">
        <v>-3228986.476740372</v>
      </c>
      <c r="C16" s="2">
        <f>B16/(1+'Evaluacion proyecto'!G4)^(A16/12)</f>
        <v>-2610286.0702203843</v>
      </c>
      <c r="D16" s="2">
        <f>SUM(B$2:B16)</f>
        <v>-21817816.09630171</v>
      </c>
      <c r="E16" s="2">
        <f>SUM(C$2:C16)</f>
        <v>-22747825.752151556</v>
      </c>
    </row>
    <row r="17" spans="1:5">
      <c r="A17" s="2">
        <v>15</v>
      </c>
      <c r="B17" s="2">
        <v>-1711849.686724917</v>
      </c>
      <c r="C17" s="2">
        <f>B17/(1+'Evaluacion proyecto'!G4)^(A17/12)</f>
        <v>-1362978.7037655208</v>
      </c>
      <c r="D17" s="2">
        <f>SUM(B$2:B17)</f>
        <v>-23529665.783026624</v>
      </c>
      <c r="E17" s="2">
        <f>SUM(C$2:C17)</f>
        <v>-24110804.455917075</v>
      </c>
    </row>
    <row r="18" spans="1:5">
      <c r="A18" s="2">
        <v>16</v>
      </c>
      <c r="B18" s="2">
        <v>-1345185.840002932</v>
      </c>
      <c r="C18" s="2">
        <f>B18/(1+'Evaluacion proyecto'!G4)^(A18/12)</f>
        <v>-1054890.2841527911</v>
      </c>
      <c r="D18" s="2">
        <f>SUM(B$2:B18)</f>
        <v>-24874851.623029556</v>
      </c>
      <c r="E18" s="2">
        <f>SUM(C$2:C18)</f>
        <v>-25165694.740069866</v>
      </c>
    </row>
    <row r="19" spans="1:5">
      <c r="A19" s="2">
        <v>17</v>
      </c>
      <c r="B19" s="2">
        <v>444031.4782799622</v>
      </c>
      <c r="C19" s="2">
        <f>B19/(1+'Evaluacion proyecto'!G4)^(A19/12)</f>
        <v>342957.51784681994</v>
      </c>
      <c r="D19" s="2">
        <f>SUM(B$2:B19)</f>
        <v>-24430820.144749593</v>
      </c>
      <c r="E19" s="2">
        <f>SUM(C$2:C19)</f>
        <v>-24822737.222223047</v>
      </c>
    </row>
    <row r="20" spans="1:5">
      <c r="A20" s="2">
        <v>18</v>
      </c>
      <c r="B20" s="2">
        <v>810766.5970226078</v>
      </c>
      <c r="C20" s="2">
        <f>B20/(1+'Evaluacion proyecto'!G4)^(A20/12)</f>
        <v>616771.0473069211</v>
      </c>
      <c r="D20" s="2">
        <f>SUM(B$2:B20)</f>
        <v>-23620053.547726985</v>
      </c>
      <c r="E20" s="2">
        <f>SUM(C$2:C20)</f>
        <v>-24205966.174916126</v>
      </c>
    </row>
    <row r="21" spans="1:5">
      <c r="A21" s="2">
        <v>19</v>
      </c>
      <c r="B21" s="2">
        <v>1334648.805590085</v>
      </c>
      <c r="C21" s="2">
        <f>B21/(1+'Evaluacion proyecto'!G4)^(A21/12)</f>
        <v>999992.3920421535</v>
      </c>
      <c r="D21" s="2">
        <f>SUM(B$2:B21)</f>
        <v>-22285404.7421369</v>
      </c>
      <c r="E21" s="2">
        <f>SUM(C$2:C21)</f>
        <v>-23205973.782873973</v>
      </c>
    </row>
    <row r="22" spans="1:5">
      <c r="A22" s="2">
        <v>20</v>
      </c>
      <c r="B22" s="2">
        <v>3218776.877250204</v>
      </c>
      <c r="C22" s="2">
        <f>B22/(1+'Evaluacion proyecto'!G4)^(A22/12)</f>
        <v>2375320.0214560935</v>
      </c>
      <c r="D22" s="2">
        <f>SUM(B$2:B22)</f>
        <v>-19066627.864886694</v>
      </c>
      <c r="E22" s="2">
        <f>SUM(C$2:C22)</f>
        <v>-20830653.76141788</v>
      </c>
    </row>
    <row r="23" spans="1:5">
      <c r="A23" s="2">
        <v>21</v>
      </c>
      <c r="B23" s="2">
        <v>5008066.678947225</v>
      </c>
      <c r="C23" s="2">
        <f>B23/(1+'Evaluacion proyecto'!G4)^(A23/12)</f>
        <v>3640012.893475617</v>
      </c>
      <c r="D23" s="2">
        <f>SUM(B$2:B23)</f>
        <v>-14058561.185939468</v>
      </c>
      <c r="E23" s="2">
        <f>SUM(C$2:C23)</f>
        <v>-17190640.867942262</v>
      </c>
    </row>
    <row r="24" spans="1:5">
      <c r="A24" s="2">
        <v>22</v>
      </c>
      <c r="B24" s="2">
        <v>5741790.333708646</v>
      </c>
      <c r="C24" s="2">
        <f>B24/(1+'Evaluacion proyecto'!G4)^(A24/12)</f>
        <v>4110377.5231508645</v>
      </c>
      <c r="D24" s="2">
        <f>SUM(B$2:B24)</f>
        <v>-8316770.852230823</v>
      </c>
      <c r="E24" s="2">
        <f>SUM(C$2:C24)</f>
        <v>-13080263.344791397</v>
      </c>
    </row>
    <row r="25" spans="1:5">
      <c r="A25" s="2">
        <v>23</v>
      </c>
      <c r="B25" s="2">
        <v>15362689.96301378</v>
      </c>
      <c r="C25" s="2">
        <f>B25/(1+'Evaluacion proyecto'!G4)^(A25/12)</f>
        <v>10831864.313749347</v>
      </c>
      <c r="D25" s="2">
        <f>SUM(B$2:B25)</f>
        <v>7045919.11078296</v>
      </c>
      <c r="E25" s="2">
        <f>SUM(C$2:C25)</f>
        <v>-2248399.0310420506</v>
      </c>
    </row>
    <row r="26" spans="1:5">
      <c r="A26" s="2">
        <v>24</v>
      </c>
      <c r="B26" s="2">
        <v>10671559.76308036</v>
      </c>
      <c r="C26" s="2">
        <f>B26/(1+'Evaluacion proyecto'!G4)^(A26/12)</f>
        <v>7410805.39102803</v>
      </c>
      <c r="D26" s="2">
        <f>SUM(B$2:B26)</f>
        <v>17717478.873863325</v>
      </c>
      <c r="E26" s="2">
        <f>SUM(C$2:C26)</f>
        <v>5162406.359985979</v>
      </c>
    </row>
    <row r="27" spans="1:5">
      <c r="A27" s="2">
        <v>25</v>
      </c>
      <c r="B27" s="2">
        <v>-13432352.22862838</v>
      </c>
      <c r="C27" s="2">
        <f>B27/(1+'Evaluacion proyecto'!G4)^(A27/12)</f>
        <v>-9187368.63195092</v>
      </c>
      <c r="D27" s="2">
        <f>SUM(B$2:B27)</f>
        <v>4285126.645234948</v>
      </c>
      <c r="E27" s="2">
        <f>SUM(C$2:C27)</f>
        <v>-4024962.271964941</v>
      </c>
    </row>
    <row r="28" spans="1:5">
      <c r="A28" s="2">
        <v>26</v>
      </c>
      <c r="B28" s="2">
        <v>-4608202.187699148</v>
      </c>
      <c r="C28" s="2">
        <f>B28/(1+'Evaluacion proyecto'!G4)^(A28/12)</f>
        <v>-3104360.5751520162</v>
      </c>
      <c r="D28" s="2">
        <f>SUM(B$2:B28)</f>
        <v>-323075.5424642004</v>
      </c>
      <c r="E28" s="2">
        <f>SUM(C$2:C28)</f>
        <v>-7129322.847116957</v>
      </c>
    </row>
    <row r="29" spans="1:5">
      <c r="A29" s="2">
        <v>27</v>
      </c>
      <c r="B29" s="2">
        <v>-2485212.386955199</v>
      </c>
      <c r="C29" s="2">
        <f>B29/(1+'Evaluacion proyecto'!G4)^(A29/12)</f>
        <v>-1648943.237648163</v>
      </c>
      <c r="D29" s="2">
        <f>SUM(B$2:B29)</f>
        <v>-2808287.9294193992</v>
      </c>
      <c r="E29" s="2">
        <f>SUM(C$2:C29)</f>
        <v>-8778266.084765121</v>
      </c>
    </row>
    <row r="30" spans="1:5">
      <c r="A30" s="2">
        <v>28</v>
      </c>
      <c r="B30" s="2">
        <v>-1267004.588335688</v>
      </c>
      <c r="C30" s="2">
        <f>B30/(1+'Evaluacion proyecto'!G4)^(A30/12)</f>
        <v>-827984.0044315679</v>
      </c>
      <c r="D30" s="2">
        <f>SUM(B$2:B30)</f>
        <v>-4075292.5177550865</v>
      </c>
      <c r="E30" s="2">
        <f>SUM(C$2:C30)</f>
        <v>-9606250.08919669</v>
      </c>
    </row>
    <row r="31" spans="1:5">
      <c r="A31" s="2">
        <v>29</v>
      </c>
      <c r="B31" s="2">
        <v>-167189.9087140141</v>
      </c>
      <c r="C31" s="2">
        <f>B31/(1+'Evaluacion proyecto'!G4)^(A31/12)</f>
        <v>-107610.68172409013</v>
      </c>
      <c r="D31" s="2">
        <f>SUM(B$2:B31)</f>
        <v>-4242482.426469101</v>
      </c>
      <c r="E31" s="2">
        <f>SUM(C$2:C31)</f>
        <v>-9713860.77092078</v>
      </c>
    </row>
    <row r="32" spans="1:5">
      <c r="A32" s="2">
        <v>30</v>
      </c>
      <c r="B32" s="2">
        <v>189756.9182412667</v>
      </c>
      <c r="C32" s="2">
        <f>B32/(1+'Evaluacion proyecto'!G4)^(A32/12)</f>
        <v>120294.14880023766</v>
      </c>
      <c r="D32" s="2">
        <f>SUM(B$2:B32)</f>
        <v>-4052725.508227834</v>
      </c>
      <c r="E32" s="2">
        <f>SUM(C$2:C32)</f>
        <v>-9593566.622120542</v>
      </c>
    </row>
    <row r="33" spans="1:5">
      <c r="A33" s="2">
        <v>31</v>
      </c>
      <c r="B33" s="2">
        <v>2474648.795753598</v>
      </c>
      <c r="C33" s="2">
        <f>B33/(1+'Evaluacion proyecto'!G4)^(A33/12)</f>
        <v>1545119.3092676376</v>
      </c>
      <c r="D33" s="2">
        <f>SUM(B$2:B33)</f>
        <v>-1578076.7124742358</v>
      </c>
      <c r="E33" s="2">
        <f>SUM(C$2:C33)</f>
        <v>-8048447.312852905</v>
      </c>
    </row>
    <row r="34" spans="1:5">
      <c r="A34" s="2">
        <v>32</v>
      </c>
      <c r="B34" s="2">
        <v>4631328.763800681</v>
      </c>
      <c r="C34" s="2">
        <f>B34/(1+'Evaluacion proyecto'!G4)^(A34/12)</f>
        <v>2848102.544881194</v>
      </c>
      <c r="D34" s="2">
        <f>SUM(B$2:B34)</f>
        <v>3053252.051326445</v>
      </c>
      <c r="E34" s="2">
        <f>SUM(C$2:C34)</f>
        <v>-5200344.767971711</v>
      </c>
    </row>
    <row r="35" spans="1:5">
      <c r="A35" s="2">
        <v>33</v>
      </c>
      <c r="B35" s="2">
        <v>6916289.438787784</v>
      </c>
      <c r="C35" s="2">
        <f>B35/(1+'Evaluacion proyecto'!G4)^(A35/12)</f>
        <v>4189138.6347464127</v>
      </c>
      <c r="D35" s="2">
        <f>SUM(B$2:B35)</f>
        <v>9969541.490114229</v>
      </c>
      <c r="E35" s="2">
        <f>SUM(C$2:C35)</f>
        <v>-1011206.1332252985</v>
      </c>
    </row>
    <row r="36" spans="1:5">
      <c r="A36" s="2">
        <v>34</v>
      </c>
      <c r="B36" s="2">
        <v>8049893.45345184</v>
      </c>
      <c r="C36" s="2">
        <f>B36/(1+'Evaluacion proyecto'!G4)^(A36/12)</f>
        <v>4802233.448653287</v>
      </c>
      <c r="D36" s="2">
        <f>SUM(B$2:B36)</f>
        <v>18019434.94356607</v>
      </c>
      <c r="E36" s="2">
        <f>SUM(C$2:C36)</f>
        <v>3791027.315427989</v>
      </c>
    </row>
    <row r="37" spans="1:5">
      <c r="A37" s="2">
        <v>35</v>
      </c>
      <c r="B37" s="2">
        <v>22031172.07048007</v>
      </c>
      <c r="C37" s="2">
        <f>B37/(1+'Evaluacion proyecto'!G4)^(A37/12)</f>
        <v>12944709.287828468</v>
      </c>
      <c r="D37" s="2">
        <f>SUM(B$2:B37)</f>
        <v>40050607.01404614</v>
      </c>
      <c r="E37" s="2">
        <f>SUM(C$2:C37)</f>
        <v>16735736.603256457</v>
      </c>
    </row>
    <row r="38" spans="1:5">
      <c r="A38" s="2">
        <v>36</v>
      </c>
      <c r="B38" s="2">
        <v>11559519.99744851</v>
      </c>
      <c r="C38" s="2">
        <f>B38/(1+'Evaluacion proyecto'!G4)^(A38/12)</f>
        <v>6689537.035560478</v>
      </c>
      <c r="D38" s="2">
        <f>SUM(B$2:B38)</f>
        <v>51610127.011494644</v>
      </c>
      <c r="E38" s="2">
        <f>SUM(C$2:C38)</f>
        <v>23425273.638816934</v>
      </c>
    </row>
    <row r="39" spans="1:5">
      <c r="A39" s="2">
        <v>37</v>
      </c>
      <c r="B39" s="2">
        <v>-16759280.19906526</v>
      </c>
      <c r="C39" s="2">
        <f>B39/(1+'Evaluacion proyecto'!G4)^(A39/12)</f>
        <v>-9552415.105350656</v>
      </c>
      <c r="D39" s="2">
        <f>SUM(B$2:B39)</f>
        <v>34850846.81242939</v>
      </c>
      <c r="E39" s="2">
        <f>SUM(C$2:C39)</f>
        <v>13872858.533466278</v>
      </c>
    </row>
    <row r="40" spans="1:5">
      <c r="A40" s="2">
        <v>38</v>
      </c>
      <c r="B40" s="2">
        <v>-6107501.094093938</v>
      </c>
      <c r="C40" s="2">
        <f>B40/(1+'Evaluacion proyecto'!G4)^(A40/12)</f>
        <v>-3428648.316801539</v>
      </c>
      <c r="D40" s="2">
        <f>SUM(B$2:B40)</f>
        <v>28743345.718335453</v>
      </c>
      <c r="E40" s="2">
        <f>SUM(C$2:C40)</f>
        <v>10444210.216664739</v>
      </c>
    </row>
    <row r="41" spans="1:5">
      <c r="A41" s="2">
        <v>39</v>
      </c>
      <c r="B41" s="2">
        <v>-4108924.161659397</v>
      </c>
      <c r="C41" s="2">
        <f>B41/(1+'Evaluacion proyecto'!G4)^(A41/12)</f>
        <v>-2271899.290492964</v>
      </c>
      <c r="D41" s="2">
        <f>SUM(B$2:B41)</f>
        <v>24634421.556676056</v>
      </c>
      <c r="E41" s="2">
        <f>SUM(C$2:C41)</f>
        <v>8172310.926171775</v>
      </c>
    </row>
    <row r="42" spans="1:5">
      <c r="A42" s="2">
        <v>40</v>
      </c>
      <c r="B42" s="2">
        <v>-1056477.981639633</v>
      </c>
      <c r="C42" s="2">
        <f>B42/(1+'Evaluacion proyecto'!G4)^(A42/12)</f>
        <v>-575337.8729412063</v>
      </c>
      <c r="D42" s="2">
        <f>SUM(B$2:B42)</f>
        <v>23577943.57503642</v>
      </c>
      <c r="E42" s="2">
        <f>SUM(C$2:C42)</f>
        <v>7596973.053230569</v>
      </c>
    </row>
    <row r="43" spans="1:5">
      <c r="A43" s="2">
        <v>41</v>
      </c>
      <c r="B43" s="2">
        <v>-278398.5661084717</v>
      </c>
      <c r="C43" s="2">
        <f>B43/(1+'Evaluacion proyecto'!G4)^(A43/12)</f>
        <v>-149324.50030615315</v>
      </c>
      <c r="D43" s="2">
        <f>SUM(B$2:B43)</f>
        <v>23299545.00892795</v>
      </c>
      <c r="E43" s="2">
        <f>SUM(C$2:C43)</f>
        <v>7447648.552924416</v>
      </c>
    </row>
    <row r="44" spans="1:5">
      <c r="A44" s="2">
        <v>42</v>
      </c>
      <c r="B44" s="2">
        <v>544484.8344759184</v>
      </c>
      <c r="C44" s="2">
        <f>B44/(1+'Evaluacion proyecto'!G4)^(A44/12)</f>
        <v>287641.42174182786</v>
      </c>
      <c r="D44" s="2">
        <f>SUM(B$2:B44)</f>
        <v>23844029.84340387</v>
      </c>
      <c r="E44" s="2">
        <f>SUM(C$2:C44)</f>
        <v>7735289.974666243</v>
      </c>
    </row>
    <row r="45" spans="1:5">
      <c r="A45" s="2">
        <v>43</v>
      </c>
      <c r="B45" s="2">
        <v>2709896.042524328</v>
      </c>
      <c r="C45" s="2">
        <f>B45/(1+'Evaluacion proyecto'!G4)^(A45/12)</f>
        <v>1410002.336694274</v>
      </c>
      <c r="D45" s="2">
        <f>SUM(B$2:B45)</f>
        <v>26553925.885928195</v>
      </c>
      <c r="E45" s="2">
        <f>SUM(C$2:C45)</f>
        <v>9145292.311360518</v>
      </c>
    </row>
    <row r="46" spans="1:5">
      <c r="A46" s="2">
        <v>44</v>
      </c>
      <c r="B46" s="2">
        <v>7306177.550770923</v>
      </c>
      <c r="C46" s="2">
        <f>B46/(1+'Evaluacion proyecto'!G4)^(A46/12)</f>
        <v>3744199.547789518</v>
      </c>
      <c r="D46" s="2">
        <f>SUM(B$2:B46)</f>
        <v>33860103.43669912</v>
      </c>
      <c r="E46" s="2">
        <f>SUM(C$2:C46)</f>
        <v>12889491.859150035</v>
      </c>
    </row>
    <row r="47" spans="1:5">
      <c r="A47" s="2">
        <v>45</v>
      </c>
      <c r="B47" s="2">
        <v>8251185.427206285</v>
      </c>
      <c r="C47" s="2">
        <f>B47/(1+'Evaluacion proyecto'!G4)^(A47/12)</f>
        <v>4164728.303315086</v>
      </c>
      <c r="D47" s="2">
        <f>SUM(B$2:B47)</f>
        <v>42111288.86390541</v>
      </c>
      <c r="E47" s="2">
        <f>SUM(C$2:C47)</f>
        <v>17054220.16246512</v>
      </c>
    </row>
    <row r="48" spans="1:5">
      <c r="A48" s="2">
        <v>46</v>
      </c>
      <c r="B48" s="2">
        <v>12248987.99834524</v>
      </c>
      <c r="C48" s="2">
        <f>B48/(1+'Evaluacion proyecto'!G4)^(A48/12)</f>
        <v>6089366.298028737</v>
      </c>
      <c r="D48" s="2">
        <f>SUM(B$2:B48)</f>
        <v>54360276.86225064</v>
      </c>
      <c r="E48" s="2">
        <f>SUM(C$2:C48)</f>
        <v>23143586.46049386</v>
      </c>
    </row>
    <row r="49" spans="1:5">
      <c r="A49" s="2">
        <v>47</v>
      </c>
      <c r="B49" s="2">
        <v>28879225.23151891</v>
      </c>
      <c r="C49" s="2">
        <f>B49/(1+'Evaluacion proyecto'!G4)^(A49/12)</f>
        <v>14140311.959035465</v>
      </c>
      <c r="D49" s="2">
        <f>SUM(B$2:B49)</f>
        <v>83239502.09376955</v>
      </c>
      <c r="E49" s="2">
        <f>SUM(C$2:C49)</f>
        <v>37283898.419529326</v>
      </c>
    </row>
    <row r="50" spans="1:5">
      <c r="A50" s="2">
        <v>48</v>
      </c>
      <c r="B50" s="2">
        <v>15962846.67407179</v>
      </c>
      <c r="C50" s="2">
        <f>B50/(1+'Evaluacion proyecto'!G4)^(A50/12)</f>
        <v>7698132.076616413</v>
      </c>
      <c r="D50" s="2">
        <f>SUM(B$2:B50)</f>
        <v>99202348.76784134</v>
      </c>
      <c r="E50" s="2">
        <f>SUM(C$2:C50)</f>
        <v>44982030.49614574</v>
      </c>
    </row>
    <row r="51" spans="1:5">
      <c r="A51" s="2">
        <v>49</v>
      </c>
      <c r="B51" s="2">
        <v>-21073093.58709467</v>
      </c>
      <c r="C51" s="2">
        <f>B51/(1+'Evaluacion proyecto'!G4)^(A51/12)</f>
        <v>-10009326.927470438</v>
      </c>
      <c r="D51" s="2">
        <f>SUM(B$2:B51)</f>
        <v>78129255.18074667</v>
      </c>
      <c r="E51" s="2">
        <f>SUM(C$2:C51)</f>
        <v>34972703.5686753</v>
      </c>
    </row>
    <row r="52" spans="1:5">
      <c r="A52" s="2">
        <v>50</v>
      </c>
      <c r="B52" s="2">
        <v>-7774030.148248323</v>
      </c>
      <c r="C52" s="2">
        <f>B52/(1+'Evaluacion proyecto'!G4)^(A52/12)</f>
        <v>-3636841.3982399614</v>
      </c>
      <c r="D52" s="2">
        <f>SUM(B$2:B52)</f>
        <v>70355225.03249834</v>
      </c>
      <c r="E52" s="2">
        <f>SUM(C$2:C52)</f>
        <v>31335862.17043534</v>
      </c>
    </row>
    <row r="53" spans="1:5">
      <c r="A53" s="2">
        <v>51</v>
      </c>
      <c r="B53" s="2">
        <v>-5909344.372761557</v>
      </c>
      <c r="C53" s="2">
        <f>B53/(1+'Evaluacion proyecto'!G4)^(A53/12)</f>
        <v>-2722820.45120007</v>
      </c>
      <c r="D53" s="2">
        <f>SUM(B$2:B53)</f>
        <v>64445880.65973679</v>
      </c>
      <c r="E53" s="2">
        <f>SUM(C$2:C53)</f>
        <v>28613041.71923527</v>
      </c>
    </row>
    <row r="54" spans="1:5">
      <c r="A54" s="2">
        <v>52</v>
      </c>
      <c r="B54" s="2">
        <v>-2787481.723701642</v>
      </c>
      <c r="C54" s="2">
        <f>B54/(1+'Evaluacion proyecto'!G4)^(A54/12)</f>
        <v>-1265008.0689866117</v>
      </c>
      <c r="D54" s="2">
        <f>SUM(B$2:B54)</f>
        <v>61658398.93603515</v>
      </c>
      <c r="E54" s="2">
        <f>SUM(C$2:C54)</f>
        <v>27348033.650248658</v>
      </c>
    </row>
    <row r="55" spans="1:5">
      <c r="A55" s="2">
        <v>53</v>
      </c>
      <c r="B55" s="2">
        <v>162786.835315109</v>
      </c>
      <c r="C55" s="2">
        <f>B55/(1+'Evaluacion proyecto'!G4)^(A55/12)</f>
        <v>72761.57818037996</v>
      </c>
      <c r="D55" s="2">
        <f>SUM(B$2:B55)</f>
        <v>61821185.77135026</v>
      </c>
      <c r="E55" s="2">
        <f>SUM(C$2:C55)</f>
        <v>27420795.228429038</v>
      </c>
    </row>
    <row r="56" spans="1:5">
      <c r="A56" s="2">
        <v>54</v>
      </c>
      <c r="B56" s="2">
        <v>644972.326233688</v>
      </c>
      <c r="C56" s="2">
        <f>B56/(1+'Evaluacion proyecto'!G4)^(A56/12)</f>
        <v>283939.27794236434</v>
      </c>
      <c r="D56" s="2">
        <f>SUM(B$2:B56)</f>
        <v>62466158.09758394</v>
      </c>
      <c r="E56" s="2">
        <f>SUM(C$2:C56)</f>
        <v>27704734.5063714</v>
      </c>
    </row>
    <row r="57" spans="1:5">
      <c r="A57" s="2">
        <v>55</v>
      </c>
      <c r="B57" s="2">
        <v>3938774.998522499</v>
      </c>
      <c r="C57" s="2">
        <f>B57/(1+'Evaluacion proyecto'!G4)^(A57/12)</f>
        <v>1707839.7917853745</v>
      </c>
      <c r="D57" s="2">
        <f>SUM(B$2:B57)</f>
        <v>66404933.09610644</v>
      </c>
      <c r="E57" s="2">
        <f>SUM(C$2:C57)</f>
        <v>29412574.298156776</v>
      </c>
    </row>
    <row r="58" spans="1:5">
      <c r="A58" s="2">
        <v>56</v>
      </c>
      <c r="B58" s="2">
        <v>9371077.863673508</v>
      </c>
      <c r="C58" s="2">
        <f>B58/(1+'Evaluacion proyecto'!G4)^(A58/12)</f>
        <v>4001999.820887238</v>
      </c>
      <c r="D58" s="2">
        <f>SUM(B$2:B58)</f>
        <v>75776010.95977995</v>
      </c>
      <c r="E58" s="2">
        <f>SUM(C$2:C58)</f>
        <v>33414574.119044013</v>
      </c>
    </row>
    <row r="59" spans="1:5">
      <c r="A59" s="2">
        <v>57</v>
      </c>
      <c r="B59" s="2">
        <v>11407882.60015393</v>
      </c>
      <c r="C59" s="2">
        <f>B59/(1+'Evaluacion proyecto'!G4)^(A59/12)</f>
        <v>4798374.322989362</v>
      </c>
      <c r="D59" s="2">
        <f>SUM(B$2:B59)</f>
        <v>87183893.55993389</v>
      </c>
      <c r="E59" s="2">
        <f>SUM(C$2:C59)</f>
        <v>38212948.44203337</v>
      </c>
    </row>
    <row r="60" spans="1:5">
      <c r="A60" s="2">
        <v>58</v>
      </c>
      <c r="B60" s="2">
        <v>15138345.52554472</v>
      </c>
      <c r="C60" s="2">
        <f>B60/(1+'Evaluacion proyecto'!G4)^(A60/12)</f>
        <v>6271465.791270505</v>
      </c>
      <c r="D60" s="2">
        <f>SUM(B$2:B60)</f>
        <v>102322239.0854786</v>
      </c>
      <c r="E60" s="2">
        <f>SUM(C$2:C60)</f>
        <v>44484414.233303875</v>
      </c>
    </row>
    <row r="61" spans="1:5">
      <c r="A61" s="2">
        <v>59</v>
      </c>
      <c r="B61" s="2">
        <v>40015150.70611495</v>
      </c>
      <c r="C61" s="2">
        <f>B61/(1+'Evaluacion proyecto'!G4)^(A61/12)</f>
        <v>16327386.138194654</v>
      </c>
      <c r="D61" s="2">
        <f>SUM(B$2:B61)</f>
        <v>142337389.79159355</v>
      </c>
      <c r="E61" s="2">
        <f>SUM(C$2:C61)</f>
        <v>60811800.371498525</v>
      </c>
    </row>
    <row r="62" spans="1:5">
      <c r="A62" s="2">
        <v>60</v>
      </c>
      <c r="B62" s="2">
        <v>22000519.93305102</v>
      </c>
      <c r="C62" s="2">
        <f>B62/(1+'Evaluacion proyecto'!G4)^(A62/12)</f>
        <v>8841515.533794297</v>
      </c>
      <c r="D62" s="2">
        <f>SUM(B$2:B62)</f>
        <v>164337909.72464457</v>
      </c>
      <c r="E62" s="2">
        <f>SUM(C$2:C62)</f>
        <v>69653315.90529282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LEEME</vt:lpstr>
      <vt:lpstr>Supuestos</vt:lpstr>
      <vt:lpstr>BOM</vt:lpstr>
      <vt:lpstr>Origen y usos</vt:lpstr>
      <vt:lpstr>Base_mensual</vt:lpstr>
      <vt:lpstr>Base_anual</vt:lpstr>
      <vt:lpstr>Estres_mensual</vt:lpstr>
      <vt:lpstr>Estres_anual</vt:lpstr>
      <vt:lpstr>Crecimiento_mensual</vt:lpstr>
      <vt:lpstr>Crecimiento_anual</vt:lpstr>
      <vt:lpstr>Comparacion deuda</vt:lpstr>
      <vt:lpstr>Sensibilidades</vt:lpstr>
      <vt:lpstr>Evaluacion proyecto</vt:lpstr>
      <vt:lpstr>Base_evaluacion</vt:lpstr>
      <vt:lpstr>Estres_evaluacion</vt:lpstr>
      <vt:lpstr>Crecimiento_evaluacion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TerraSense — modelo financiero auditable 2026-09-05</dc:title>
  <dc:creator/>
  <dc:description>Editar finanzas/supuestos.json y regenerar. No editar resultados aislados.</dc:description>
  <cp:lastModifiedBy/>
  <dcterms:created xsi:type="dcterms:W3CDTF">2026-09-05T17:18:44Z</dcterms:created>
  <dcterms:modified xsi:type="dcterms:W3CDTF">2026-09-05T17:18:44Z</dcterms:modified>
</cp:coreProperties>
</file>