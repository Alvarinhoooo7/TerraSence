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ane\Documents\GitHub\TerraSence\outputs\terrasense-flujo-caja\"/>
    </mc:Choice>
  </mc:AlternateContent>
  <xr:revisionPtr revIDLastSave="0" documentId="13_ncr:1_{3A395209-5AF8-43BF-872C-2271165A8DC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ARÁMETROS" sheetId="1" r:id="rId1"/>
    <sheet name="BOM - COMPONENTES" sheetId="2" r:id="rId2"/>
    <sheet name="EQUIPAMIENTO LAB" sheetId="3" r:id="rId3"/>
    <sheet name="INVERSIÓN INICIAL" sheetId="4" r:id="rId4"/>
    <sheet name="AMORTIZACIÓN BANCARIA" sheetId="5" r:id="rId5"/>
    <sheet name="PROYECCIÓN + VAN" sheetId="7" r:id="rId6"/>
    <sheet name="COSTO x UNIDAD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7" l="1"/>
  <c r="B29" i="7"/>
  <c r="A28" i="7"/>
  <c r="B24" i="7"/>
  <c r="B23" i="7"/>
  <c r="G22" i="7"/>
  <c r="F22" i="7"/>
  <c r="E22" i="7"/>
  <c r="D22" i="7"/>
  <c r="C22" i="7"/>
  <c r="B19" i="7"/>
  <c r="B18" i="7"/>
  <c r="B17" i="7"/>
  <c r="B16" i="7"/>
  <c r="B14" i="7"/>
  <c r="B13" i="7"/>
  <c r="B15" i="7" s="1"/>
  <c r="G12" i="7"/>
  <c r="F12" i="7"/>
  <c r="E12" i="7"/>
  <c r="D12" i="7"/>
  <c r="C12" i="7"/>
  <c r="A47" i="7" s="1"/>
  <c r="B12" i="7"/>
  <c r="B6" i="7"/>
  <c r="B5" i="7"/>
  <c r="D28" i="6"/>
  <c r="C28" i="6"/>
  <c r="B28" i="6"/>
  <c r="D27" i="6"/>
  <c r="C27" i="6"/>
  <c r="B27" i="6"/>
  <c r="B14" i="6"/>
  <c r="B9" i="6"/>
  <c r="B6" i="6"/>
  <c r="E8" i="5"/>
  <c r="E16" i="5" s="1"/>
  <c r="B6" i="5"/>
  <c r="B7" i="5" s="1"/>
  <c r="B55" i="5" s="1"/>
  <c r="B5" i="5"/>
  <c r="B4" i="5"/>
  <c r="B3" i="5"/>
  <c r="B18" i="4" s="1"/>
  <c r="D28" i="4"/>
  <c r="D29" i="4" s="1"/>
  <c r="D27" i="4"/>
  <c r="D26" i="4"/>
  <c r="D25" i="4"/>
  <c r="D24" i="4"/>
  <c r="D23" i="4"/>
  <c r="D22" i="4"/>
  <c r="B15" i="4"/>
  <c r="B14" i="4"/>
  <c r="B16" i="4" s="1"/>
  <c r="D22" i="3"/>
  <c r="K32" i="2" s="1"/>
  <c r="K28" i="2"/>
  <c r="I28" i="2"/>
  <c r="J28" i="2" s="1"/>
  <c r="I27" i="2"/>
  <c r="J27" i="2" s="1"/>
  <c r="I26" i="2"/>
  <c r="K25" i="2"/>
  <c r="J25" i="2"/>
  <c r="I25" i="2"/>
  <c r="K24" i="2"/>
  <c r="I24" i="2"/>
  <c r="J24" i="2" s="1"/>
  <c r="I23" i="2"/>
  <c r="K23" i="2" s="1"/>
  <c r="I22" i="2"/>
  <c r="K21" i="2"/>
  <c r="J21" i="2"/>
  <c r="I21" i="2"/>
  <c r="K20" i="2"/>
  <c r="I20" i="2"/>
  <c r="J20" i="2" s="1"/>
  <c r="I19" i="2"/>
  <c r="J19" i="2" s="1"/>
  <c r="I18" i="2"/>
  <c r="J17" i="2"/>
  <c r="I17" i="2"/>
  <c r="K17" i="2" s="1"/>
  <c r="K16" i="2"/>
  <c r="I16" i="2"/>
  <c r="J16" i="2" s="1"/>
  <c r="I15" i="2"/>
  <c r="K15" i="2" s="1"/>
  <c r="I14" i="2"/>
  <c r="K13" i="2"/>
  <c r="J13" i="2"/>
  <c r="I13" i="2"/>
  <c r="K12" i="2"/>
  <c r="I12" i="2"/>
  <c r="J12" i="2" s="1"/>
  <c r="I11" i="2"/>
  <c r="J11" i="2" s="1"/>
  <c r="I10" i="2"/>
  <c r="I9" i="2"/>
  <c r="K9" i="2" s="1"/>
  <c r="K8" i="2"/>
  <c r="I8" i="2"/>
  <c r="J8" i="2" s="1"/>
  <c r="I7" i="2"/>
  <c r="K7" i="2" s="1"/>
  <c r="I6" i="2"/>
  <c r="I5" i="2"/>
  <c r="K5" i="2" s="1"/>
  <c r="A25" i="1"/>
  <c r="B20" i="1"/>
  <c r="B18" i="1"/>
  <c r="B19" i="1" s="1"/>
  <c r="B17" i="1"/>
  <c r="B19" i="4" l="1"/>
  <c r="B22" i="7"/>
  <c r="B21" i="6"/>
  <c r="K18" i="2"/>
  <c r="J18" i="2"/>
  <c r="K14" i="2"/>
  <c r="J14" i="2"/>
  <c r="B28" i="5"/>
  <c r="B37" i="5"/>
  <c r="B46" i="5"/>
  <c r="J9" i="2"/>
  <c r="K10" i="2"/>
  <c r="J10" i="2"/>
  <c r="K22" i="2"/>
  <c r="J22" i="2"/>
  <c r="E7" i="5"/>
  <c r="G24" i="7" s="1"/>
  <c r="C29" i="7"/>
  <c r="F29" i="7"/>
  <c r="D29" i="7"/>
  <c r="G29" i="7"/>
  <c r="A41" i="7"/>
  <c r="E29" i="7"/>
  <c r="B54" i="5"/>
  <c r="B51" i="5"/>
  <c r="B48" i="5"/>
  <c r="B45" i="5"/>
  <c r="B42" i="5"/>
  <c r="B39" i="5"/>
  <c r="B36" i="5"/>
  <c r="B33" i="5"/>
  <c r="B30" i="5"/>
  <c r="B27" i="5"/>
  <c r="B24" i="5"/>
  <c r="B21" i="5"/>
  <c r="B8" i="5"/>
  <c r="B35" i="5"/>
  <c r="E13" i="5"/>
  <c r="B20" i="5"/>
  <c r="B21" i="1"/>
  <c r="B53" i="5"/>
  <c r="B50" i="5"/>
  <c r="B47" i="5"/>
  <c r="B44" i="5"/>
  <c r="B41" i="5"/>
  <c r="B38" i="5"/>
  <c r="B32" i="5"/>
  <c r="B29" i="5"/>
  <c r="B26" i="5"/>
  <c r="B23" i="5"/>
  <c r="B22" i="5"/>
  <c r="B31" i="5"/>
  <c r="B40" i="5"/>
  <c r="B49" i="5"/>
  <c r="J5" i="2"/>
  <c r="E9" i="5"/>
  <c r="K26" i="2"/>
  <c r="J26" i="2"/>
  <c r="B25" i="5"/>
  <c r="B34" i="5"/>
  <c r="B43" i="5"/>
  <c r="B52" i="5"/>
  <c r="K6" i="2"/>
  <c r="K31" i="2" s="1"/>
  <c r="B5" i="6" s="1"/>
  <c r="J6" i="2"/>
  <c r="J7" i="2"/>
  <c r="J15" i="2"/>
  <c r="J23" i="2"/>
  <c r="K11" i="2"/>
  <c r="K19" i="2"/>
  <c r="K27" i="2"/>
  <c r="D20" i="5"/>
  <c r="C26" i="6" l="1"/>
  <c r="B26" i="6"/>
  <c r="B8" i="6"/>
  <c r="B7" i="6"/>
  <c r="D26" i="6"/>
  <c r="B10" i="6"/>
  <c r="K30" i="2"/>
  <c r="B15" i="5"/>
  <c r="B14" i="5"/>
  <c r="B13" i="5"/>
  <c r="D13" i="5" s="1"/>
  <c r="C16" i="7" s="1"/>
  <c r="G16" i="7"/>
  <c r="B16" i="5"/>
  <c r="B32" i="7"/>
  <c r="B25" i="7"/>
  <c r="E14" i="5"/>
  <c r="C13" i="5"/>
  <c r="C24" i="7" s="1"/>
  <c r="C20" i="5"/>
  <c r="E20" i="5" s="1"/>
  <c r="B22" i="1"/>
  <c r="B9" i="5"/>
  <c r="B23" i="1" s="1"/>
  <c r="E15" i="5" l="1"/>
  <c r="D14" i="5"/>
  <c r="D16" i="7" s="1"/>
  <c r="C30" i="6"/>
  <c r="B30" i="6"/>
  <c r="B9" i="7"/>
  <c r="B13" i="6"/>
  <c r="B15" i="6" s="1"/>
  <c r="D30" i="6"/>
  <c r="B26" i="7"/>
  <c r="E21" i="5"/>
  <c r="D21" i="5"/>
  <c r="C21" i="5" s="1"/>
  <c r="C14" i="5"/>
  <c r="D24" i="7" s="1"/>
  <c r="B7" i="7" l="1"/>
  <c r="A2" i="7" s="1"/>
  <c r="B16" i="6"/>
  <c r="B17" i="6" s="1"/>
  <c r="B37" i="7"/>
  <c r="B38" i="7" s="1"/>
  <c r="C29" i="6"/>
  <c r="E14" i="7"/>
  <c r="F14" i="7"/>
  <c r="B29" i="6"/>
  <c r="C14" i="7"/>
  <c r="D14" i="7"/>
  <c r="D22" i="5"/>
  <c r="C22" i="5" s="1"/>
  <c r="E22" i="5" s="1"/>
  <c r="D29" i="6"/>
  <c r="G14" i="7"/>
  <c r="F24" i="7"/>
  <c r="C16" i="5"/>
  <c r="D16" i="5" s="1"/>
  <c r="F16" i="7"/>
  <c r="C15" i="5"/>
  <c r="D23" i="5" l="1"/>
  <c r="C23" i="5" s="1"/>
  <c r="E23" i="5" s="1"/>
  <c r="B18" i="6"/>
  <c r="B22" i="6" s="1"/>
  <c r="B8" i="7"/>
  <c r="E24" i="7"/>
  <c r="D15" i="5"/>
  <c r="E16" i="7" s="1"/>
  <c r="D24" i="5" l="1"/>
  <c r="C24" i="5" s="1"/>
  <c r="E24" i="5" s="1"/>
  <c r="F13" i="7"/>
  <c r="F15" i="7" s="1"/>
  <c r="F17" i="7" s="1"/>
  <c r="E13" i="7"/>
  <c r="E15" i="7" s="1"/>
  <c r="E17" i="7" s="1"/>
  <c r="D13" i="7"/>
  <c r="D15" i="7" s="1"/>
  <c r="D17" i="7" s="1"/>
  <c r="C13" i="7"/>
  <c r="C15" i="7" s="1"/>
  <c r="G13" i="7"/>
  <c r="G15" i="7" s="1"/>
  <c r="G17" i="7" s="1"/>
  <c r="D25" i="5" l="1"/>
  <c r="C25" i="5" s="1"/>
  <c r="E25" i="5" s="1"/>
  <c r="C17" i="7"/>
  <c r="B23" i="6" s="1"/>
  <c r="A48" i="7" s="1"/>
  <c r="D18" i="7"/>
  <c r="D19" i="7"/>
  <c r="D23" i="7" s="1"/>
  <c r="D25" i="7" s="1"/>
  <c r="D30" i="7" s="1"/>
  <c r="E18" i="7"/>
  <c r="E19" i="7"/>
  <c r="E23" i="7" s="1"/>
  <c r="E25" i="7" s="1"/>
  <c r="E30" i="7" s="1"/>
  <c r="G18" i="7"/>
  <c r="G19" i="7" s="1"/>
  <c r="G23" i="7" s="1"/>
  <c r="G25" i="7" s="1"/>
  <c r="G30" i="7" s="1"/>
  <c r="F18" i="7"/>
  <c r="F19" i="7" s="1"/>
  <c r="F23" i="7" s="1"/>
  <c r="F25" i="7" s="1"/>
  <c r="F30" i="7" s="1"/>
  <c r="D26" i="5" l="1"/>
  <c r="C26" i="5" s="1"/>
  <c r="E26" i="5" s="1"/>
  <c r="C18" i="7"/>
  <c r="C19" i="7" s="1"/>
  <c r="C23" i="7" s="1"/>
  <c r="C25" i="7" s="1"/>
  <c r="C30" i="7" l="1"/>
  <c r="G31" i="7" s="1"/>
  <c r="B33" i="7" s="1"/>
  <c r="A44" i="7"/>
  <c r="C26" i="7"/>
  <c r="D27" i="5"/>
  <c r="C27" i="5" s="1"/>
  <c r="E27" i="5"/>
  <c r="D28" i="5" l="1"/>
  <c r="C28" i="5" s="1"/>
  <c r="E28" i="5" s="1"/>
  <c r="D26" i="7"/>
  <c r="C37" i="7"/>
  <c r="C38" i="7" s="1"/>
  <c r="B34" i="7"/>
  <c r="A43" i="7"/>
  <c r="A42" i="7"/>
  <c r="D29" i="5" l="1"/>
  <c r="C29" i="5" s="1"/>
  <c r="E29" i="5" s="1"/>
  <c r="E26" i="7"/>
  <c r="D37" i="7"/>
  <c r="D38" i="7" s="1"/>
  <c r="D30" i="5" l="1"/>
  <c r="C30" i="5" s="1"/>
  <c r="E30" i="5" s="1"/>
  <c r="F26" i="7"/>
  <c r="E37" i="7"/>
  <c r="E38" i="7" s="1"/>
  <c r="D31" i="5" l="1"/>
  <c r="C31" i="5" s="1"/>
  <c r="E31" i="5"/>
  <c r="F37" i="7"/>
  <c r="F38" i="7" s="1"/>
  <c r="G26" i="7"/>
  <c r="G37" i="7" l="1"/>
  <c r="G38" i="7" s="1"/>
  <c r="A50" i="7"/>
  <c r="D32" i="5"/>
  <c r="C32" i="5" s="1"/>
  <c r="E32" i="5" s="1"/>
  <c r="A49" i="7"/>
  <c r="D33" i="5" l="1"/>
  <c r="C33" i="5" s="1"/>
  <c r="E33" i="5" s="1"/>
  <c r="D34" i="5" l="1"/>
  <c r="C34" i="5" s="1"/>
  <c r="E34" i="5" s="1"/>
  <c r="D35" i="5" l="1"/>
  <c r="C35" i="5" s="1"/>
  <c r="E35" i="5" s="1"/>
  <c r="D36" i="5" l="1"/>
  <c r="C36" i="5" s="1"/>
  <c r="E36" i="5"/>
  <c r="D37" i="5" l="1"/>
  <c r="C37" i="5" s="1"/>
  <c r="E37" i="5" s="1"/>
  <c r="D38" i="5" l="1"/>
  <c r="C38" i="5" s="1"/>
  <c r="E38" i="5" s="1"/>
  <c r="D39" i="5" l="1"/>
  <c r="C39" i="5" s="1"/>
  <c r="E39" i="5" s="1"/>
  <c r="D40" i="5" l="1"/>
  <c r="C40" i="5" s="1"/>
  <c r="E40" i="5" s="1"/>
  <c r="D41" i="5" l="1"/>
  <c r="C41" i="5" s="1"/>
  <c r="E41" i="5" s="1"/>
  <c r="D42" i="5" l="1"/>
  <c r="C42" i="5" s="1"/>
  <c r="E42" i="5"/>
  <c r="D43" i="5" l="1"/>
  <c r="C43" i="5" s="1"/>
  <c r="E43" i="5"/>
  <c r="D44" i="5" l="1"/>
  <c r="C44" i="5" s="1"/>
  <c r="E44" i="5" s="1"/>
  <c r="D45" i="5" l="1"/>
  <c r="C45" i="5" s="1"/>
  <c r="E45" i="5"/>
  <c r="D46" i="5" l="1"/>
  <c r="C46" i="5" s="1"/>
  <c r="E46" i="5" s="1"/>
  <c r="D47" i="5" l="1"/>
  <c r="C47" i="5" s="1"/>
  <c r="E47" i="5" s="1"/>
  <c r="D48" i="5" l="1"/>
  <c r="C48" i="5" s="1"/>
  <c r="E48" i="5" s="1"/>
  <c r="D49" i="5" l="1"/>
  <c r="C49" i="5" s="1"/>
  <c r="E49" i="5" s="1"/>
  <c r="D50" i="5" l="1"/>
  <c r="C50" i="5" s="1"/>
  <c r="E50" i="5" s="1"/>
  <c r="D51" i="5" l="1"/>
  <c r="C51" i="5" s="1"/>
  <c r="E51" i="5" s="1"/>
  <c r="D52" i="5" l="1"/>
  <c r="C52" i="5" s="1"/>
  <c r="E52" i="5" s="1"/>
  <c r="D53" i="5" l="1"/>
  <c r="C53" i="5" s="1"/>
  <c r="E53" i="5" s="1"/>
  <c r="D54" i="5" l="1"/>
  <c r="C54" i="5" s="1"/>
  <c r="E54" i="5"/>
  <c r="D55" i="5" l="1"/>
  <c r="C55" i="5" s="1"/>
  <c r="E55" i="5"/>
</calcChain>
</file>

<file path=xl/sharedStrings.xml><?xml version="1.0" encoding="utf-8"?>
<sst xmlns="http://schemas.openxmlformats.org/spreadsheetml/2006/main" count="404" uniqueCount="297">
  <si>
    <t>PROYECTO TERRASENSE — SISTEMA IoT DE DIAGNÓSTICO AGRONÓMICO</t>
  </si>
  <si>
    <t>PARÁMETROS GENERALES</t>
  </si>
  <si>
    <t>Valor</t>
  </si>
  <si>
    <t>Notas</t>
  </si>
  <si>
    <t>Tipo de cambio USD → CLP</t>
  </si>
  <si>
    <t>BCCh, referencia 18-ago-2026</t>
  </si>
  <si>
    <t>Lote inicial (unidades beta)</t>
  </si>
  <si>
    <t>Preserie de validación</t>
  </si>
  <si>
    <t>Unidades Año 1</t>
  </si>
  <si>
    <t>🔧 AJUSTABLE: unidades Año 1</t>
  </si>
  <si>
    <t>Unidades Año 2</t>
  </si>
  <si>
    <t>🔧 AJUSTABLE: unidades Año 2</t>
  </si>
  <si>
    <t>Unidades Año 3</t>
  </si>
  <si>
    <t>🔧 AJUSTABLE: unidades Año 3</t>
  </si>
  <si>
    <t>Unidades Año 4</t>
  </si>
  <si>
    <t>🔧 AJUSTABLE: unidades Año 4</t>
  </si>
  <si>
    <t>Unidades Año 5</t>
  </si>
  <si>
    <t>🔧 AJUSTABLE: unidades Año 5</t>
  </si>
  <si>
    <t>Tasa de descuento (r)</t>
  </si>
  <si>
    <t>🔧 AJUSTABLE: tasa de descuento</t>
  </si>
  <si>
    <t>Tasa impuesto a la renta</t>
  </si>
  <si>
    <t>🔧 AJUSTABLE: impuesto renta</t>
  </si>
  <si>
    <t>Margen de ganancia objetivo</t>
  </si>
  <si>
    <t>🔧 AJUSTABLE: margen bruto sobre precio neto</t>
  </si>
  <si>
    <t>FINANCIAMIENTO BANCARIO</t>
  </si>
  <si>
    <t>Monto financiado</t>
  </si>
  <si>
    <t>CLP: crédito largo + línea corta</t>
  </si>
  <si>
    <t>Tasa anual</t>
  </si>
  <si>
    <t>Crédito PYME largo plazo; línea corta 23%</t>
  </si>
  <si>
    <t>Tasa mensual</t>
  </si>
  <si>
    <t>Referencia del crédito largo</t>
  </si>
  <si>
    <t>Plazo</t>
  </si>
  <si>
    <t>5 años</t>
  </si>
  <si>
    <t>Cuota mensual fija</t>
  </si>
  <si>
    <t>Referencia: crédito largo de $10.000.000</t>
  </si>
  <si>
    <t>Total a pagar</t>
  </si>
  <si>
    <t>Capital e intereses de ambas deudas</t>
  </si>
  <si>
    <t>Total intereses pagados</t>
  </si>
  <si>
    <t>$2.040.720 largo + $1.150.000 corto</t>
  </si>
  <si>
    <t>LISTA DE MATERIALES (BOM) - TERRASENSE</t>
  </si>
  <si>
    <t>Costo unitario validado | USD 1 = CLP 915</t>
  </si>
  <si>
    <t>ID</t>
  </si>
  <si>
    <t>Categoría</t>
  </si>
  <si>
    <t>Componente</t>
  </si>
  <si>
    <t>Referencia</t>
  </si>
  <si>
    <t>Encapsulado</t>
  </si>
  <si>
    <t>Cant/Placa</t>
  </si>
  <si>
    <t>Cant Compra</t>
  </si>
  <si>
    <t>P.Unit USD</t>
  </si>
  <si>
    <t>P.Unit CLP</t>
  </si>
  <si>
    <t>Total Compra CLP</t>
  </si>
  <si>
    <t>Costo/Unidad CLP</t>
  </si>
  <si>
    <t>Distribuidor</t>
  </si>
  <si>
    <t>Electrónica</t>
  </si>
  <si>
    <t>ESP32-WROOM-32E</t>
  </si>
  <si>
    <t>U1</t>
  </si>
  <si>
    <t>Según BOM</t>
  </si>
  <si>
    <t>PCB/BOM_TerraSense.xlsx</t>
  </si>
  <si>
    <t>CH340C USB-Serial</t>
  </si>
  <si>
    <t>U2</t>
  </si>
  <si>
    <t>MAX3485 RS-485</t>
  </si>
  <si>
    <t>U3</t>
  </si>
  <si>
    <t>BME280</t>
  </si>
  <si>
    <t>U4</t>
  </si>
  <si>
    <t>MT3608 elevador</t>
  </si>
  <si>
    <t>U5</t>
  </si>
  <si>
    <t>TP4056 cargador</t>
  </si>
  <si>
    <t>U6</t>
  </si>
  <si>
    <t>AP2112K-3.3 LDO</t>
  </si>
  <si>
    <t>U7</t>
  </si>
  <si>
    <t>AO3401A P-MOSFET</t>
  </si>
  <si>
    <t>Q1</t>
  </si>
  <si>
    <t>MMBT3904 NPN</t>
  </si>
  <si>
    <t>Q2-Q3</t>
  </si>
  <si>
    <t>Inductor 22µH</t>
  </si>
  <si>
    <t>L1</t>
  </si>
  <si>
    <t>SS34 Schottky</t>
  </si>
  <si>
    <t>D3</t>
  </si>
  <si>
    <t>TVS dual ESD</t>
  </si>
  <si>
    <t>D4</t>
  </si>
  <si>
    <t>LED 0603</t>
  </si>
  <si>
    <t>D2/D5/D6</t>
  </si>
  <si>
    <t>USB-C SMD</t>
  </si>
  <si>
    <t>J1</t>
  </si>
  <si>
    <t>Terminal 4 pines</t>
  </si>
  <si>
    <t>J2</t>
  </si>
  <si>
    <t>JST PH batería</t>
  </si>
  <si>
    <t>BT1</t>
  </si>
  <si>
    <t>Pulsador + interruptor</t>
  </si>
  <si>
    <t>SW1/SW2</t>
  </si>
  <si>
    <t>Resistores y capacitores SMD</t>
  </si>
  <si>
    <t>R/C</t>
  </si>
  <si>
    <t>Integración</t>
  </si>
  <si>
    <t>PCB + PCBA</t>
  </si>
  <si>
    <t>JLCPCB</t>
  </si>
  <si>
    <t>N/A</t>
  </si>
  <si>
    <t>README §XII.2.1</t>
  </si>
  <si>
    <t>Flete + arancel</t>
  </si>
  <si>
    <t>Courier consolidado</t>
  </si>
  <si>
    <t>Baterías y protección</t>
  </si>
  <si>
    <t>2×18650 + portacelda + fusible</t>
  </si>
  <si>
    <t>Conectores y sellado</t>
  </si>
  <si>
    <t>USB-C, prensaestopas, O-ring, insertos</t>
  </si>
  <si>
    <t>Carcasa y empaque</t>
  </si>
  <si>
    <t>PETG, energía, caja y manual</t>
  </si>
  <si>
    <t>Sonda principal</t>
  </si>
  <si>
    <t>Sonda 7-en-1 RS-485 inox 316L</t>
  </si>
  <si>
    <t>TOTAL COMPRA</t>
  </si>
  <si>
    <t>Costo componentes / unidad</t>
  </si>
  <si>
    <t>Herramientas lab</t>
  </si>
  <si>
    <t>EQUIPAMIENTO DE LABORATORIO TERRASENSE</t>
  </si>
  <si>
    <t>DISPONIBLES (sin costo adicional)</t>
  </si>
  <si>
    <t>✅ Espacio de trabajo en casa de socios</t>
  </si>
  <si>
    <t>✅ Internet base</t>
  </si>
  <si>
    <t>✅ Herramienta manual básica</t>
  </si>
  <si>
    <t>✅ Teléfonos de prueba</t>
  </si>
  <si>
    <t>✅ Software y repositorio</t>
  </si>
  <si>
    <t>A ADQUIRIR!!!</t>
  </si>
  <si>
    <t>Instrumento</t>
  </si>
  <si>
    <t>Marca / Modelo</t>
  </si>
  <si>
    <t>Precio CLP</t>
  </si>
  <si>
    <t>Prioridad</t>
  </si>
  <si>
    <t>Impresora 3D FDM principal</t>
  </si>
  <si>
    <t>Cámara cerrada</t>
  </si>
  <si>
    <t>🔴 Alta</t>
  </si>
  <si>
    <t>Impresora 3D FDM secundaria</t>
  </si>
  <si>
    <t>Redundancia</t>
  </si>
  <si>
    <t>🟡 Media</t>
  </si>
  <si>
    <t>Secador y almacenamiento filamento</t>
  </si>
  <si>
    <t>Estanco</t>
  </si>
  <si>
    <t>Soldadura, aire caliente y microscopio</t>
  </si>
  <si>
    <t>Banco SMD</t>
  </si>
  <si>
    <t>Fuente programable + multímetro banco</t>
  </si>
  <si>
    <t>Banco eléctrico</t>
  </si>
  <si>
    <t>Osciloscopio 100 MHz 2 canales</t>
  </si>
  <si>
    <t>Instrumentación</t>
  </si>
  <si>
    <t>Analizador, programador y sonda µA</t>
  </si>
  <si>
    <t>Banco IP67 + patrón pH/EC</t>
  </si>
  <si>
    <t>Validación</t>
  </si>
  <si>
    <t>2 notebooks y puestos desarrollo</t>
  </si>
  <si>
    <t>Uno por socio</t>
  </si>
  <si>
    <t>Mobiliario y almacenamiento</t>
  </si>
  <si>
    <t>Taller</t>
  </si>
  <si>
    <t>TOTAL</t>
  </si>
  <si>
    <t>INVERSIÓN INICIAL - TERRASENSE</t>
  </si>
  <si>
    <t>COMPONENTE</t>
  </si>
  <si>
    <t>Costo (CLP)</t>
  </si>
  <si>
    <t>A. Constitución SpA y trámites</t>
  </si>
  <si>
    <t>Activo nominal</t>
  </si>
  <si>
    <t>B. Ensayos agronómicos</t>
  </si>
  <si>
    <t>30 muestras</t>
  </si>
  <si>
    <t>C. Ensayos IP67 y EMC</t>
  </si>
  <si>
    <t>Externos</t>
  </si>
  <si>
    <t>D. Sitio web, marca y material</t>
  </si>
  <si>
    <t>Comercial</t>
  </si>
  <si>
    <t>E. Patrones de calibración</t>
  </si>
  <si>
    <t>pH y EC</t>
  </si>
  <si>
    <t>F. Herramienta menor y consumibles</t>
  </si>
  <si>
    <t>G. Lote piloto de validación</t>
  </si>
  <si>
    <t>10 uds × $91.309</t>
  </si>
  <si>
    <t>H. Capital de trabajo</t>
  </si>
  <si>
    <t>3 meses + primer lote 100 uds</t>
  </si>
  <si>
    <t>I. Equipamiento de laboratorio</t>
  </si>
  <si>
    <t>Ver hoja EQUIPAMIENTO LAB</t>
  </si>
  <si>
    <t>J. Otros</t>
  </si>
  <si>
    <t>Sin partidas adicionales</t>
  </si>
  <si>
    <t>SUBTOTAL</t>
  </si>
  <si>
    <t>K. Contingencia / imprevistos</t>
  </si>
  <si>
    <t>TOTAL INVERSIÓN INICIAL</t>
  </si>
  <si>
    <t>FINANCIADO CON PRÉSTAMO BANCARIO</t>
  </si>
  <si>
    <t>$10MM largo + $5MM corto</t>
  </si>
  <si>
    <t>APORTE PROPIO</t>
  </si>
  <si>
    <t>2 socios: $4.450.000 cada uno</t>
  </si>
  <si>
    <t>HORAS DE TRABAJO (sin costo monetario)</t>
  </si>
  <si>
    <t>H/Unid</t>
  </si>
  <si>
    <t># Unid</t>
  </si>
  <si>
    <t>Total Horas</t>
  </si>
  <si>
    <t>Ensamblado y QA por unidad</t>
  </si>
  <si>
    <t>Programación y flasheo firmware</t>
  </si>
  <si>
    <t>Testing y calibración</t>
  </si>
  <si>
    <t>Embalaje y despacho</t>
  </si>
  <si>
    <t>Desarrollo App y Web (total)</t>
  </si>
  <si>
    <t>Gestión / Administración / Compras</t>
  </si>
  <si>
    <t>TOTAL HORAS (2 socios)</t>
  </si>
  <si>
    <t>0</t>
  </si>
  <si>
    <t>Horas por socio</t>
  </si>
  <si>
    <t>TABLA DE AMORTIZACIÓN BANCARIA - TERRASENSE</t>
  </si>
  <si>
    <t>Monto préstamo</t>
  </si>
  <si>
    <t>CLP total</t>
  </si>
  <si>
    <t>Crédito largo</t>
  </si>
  <si>
    <t>Crédito largo; línea corta en E6</t>
  </si>
  <si>
    <t>Tasa largo</t>
  </si>
  <si>
    <t>Línea corta</t>
  </si>
  <si>
    <t>Meses crédito largo</t>
  </si>
  <si>
    <t>Tasa corta</t>
  </si>
  <si>
    <t>Cuota crédito largo</t>
  </si>
  <si>
    <t>Saldo fin Año 4</t>
  </si>
  <si>
    <t>Ambas deudas</t>
  </si>
  <si>
    <t>Saldo fin Año 5</t>
  </si>
  <si>
    <t>Total intereses</t>
  </si>
  <si>
    <t>Pago anual largo</t>
  </si>
  <si>
    <t>RESUMEN ANUAL</t>
  </si>
  <si>
    <t>Año</t>
  </si>
  <si>
    <t>Cuotas pagadas</t>
  </si>
  <si>
    <t>Capital amortizado</t>
  </si>
  <si>
    <t>Intereses pagados</t>
  </si>
  <si>
    <t>Saldo restante</t>
  </si>
  <si>
    <t>Años 4-5</t>
  </si>
  <si>
    <t>TABLA MENSUAL — CRÉDITO LARGO (MESES 1–36 DE 60)</t>
  </si>
  <si>
    <t>Mes</t>
  </si>
  <si>
    <t>Cuota (CLP)</t>
  </si>
  <si>
    <t>Capital (CLP)</t>
  </si>
  <si>
    <t>Intereses (CLP)</t>
  </si>
  <si>
    <t>Saldo (CLP)</t>
  </si>
  <si>
    <t>ESTRUCTURA DE COSTOS POR UNIDAD Y PRECIO DE VENTA</t>
  </si>
  <si>
    <t>TerraSense — Año 1</t>
  </si>
  <si>
    <t>COSTO VARIABLE / UNIDAD</t>
  </si>
  <si>
    <t>CLP</t>
  </si>
  <si>
    <t>Detalle</t>
  </si>
  <si>
    <t>Componentes electrónicos y sistema (BOM)</t>
  </si>
  <si>
    <t>Ver hoja BOM</t>
  </si>
  <si>
    <t>Flete nacional</t>
  </si>
  <si>
    <t>Bluexpress</t>
  </si>
  <si>
    <t>Merma y scrap</t>
  </si>
  <si>
    <t>3% del BOM</t>
  </si>
  <si>
    <t>Provisión garantía legal</t>
  </si>
  <si>
    <t>5% del BOM</t>
  </si>
  <si>
    <t>Mano de obra directa</t>
  </si>
  <si>
    <t>1,5 h × $6.000</t>
  </si>
  <si>
    <t>COSTO TOTAL / UNIDAD</t>
  </si>
  <si>
    <t>PRECIO DE VENTA</t>
  </si>
  <si>
    <t>Costo variable / unidad</t>
  </si>
  <si>
    <t>Margen de ganancia</t>
  </si>
  <si>
    <t>Precio de Venta (PVP)</t>
  </si>
  <si>
    <t>CLP con IVA</t>
  </si>
  <si>
    <t>IVA incluido (19%)</t>
  </si>
  <si>
    <t>Débito fiscal</t>
  </si>
  <si>
    <t>Precio Neto Recibido</t>
  </si>
  <si>
    <t>Sin IVA</t>
  </si>
  <si>
    <t>UTILIDAD NETA / UNIDAD</t>
  </si>
  <si>
    <t>Margen contribución antes de gastos fijos</t>
  </si>
  <si>
    <t>BREAK-EVEN</t>
  </si>
  <si>
    <t>Inversión Inicial Total</t>
  </si>
  <si>
    <t>Utilidad neta / unidad</t>
  </si>
  <si>
    <t>Contribución</t>
  </si>
  <si>
    <t>Unidades necesarias para recuperar inversión</t>
  </si>
  <si>
    <t>Punto equilibrio contable Año 1</t>
  </si>
  <si>
    <t>COMPARATIVA POR LOTE</t>
  </si>
  <si>
    <t>Año 1</t>
  </si>
  <si>
    <t>Año 3</t>
  </si>
  <si>
    <t>Año 5</t>
  </si>
  <si>
    <t>Componentes</t>
  </si>
  <si>
    <t>PCB / escala</t>
  </si>
  <si>
    <t>Carcasa / escala</t>
  </si>
  <si>
    <t>Otros costos variables</t>
  </si>
  <si>
    <t>PROYECCIÓN FINANCIERA A 5 AÑOS - TERRASENSE</t>
  </si>
  <si>
    <t>SUPUESTOS</t>
  </si>
  <si>
    <t>Pauta de evaluación</t>
  </si>
  <si>
    <t>Tasa impuesto renta</t>
  </si>
  <si>
    <t>Pro Pyme General</t>
  </si>
  <si>
    <t>PVP</t>
  </si>
  <si>
    <t>IVA incluido</t>
  </si>
  <si>
    <t>Precio neto (sin IVA)</t>
  </si>
  <si>
    <t>Ingreso real por venta</t>
  </si>
  <si>
    <t>Gastos fijos</t>
  </si>
  <si>
    <t>ESTADO DE RESULTADOS</t>
  </si>
  <si>
    <t>AÑO 0</t>
  </si>
  <si>
    <t>AÑO 1</t>
  </si>
  <si>
    <t>AÑO 2</t>
  </si>
  <si>
    <t>AÑO 3</t>
  </si>
  <si>
    <t>AÑO 4</t>
  </si>
  <si>
    <t>AÑO 5</t>
  </si>
  <si>
    <t>Unidades</t>
  </si>
  <si>
    <t>(+) Ingresos netos (CLP)</t>
  </si>
  <si>
    <t>(-) Costos variables</t>
  </si>
  <si>
    <t>(=) Margen Bruto</t>
  </si>
  <si>
    <t>(-) Costo financiero (intereses préstamo)</t>
  </si>
  <si>
    <t>(=) Utilidad Operacional</t>
  </si>
  <si>
    <t>(-) Impuesto renta (25%)</t>
  </si>
  <si>
    <t>(=) Utilidad Neta</t>
  </si>
  <si>
    <t>FLUJO DE CAJA</t>
  </si>
  <si>
    <t>Inversión inicial</t>
  </si>
  <si>
    <t>Utilidad neta</t>
  </si>
  <si>
    <t>(-) Amortización capital préstamo</t>
  </si>
  <si>
    <t>FLUJO NETO DEL PERÍODO</t>
  </si>
  <si>
    <t>FLUJO ACUMULADO</t>
  </si>
  <si>
    <t>Factor descuento (1+r)^n</t>
  </si>
  <si>
    <t>Valor Presente de flujos</t>
  </si>
  <si>
    <t>Sumatoria VP flujos</t>
  </si>
  <si>
    <t>VAN (Valor Actual Neto)</t>
  </si>
  <si>
    <t>Resultado</t>
  </si>
  <si>
    <t>PAY BACK</t>
  </si>
  <si>
    <t>Flujo acumulado</t>
  </si>
  <si>
    <t>¿Inversión recuperada?</t>
  </si>
  <si>
    <t>TOMA DE DECISIONES</t>
  </si>
  <si>
    <t>2. En base al PAY BACK:</t>
  </si>
  <si>
    <t>Equipo: Alan Escobar - Alvaro Villenassssssss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</si>
</sst>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000"/>
  </numFmts>
  <fonts count="7" x14ac:knownFonts="1">
    <font>
      <sz val="12"/>
      <color theme="1"/>
      <name val="Calibri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rgb="FF7030A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70C0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4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6" borderId="1" xfId="0" applyFill="1" applyBorder="1"/>
    <xf numFmtId="0" fontId="2" fillId="6" borderId="2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6" fillId="0" borderId="0" xfId="0" applyFont="1"/>
    <xf numFmtId="0" fontId="0" fillId="6" borderId="2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1" xfId="0" applyFill="1" applyBorder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baseColWidth="10" defaultRowHeight="15.6" x14ac:dyDescent="0.3"/>
  <cols>
    <col min="1" max="1" width="60.796875" customWidth="1"/>
    <col min="2" max="2" width="22.796875" customWidth="1"/>
    <col min="3" max="3" width="55.796875" customWidth="1"/>
  </cols>
  <sheetData>
    <row r="1" spans="1:3" x14ac:dyDescent="0.3">
      <c r="A1" s="26" t="s">
        <v>0</v>
      </c>
    </row>
    <row r="2" spans="1:3" x14ac:dyDescent="0.3">
      <c r="A2" s="35" t="s">
        <v>296</v>
      </c>
    </row>
    <row r="4" spans="1:3" x14ac:dyDescent="0.3">
      <c r="A4" s="3" t="s">
        <v>1</v>
      </c>
      <c r="B4" s="3" t="s">
        <v>2</v>
      </c>
      <c r="C4" s="3" t="s">
        <v>3</v>
      </c>
    </row>
    <row r="5" spans="1:3" x14ac:dyDescent="0.3">
      <c r="A5" s="1" t="s">
        <v>4</v>
      </c>
      <c r="B5" s="1">
        <v>915</v>
      </c>
      <c r="C5" s="1" t="s">
        <v>5</v>
      </c>
    </row>
    <row r="6" spans="1:3" x14ac:dyDescent="0.3">
      <c r="A6" s="1" t="s">
        <v>6</v>
      </c>
      <c r="B6" s="1">
        <v>10</v>
      </c>
      <c r="C6" s="1" t="s">
        <v>7</v>
      </c>
    </row>
    <row r="7" spans="1:3" x14ac:dyDescent="0.3">
      <c r="A7" s="4" t="s">
        <v>8</v>
      </c>
      <c r="B7" s="1">
        <v>200</v>
      </c>
      <c r="C7" s="1" t="s">
        <v>9</v>
      </c>
    </row>
    <row r="8" spans="1:3" x14ac:dyDescent="0.3">
      <c r="A8" s="4" t="s">
        <v>10</v>
      </c>
      <c r="B8" s="1">
        <v>350</v>
      </c>
      <c r="C8" s="1" t="s">
        <v>11</v>
      </c>
    </row>
    <row r="9" spans="1:3" x14ac:dyDescent="0.3">
      <c r="A9" s="4" t="s">
        <v>12</v>
      </c>
      <c r="B9" s="1">
        <v>500</v>
      </c>
      <c r="C9" s="1" t="s">
        <v>13</v>
      </c>
    </row>
    <row r="10" spans="1:3" x14ac:dyDescent="0.3">
      <c r="A10" s="4" t="s">
        <v>14</v>
      </c>
      <c r="B10" s="1">
        <v>650</v>
      </c>
      <c r="C10" s="1" t="s">
        <v>15</v>
      </c>
    </row>
    <row r="11" spans="1:3" x14ac:dyDescent="0.3">
      <c r="A11" s="4" t="s">
        <v>16</v>
      </c>
      <c r="B11" s="1">
        <v>850</v>
      </c>
      <c r="C11" s="1" t="s">
        <v>17</v>
      </c>
    </row>
    <row r="12" spans="1:3" x14ac:dyDescent="0.3">
      <c r="A12" s="1" t="s">
        <v>18</v>
      </c>
      <c r="B12" s="11">
        <v>0.2</v>
      </c>
      <c r="C12" s="1" t="s">
        <v>19</v>
      </c>
    </row>
    <row r="13" spans="1:3" x14ac:dyDescent="0.3">
      <c r="A13" s="1" t="s">
        <v>20</v>
      </c>
      <c r="B13" s="11">
        <v>0.25</v>
      </c>
      <c r="C13" s="1" t="s">
        <v>21</v>
      </c>
    </row>
    <row r="14" spans="1:3" x14ac:dyDescent="0.3">
      <c r="A14" s="1" t="s">
        <v>22</v>
      </c>
      <c r="B14" s="11">
        <v>0.56535177410000004</v>
      </c>
      <c r="C14" s="1" t="s">
        <v>23</v>
      </c>
    </row>
    <row r="16" spans="1:3" x14ac:dyDescent="0.3">
      <c r="A16" s="3" t="s">
        <v>24</v>
      </c>
      <c r="B16" s="3" t="s">
        <v>2</v>
      </c>
      <c r="C16" s="3" t="s">
        <v>3</v>
      </c>
    </row>
    <row r="17" spans="1:3" x14ac:dyDescent="0.3">
      <c r="A17" s="1" t="s">
        <v>25</v>
      </c>
      <c r="B17" s="6">
        <f>'AMORTIZACIÓN BANCARIA'!B3</f>
        <v>15000000</v>
      </c>
      <c r="C17" s="1" t="s">
        <v>26</v>
      </c>
    </row>
    <row r="18" spans="1:3" x14ac:dyDescent="0.3">
      <c r="A18" s="1" t="s">
        <v>27</v>
      </c>
      <c r="B18" s="11">
        <f>'AMORTIZACIÓN BANCARIA'!E4</f>
        <v>0.1</v>
      </c>
      <c r="C18" s="1" t="s">
        <v>28</v>
      </c>
    </row>
    <row r="19" spans="1:3" x14ac:dyDescent="0.3">
      <c r="A19" s="1" t="s">
        <v>29</v>
      </c>
      <c r="B19" s="11">
        <f>B18/12</f>
        <v>8.3333333333333332E-3</v>
      </c>
      <c r="C19" s="1" t="s">
        <v>30</v>
      </c>
    </row>
    <row r="20" spans="1:3" x14ac:dyDescent="0.3">
      <c r="A20" s="1" t="s">
        <v>31</v>
      </c>
      <c r="B20" s="1">
        <f>'AMORTIZACIÓN BANCARIA'!B6</f>
        <v>60</v>
      </c>
      <c r="C20" s="1" t="s">
        <v>32</v>
      </c>
    </row>
    <row r="21" spans="1:3" x14ac:dyDescent="0.3">
      <c r="A21" s="1" t="s">
        <v>33</v>
      </c>
      <c r="B21" s="5">
        <f>'AMORTIZACIÓN BANCARIA'!B7</f>
        <v>212470</v>
      </c>
      <c r="C21" s="1" t="s">
        <v>34</v>
      </c>
    </row>
    <row r="22" spans="1:3" x14ac:dyDescent="0.3">
      <c r="A22" s="2" t="s">
        <v>35</v>
      </c>
      <c r="B22" s="5">
        <f>'AMORTIZACIÓN BANCARIA'!B8</f>
        <v>18898200</v>
      </c>
      <c r="C22" s="1" t="s">
        <v>36</v>
      </c>
    </row>
    <row r="23" spans="1:3" x14ac:dyDescent="0.3">
      <c r="A23" s="2" t="s">
        <v>37</v>
      </c>
      <c r="B23" s="5">
        <f>'AMORTIZACIÓN BANCARIA'!B9</f>
        <v>3898200</v>
      </c>
      <c r="C23" s="1" t="s">
        <v>38</v>
      </c>
    </row>
    <row r="25" spans="1:3" x14ac:dyDescent="0.3">
      <c r="A25" s="14" t="str">
        <f>"EXPLICACIÓN TASA DE DESCUENTO "&amp;TEXT(B12,"0%")&amp;" La tasa representa la rentabilidad mínima exigida por la pauta. El modelo usa horizonte de 5 años, precio neto de IVA y costos en CLP; los supuestos provienen de la Sección XII del README del proyecto."</f>
        <v>EXPLICACIÓN TASA DE DESCUENTO 20% La tasa representa la rentabilidad mínima exigida por la pauta. El modelo usa horizonte de 5 años, precio neto de IVA y costos en CLP; los supuestos provienen de la Sección XII del README del proyecto.</v>
      </c>
    </row>
    <row r="26" spans="1:3" x14ac:dyDescent="0.3">
      <c r="A26" s="14"/>
    </row>
    <row r="27" spans="1:3" x14ac:dyDescent="0.3">
      <c r="A27" s="14"/>
    </row>
    <row r="28" spans="1:3" x14ac:dyDescent="0.3">
      <c r="A28" s="14"/>
    </row>
    <row r="29" spans="1:3" x14ac:dyDescent="0.3">
      <c r="A29" s="14"/>
    </row>
    <row r="30" spans="1:3" ht="11.55" customHeight="1" x14ac:dyDescent="0.3">
      <c r="A30" s="14"/>
    </row>
  </sheetData>
  <mergeCells count="1">
    <mergeCell ref="A25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/>
  </sheetViews>
  <sheetFormatPr baseColWidth="10" defaultRowHeight="15.6" x14ac:dyDescent="0.3"/>
  <cols>
    <col min="1" max="1" width="4.796875" customWidth="1"/>
    <col min="2" max="2" width="16.796875" customWidth="1"/>
    <col min="3" max="3" width="40.796875" customWidth="1"/>
    <col min="4" max="4" width="25.796875" customWidth="1"/>
    <col min="5" max="5" width="14.796875" customWidth="1"/>
    <col min="6" max="6" width="10.796875" customWidth="1"/>
    <col min="7" max="7" width="12.796875" customWidth="1"/>
    <col min="8" max="8" width="10.796875" customWidth="1"/>
    <col min="9" max="9" width="12.796875" customWidth="1"/>
    <col min="10" max="10" width="22.796875" customWidth="1"/>
    <col min="11" max="11" width="20.796875" customWidth="1"/>
    <col min="12" max="12" width="28.796875" customWidth="1"/>
  </cols>
  <sheetData>
    <row r="1" spans="1:12" x14ac:dyDescent="0.3">
      <c r="A1" s="26" t="s">
        <v>39</v>
      </c>
    </row>
    <row r="2" spans="1:12" x14ac:dyDescent="0.3">
      <c r="A2" t="s">
        <v>40</v>
      </c>
    </row>
    <row r="4" spans="1:12" x14ac:dyDescent="0.3">
      <c r="A4" s="10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</row>
    <row r="5" spans="1:12" x14ac:dyDescent="0.3">
      <c r="A5" s="1">
        <v>1</v>
      </c>
      <c r="B5" s="8" t="s">
        <v>53</v>
      </c>
      <c r="C5" s="1" t="s">
        <v>54</v>
      </c>
      <c r="D5" s="1" t="s">
        <v>55</v>
      </c>
      <c r="E5" s="1" t="s">
        <v>56</v>
      </c>
      <c r="F5" s="1">
        <v>1</v>
      </c>
      <c r="G5" s="1">
        <v>1</v>
      </c>
      <c r="H5" s="12">
        <v>3.0207650273224043</v>
      </c>
      <c r="I5" s="13">
        <f>H5*PARÁMETROS!$B$5</f>
        <v>2764</v>
      </c>
      <c r="J5" s="7">
        <f t="shared" ref="J5:J28" si="0">I5*G5</f>
        <v>2764</v>
      </c>
      <c r="K5" s="5">
        <f t="shared" ref="K5:K28" si="1">ROUND(I5*F5,0)</f>
        <v>2764</v>
      </c>
      <c r="L5" s="1" t="s">
        <v>57</v>
      </c>
    </row>
    <row r="6" spans="1:12" x14ac:dyDescent="0.3">
      <c r="A6" s="1">
        <v>2</v>
      </c>
      <c r="B6" s="8" t="s">
        <v>53</v>
      </c>
      <c r="C6" s="1" t="s">
        <v>58</v>
      </c>
      <c r="D6" s="1" t="s">
        <v>59</v>
      </c>
      <c r="E6" s="1" t="s">
        <v>56</v>
      </c>
      <c r="F6" s="1">
        <v>1</v>
      </c>
      <c r="G6" s="1">
        <v>1</v>
      </c>
      <c r="H6" s="12">
        <v>0.33005464480874319</v>
      </c>
      <c r="I6" s="13">
        <f>H6*PARÁMETROS!$B$5</f>
        <v>302</v>
      </c>
      <c r="J6" s="7">
        <f t="shared" si="0"/>
        <v>302</v>
      </c>
      <c r="K6" s="5">
        <f t="shared" si="1"/>
        <v>302</v>
      </c>
      <c r="L6" s="1" t="s">
        <v>57</v>
      </c>
    </row>
    <row r="7" spans="1:12" x14ac:dyDescent="0.3">
      <c r="A7" s="1">
        <v>3</v>
      </c>
      <c r="B7" s="8" t="s">
        <v>53</v>
      </c>
      <c r="C7" s="1" t="s">
        <v>60</v>
      </c>
      <c r="D7" s="1" t="s">
        <v>61</v>
      </c>
      <c r="E7" s="1" t="s">
        <v>56</v>
      </c>
      <c r="F7" s="1">
        <v>1</v>
      </c>
      <c r="G7" s="1">
        <v>1</v>
      </c>
      <c r="H7" s="12">
        <v>0.14207650273224043</v>
      </c>
      <c r="I7" s="13">
        <f>H7*PARÁMETROS!$B$5</f>
        <v>130</v>
      </c>
      <c r="J7" s="7">
        <f t="shared" si="0"/>
        <v>130</v>
      </c>
      <c r="K7" s="5">
        <f t="shared" si="1"/>
        <v>130</v>
      </c>
      <c r="L7" s="1" t="s">
        <v>57</v>
      </c>
    </row>
    <row r="8" spans="1:12" x14ac:dyDescent="0.3">
      <c r="A8" s="1">
        <v>4</v>
      </c>
      <c r="B8" s="8" t="s">
        <v>53</v>
      </c>
      <c r="C8" s="1" t="s">
        <v>62</v>
      </c>
      <c r="D8" s="1" t="s">
        <v>63</v>
      </c>
      <c r="E8" s="1" t="s">
        <v>56</v>
      </c>
      <c r="F8" s="1">
        <v>1</v>
      </c>
      <c r="G8" s="1">
        <v>1</v>
      </c>
      <c r="H8" s="12">
        <v>2.3595628415300545</v>
      </c>
      <c r="I8" s="13">
        <f>H8*PARÁMETROS!$B$5</f>
        <v>2159</v>
      </c>
      <c r="J8" s="7">
        <f t="shared" si="0"/>
        <v>2159</v>
      </c>
      <c r="K8" s="5">
        <f t="shared" si="1"/>
        <v>2159</v>
      </c>
      <c r="L8" s="1" t="s">
        <v>57</v>
      </c>
    </row>
    <row r="9" spans="1:12" x14ac:dyDescent="0.3">
      <c r="A9" s="1">
        <v>5</v>
      </c>
      <c r="B9" s="8" t="s">
        <v>53</v>
      </c>
      <c r="C9" s="1" t="s">
        <v>64</v>
      </c>
      <c r="D9" s="1" t="s">
        <v>65</v>
      </c>
      <c r="E9" s="1" t="s">
        <v>56</v>
      </c>
      <c r="F9" s="1">
        <v>1</v>
      </c>
      <c r="G9" s="1">
        <v>1</v>
      </c>
      <c r="H9" s="12">
        <v>7.5409836065573776E-2</v>
      </c>
      <c r="I9" s="13">
        <f>H9*PARÁMETROS!$B$5</f>
        <v>69</v>
      </c>
      <c r="J9" s="7">
        <f t="shared" si="0"/>
        <v>69</v>
      </c>
      <c r="K9" s="5">
        <f t="shared" si="1"/>
        <v>69</v>
      </c>
      <c r="L9" s="1" t="s">
        <v>57</v>
      </c>
    </row>
    <row r="10" spans="1:12" x14ac:dyDescent="0.3">
      <c r="A10" s="1">
        <v>6</v>
      </c>
      <c r="B10" s="8" t="s">
        <v>53</v>
      </c>
      <c r="C10" s="1" t="s">
        <v>66</v>
      </c>
      <c r="D10" s="1" t="s">
        <v>67</v>
      </c>
      <c r="E10" s="1" t="s">
        <v>56</v>
      </c>
      <c r="F10" s="1">
        <v>1</v>
      </c>
      <c r="G10" s="1">
        <v>1</v>
      </c>
      <c r="H10" s="12">
        <v>9.3989071038251368E-2</v>
      </c>
      <c r="I10" s="13">
        <f>H10*PARÁMETROS!$B$5</f>
        <v>86</v>
      </c>
      <c r="J10" s="7">
        <f t="shared" si="0"/>
        <v>86</v>
      </c>
      <c r="K10" s="5">
        <f t="shared" si="1"/>
        <v>86</v>
      </c>
      <c r="L10" s="1" t="s">
        <v>57</v>
      </c>
    </row>
    <row r="11" spans="1:12" x14ac:dyDescent="0.3">
      <c r="A11" s="1">
        <v>7</v>
      </c>
      <c r="B11" s="8" t="s">
        <v>53</v>
      </c>
      <c r="C11" s="1" t="s">
        <v>68</v>
      </c>
      <c r="D11" s="1" t="s">
        <v>69</v>
      </c>
      <c r="E11" s="1" t="s">
        <v>56</v>
      </c>
      <c r="F11" s="1">
        <v>1</v>
      </c>
      <c r="G11" s="1">
        <v>1</v>
      </c>
      <c r="H11" s="12">
        <v>0.11366120218579236</v>
      </c>
      <c r="I11" s="13">
        <f>H11*PARÁMETROS!$B$5</f>
        <v>104</v>
      </c>
      <c r="J11" s="7">
        <f t="shared" si="0"/>
        <v>104</v>
      </c>
      <c r="K11" s="5">
        <f t="shared" si="1"/>
        <v>104</v>
      </c>
      <c r="L11" s="1" t="s">
        <v>57</v>
      </c>
    </row>
    <row r="12" spans="1:12" x14ac:dyDescent="0.3">
      <c r="A12" s="1">
        <v>8</v>
      </c>
      <c r="B12" s="8" t="s">
        <v>53</v>
      </c>
      <c r="C12" s="1" t="s">
        <v>70</v>
      </c>
      <c r="D12" s="1" t="s">
        <v>71</v>
      </c>
      <c r="E12" s="1" t="s">
        <v>56</v>
      </c>
      <c r="F12" s="1">
        <v>1</v>
      </c>
      <c r="G12" s="1">
        <v>1</v>
      </c>
      <c r="H12" s="12">
        <v>1.8579234972677595E-2</v>
      </c>
      <c r="I12" s="13">
        <f>H12*PARÁMETROS!$B$5</f>
        <v>17</v>
      </c>
      <c r="J12" s="7">
        <f t="shared" si="0"/>
        <v>17</v>
      </c>
      <c r="K12" s="5">
        <f t="shared" si="1"/>
        <v>17</v>
      </c>
      <c r="L12" s="1" t="s">
        <v>57</v>
      </c>
    </row>
    <row r="13" spans="1:12" x14ac:dyDescent="0.3">
      <c r="A13" s="1">
        <v>9</v>
      </c>
      <c r="B13" s="8" t="s">
        <v>53</v>
      </c>
      <c r="C13" s="1" t="s">
        <v>72</v>
      </c>
      <c r="D13" s="1" t="s">
        <v>73</v>
      </c>
      <c r="E13" s="1" t="s">
        <v>56</v>
      </c>
      <c r="F13" s="1">
        <v>2</v>
      </c>
      <c r="G13" s="1">
        <v>2</v>
      </c>
      <c r="H13" s="12">
        <v>1.912568306010929E-2</v>
      </c>
      <c r="I13" s="13">
        <f>H13*PARÁMETROS!$B$5</f>
        <v>17.5</v>
      </c>
      <c r="J13" s="7">
        <f t="shared" si="0"/>
        <v>35</v>
      </c>
      <c r="K13" s="5">
        <f t="shared" si="1"/>
        <v>35</v>
      </c>
      <c r="L13" s="1" t="s">
        <v>57</v>
      </c>
    </row>
    <row r="14" spans="1:12" x14ac:dyDescent="0.3">
      <c r="A14" s="1">
        <v>10</v>
      </c>
      <c r="B14" s="8" t="s">
        <v>53</v>
      </c>
      <c r="C14" s="1" t="s">
        <v>74</v>
      </c>
      <c r="D14" s="1" t="s">
        <v>75</v>
      </c>
      <c r="E14" s="1" t="s">
        <v>56</v>
      </c>
      <c r="F14" s="1">
        <v>1</v>
      </c>
      <c r="G14" s="1">
        <v>1</v>
      </c>
      <c r="H14" s="12">
        <v>0.18907103825136612</v>
      </c>
      <c r="I14" s="13">
        <f>H14*PARÁMETROS!$B$5</f>
        <v>173</v>
      </c>
      <c r="J14" s="7">
        <f t="shared" si="0"/>
        <v>173</v>
      </c>
      <c r="K14" s="5">
        <f t="shared" si="1"/>
        <v>173</v>
      </c>
      <c r="L14" s="1" t="s">
        <v>57</v>
      </c>
    </row>
    <row r="15" spans="1:12" x14ac:dyDescent="0.3">
      <c r="A15" s="1">
        <v>11</v>
      </c>
      <c r="B15" s="8" t="s">
        <v>53</v>
      </c>
      <c r="C15" s="1" t="s">
        <v>76</v>
      </c>
      <c r="D15" s="1" t="s">
        <v>77</v>
      </c>
      <c r="E15" s="1" t="s">
        <v>56</v>
      </c>
      <c r="F15" s="1">
        <v>1</v>
      </c>
      <c r="G15" s="1">
        <v>1</v>
      </c>
      <c r="H15" s="12">
        <v>4.6994535519125684E-2</v>
      </c>
      <c r="I15" s="13">
        <f>H15*PARÁMETROS!$B$5</f>
        <v>43</v>
      </c>
      <c r="J15" s="7">
        <f t="shared" si="0"/>
        <v>43</v>
      </c>
      <c r="K15" s="5">
        <f t="shared" si="1"/>
        <v>43</v>
      </c>
      <c r="L15" s="1" t="s">
        <v>57</v>
      </c>
    </row>
    <row r="16" spans="1:12" x14ac:dyDescent="0.3">
      <c r="A16" s="1">
        <v>12</v>
      </c>
      <c r="B16" s="8" t="s">
        <v>53</v>
      </c>
      <c r="C16" s="1" t="s">
        <v>78</v>
      </c>
      <c r="D16" s="1" t="s">
        <v>79</v>
      </c>
      <c r="E16" s="1" t="s">
        <v>56</v>
      </c>
      <c r="F16" s="1">
        <v>1</v>
      </c>
      <c r="G16" s="1">
        <v>1</v>
      </c>
      <c r="H16" s="12">
        <v>7.5409836065573776E-2</v>
      </c>
      <c r="I16" s="13">
        <f>H16*PARÁMETROS!$B$5</f>
        <v>69</v>
      </c>
      <c r="J16" s="7">
        <f t="shared" si="0"/>
        <v>69</v>
      </c>
      <c r="K16" s="5">
        <f t="shared" si="1"/>
        <v>69</v>
      </c>
      <c r="L16" s="1" t="s">
        <v>57</v>
      </c>
    </row>
    <row r="17" spans="1:12" x14ac:dyDescent="0.3">
      <c r="A17" s="1">
        <v>13</v>
      </c>
      <c r="B17" s="8" t="s">
        <v>53</v>
      </c>
      <c r="C17" s="1" t="s">
        <v>80</v>
      </c>
      <c r="D17" s="1" t="s">
        <v>81</v>
      </c>
      <c r="E17" s="1" t="s">
        <v>56</v>
      </c>
      <c r="F17" s="1">
        <v>3</v>
      </c>
      <c r="G17" s="1">
        <v>3</v>
      </c>
      <c r="H17" s="12">
        <v>9.4717668488160291E-3</v>
      </c>
      <c r="I17" s="13">
        <f>H17*PARÁMETROS!$B$5</f>
        <v>8.6666666666666661</v>
      </c>
      <c r="J17" s="7">
        <f t="shared" si="0"/>
        <v>26</v>
      </c>
      <c r="K17" s="5">
        <f t="shared" si="1"/>
        <v>26</v>
      </c>
      <c r="L17" s="1" t="s">
        <v>57</v>
      </c>
    </row>
    <row r="18" spans="1:12" x14ac:dyDescent="0.3">
      <c r="A18" s="1">
        <v>14</v>
      </c>
      <c r="B18" s="8" t="s">
        <v>53</v>
      </c>
      <c r="C18" s="1" t="s">
        <v>82</v>
      </c>
      <c r="D18" s="1" t="s">
        <v>83</v>
      </c>
      <c r="E18" s="1" t="s">
        <v>56</v>
      </c>
      <c r="F18" s="1">
        <v>1</v>
      </c>
      <c r="G18" s="1">
        <v>1</v>
      </c>
      <c r="H18" s="12">
        <v>0.14207650273224043</v>
      </c>
      <c r="I18" s="13">
        <f>H18*PARÁMETROS!$B$5</f>
        <v>130</v>
      </c>
      <c r="J18" s="7">
        <f t="shared" si="0"/>
        <v>130</v>
      </c>
      <c r="K18" s="5">
        <f t="shared" si="1"/>
        <v>130</v>
      </c>
      <c r="L18" s="1" t="s">
        <v>57</v>
      </c>
    </row>
    <row r="19" spans="1:12" x14ac:dyDescent="0.3">
      <c r="A19" s="1">
        <v>15</v>
      </c>
      <c r="B19" s="8" t="s">
        <v>53</v>
      </c>
      <c r="C19" s="1" t="s">
        <v>84</v>
      </c>
      <c r="D19" s="1" t="s">
        <v>85</v>
      </c>
      <c r="E19" s="1" t="s">
        <v>56</v>
      </c>
      <c r="F19" s="1">
        <v>1</v>
      </c>
      <c r="G19" s="1">
        <v>1</v>
      </c>
      <c r="H19" s="12">
        <v>0.16939890710382513</v>
      </c>
      <c r="I19" s="13">
        <f>H19*PARÁMETROS!$B$5</f>
        <v>155</v>
      </c>
      <c r="J19" s="7">
        <f t="shared" si="0"/>
        <v>155</v>
      </c>
      <c r="K19" s="5">
        <f t="shared" si="1"/>
        <v>155</v>
      </c>
      <c r="L19" s="1" t="s">
        <v>57</v>
      </c>
    </row>
    <row r="20" spans="1:12" x14ac:dyDescent="0.3">
      <c r="A20" s="1">
        <v>16</v>
      </c>
      <c r="B20" s="8" t="s">
        <v>53</v>
      </c>
      <c r="C20" s="1" t="s">
        <v>86</v>
      </c>
      <c r="D20" s="1" t="s">
        <v>87</v>
      </c>
      <c r="E20" s="1" t="s">
        <v>56</v>
      </c>
      <c r="F20" s="1">
        <v>1</v>
      </c>
      <c r="G20" s="1">
        <v>1</v>
      </c>
      <c r="H20" s="12">
        <v>0.11366120218579236</v>
      </c>
      <c r="I20" s="13">
        <f>H20*PARÁMETROS!$B$5</f>
        <v>104</v>
      </c>
      <c r="J20" s="7">
        <f t="shared" si="0"/>
        <v>104</v>
      </c>
      <c r="K20" s="5">
        <f t="shared" si="1"/>
        <v>104</v>
      </c>
      <c r="L20" s="1" t="s">
        <v>57</v>
      </c>
    </row>
    <row r="21" spans="1:12" x14ac:dyDescent="0.3">
      <c r="A21" s="1">
        <v>17</v>
      </c>
      <c r="B21" s="8" t="s">
        <v>53</v>
      </c>
      <c r="C21" s="1" t="s">
        <v>88</v>
      </c>
      <c r="D21" s="1" t="s">
        <v>89</v>
      </c>
      <c r="E21" s="1" t="s">
        <v>56</v>
      </c>
      <c r="F21" s="1">
        <v>2</v>
      </c>
      <c r="G21" s="1">
        <v>2</v>
      </c>
      <c r="H21" s="12">
        <v>0.1087431693989071</v>
      </c>
      <c r="I21" s="13">
        <f>H21*PARÁMETROS!$B$5</f>
        <v>99.5</v>
      </c>
      <c r="J21" s="7">
        <f t="shared" si="0"/>
        <v>199</v>
      </c>
      <c r="K21" s="5">
        <f t="shared" si="1"/>
        <v>199</v>
      </c>
      <c r="L21" s="1" t="s">
        <v>57</v>
      </c>
    </row>
    <row r="22" spans="1:12" x14ac:dyDescent="0.3">
      <c r="A22" s="1">
        <v>18</v>
      </c>
      <c r="B22" s="8" t="s">
        <v>53</v>
      </c>
      <c r="C22" s="1" t="s">
        <v>90</v>
      </c>
      <c r="D22" s="1" t="s">
        <v>91</v>
      </c>
      <c r="E22" s="1" t="s">
        <v>56</v>
      </c>
      <c r="F22" s="1">
        <v>30</v>
      </c>
      <c r="G22" s="1">
        <v>30</v>
      </c>
      <c r="H22" s="12">
        <v>5.3187613843351548E-3</v>
      </c>
      <c r="I22" s="13">
        <f>H22*PARÁMETROS!$B$5</f>
        <v>4.8666666666666663</v>
      </c>
      <c r="J22" s="7">
        <f t="shared" si="0"/>
        <v>146</v>
      </c>
      <c r="K22" s="5">
        <f t="shared" si="1"/>
        <v>146</v>
      </c>
      <c r="L22" s="1" t="s">
        <v>57</v>
      </c>
    </row>
    <row r="23" spans="1:12" x14ac:dyDescent="0.3">
      <c r="A23" s="1">
        <v>19</v>
      </c>
      <c r="B23" s="8" t="s">
        <v>92</v>
      </c>
      <c r="C23" s="1" t="s">
        <v>93</v>
      </c>
      <c r="D23" s="1" t="s">
        <v>94</v>
      </c>
      <c r="E23" s="1" t="s">
        <v>95</v>
      </c>
      <c r="F23" s="1">
        <v>1</v>
      </c>
      <c r="G23" s="1">
        <v>1</v>
      </c>
      <c r="H23" s="12">
        <v>2.4360655737704917</v>
      </c>
      <c r="I23" s="13">
        <f>H23*PARÁMETROS!$B$5</f>
        <v>2229</v>
      </c>
      <c r="J23" s="7">
        <f t="shared" si="0"/>
        <v>2229</v>
      </c>
      <c r="K23" s="5">
        <f t="shared" si="1"/>
        <v>2229</v>
      </c>
      <c r="L23" s="1" t="s">
        <v>96</v>
      </c>
    </row>
    <row r="24" spans="1:12" x14ac:dyDescent="0.3">
      <c r="A24" s="1">
        <v>20</v>
      </c>
      <c r="B24" s="8" t="s">
        <v>92</v>
      </c>
      <c r="C24" s="1" t="s">
        <v>97</v>
      </c>
      <c r="D24" s="1" t="s">
        <v>98</v>
      </c>
      <c r="E24" s="1" t="s">
        <v>95</v>
      </c>
      <c r="F24" s="1">
        <v>1</v>
      </c>
      <c r="G24" s="1">
        <v>1</v>
      </c>
      <c r="H24" s="12">
        <v>1.292896174863388</v>
      </c>
      <c r="I24" s="13">
        <f>H24*PARÁMETROS!$B$5</f>
        <v>1183</v>
      </c>
      <c r="J24" s="7">
        <f t="shared" si="0"/>
        <v>1183</v>
      </c>
      <c r="K24" s="5">
        <f t="shared" si="1"/>
        <v>1183</v>
      </c>
      <c r="L24" s="1" t="s">
        <v>96</v>
      </c>
    </row>
    <row r="25" spans="1:12" x14ac:dyDescent="0.3">
      <c r="A25" s="1">
        <v>21</v>
      </c>
      <c r="B25" s="8" t="s">
        <v>92</v>
      </c>
      <c r="C25" s="1" t="s">
        <v>99</v>
      </c>
      <c r="D25" s="1" t="s">
        <v>100</v>
      </c>
      <c r="E25" s="1" t="s">
        <v>95</v>
      </c>
      <c r="F25" s="1">
        <v>1</v>
      </c>
      <c r="G25" s="1">
        <v>1</v>
      </c>
      <c r="H25" s="12">
        <v>4.9289617486338795</v>
      </c>
      <c r="I25" s="13">
        <f>H25*PARÁMETROS!$B$5</f>
        <v>4510</v>
      </c>
      <c r="J25" s="7">
        <f t="shared" si="0"/>
        <v>4510</v>
      </c>
      <c r="K25" s="5">
        <f t="shared" si="1"/>
        <v>4510</v>
      </c>
      <c r="L25" s="1" t="s">
        <v>96</v>
      </c>
    </row>
    <row r="26" spans="1:12" x14ac:dyDescent="0.3">
      <c r="A26" s="1">
        <v>22</v>
      </c>
      <c r="B26" s="8" t="s">
        <v>92</v>
      </c>
      <c r="C26" s="1" t="s">
        <v>101</v>
      </c>
      <c r="D26" s="1" t="s">
        <v>102</v>
      </c>
      <c r="E26" s="1" t="s">
        <v>95</v>
      </c>
      <c r="F26" s="1">
        <v>1</v>
      </c>
      <c r="G26" s="1">
        <v>1</v>
      </c>
      <c r="H26" s="12">
        <v>3.5519125683060109</v>
      </c>
      <c r="I26" s="13">
        <f>H26*PARÁMETROS!$B$5</f>
        <v>3250</v>
      </c>
      <c r="J26" s="7">
        <f t="shared" si="0"/>
        <v>3250</v>
      </c>
      <c r="K26" s="5">
        <f t="shared" si="1"/>
        <v>3250</v>
      </c>
      <c r="L26" s="1" t="s">
        <v>96</v>
      </c>
    </row>
    <row r="27" spans="1:12" x14ac:dyDescent="0.3">
      <c r="A27" s="1">
        <v>23</v>
      </c>
      <c r="B27" s="9" t="s">
        <v>92</v>
      </c>
      <c r="C27" s="1" t="s">
        <v>103</v>
      </c>
      <c r="D27" s="1" t="s">
        <v>104</v>
      </c>
      <c r="E27" s="1" t="s">
        <v>95</v>
      </c>
      <c r="F27" s="1">
        <v>1</v>
      </c>
      <c r="G27" s="1">
        <v>1</v>
      </c>
      <c r="H27" s="12">
        <v>5.2163934426229508</v>
      </c>
      <c r="I27" s="13">
        <f>H27*PARÁMETROS!$B$5</f>
        <v>4773</v>
      </c>
      <c r="J27" s="7">
        <f t="shared" si="0"/>
        <v>4773</v>
      </c>
      <c r="K27" s="1">
        <f t="shared" si="1"/>
        <v>4773</v>
      </c>
      <c r="L27" s="1" t="s">
        <v>96</v>
      </c>
    </row>
    <row r="28" spans="1:12" x14ac:dyDescent="0.3">
      <c r="A28" s="1">
        <v>24</v>
      </c>
      <c r="B28" s="9" t="s">
        <v>92</v>
      </c>
      <c r="C28" s="1" t="s">
        <v>105</v>
      </c>
      <c r="D28" s="1" t="s">
        <v>106</v>
      </c>
      <c r="E28" s="1" t="s">
        <v>95</v>
      </c>
      <c r="F28" s="1">
        <v>1</v>
      </c>
      <c r="G28" s="1">
        <v>1</v>
      </c>
      <c r="H28" s="12">
        <v>52.459016393442624</v>
      </c>
      <c r="I28" s="13">
        <f>H28*PARÁMETROS!$B$5</f>
        <v>48000</v>
      </c>
      <c r="J28" s="7">
        <f t="shared" si="0"/>
        <v>48000</v>
      </c>
      <c r="K28" s="1">
        <f t="shared" si="1"/>
        <v>48000</v>
      </c>
      <c r="L28" s="1" t="s">
        <v>96</v>
      </c>
    </row>
    <row r="30" spans="1:12" x14ac:dyDescent="0.3">
      <c r="J30" s="1" t="s">
        <v>107</v>
      </c>
      <c r="K30" s="5">
        <f>ROUND(SUM(J5:J28),0)</f>
        <v>70656</v>
      </c>
    </row>
    <row r="31" spans="1:12" x14ac:dyDescent="0.3">
      <c r="J31" s="1" t="s">
        <v>108</v>
      </c>
      <c r="K31" s="5">
        <f>SUM(K5:K28)</f>
        <v>70656</v>
      </c>
    </row>
    <row r="32" spans="1:12" x14ac:dyDescent="0.3">
      <c r="J32" s="1" t="s">
        <v>109</v>
      </c>
      <c r="K32" s="5">
        <f>'EQUIPAMIENTO LAB'!D22</f>
        <v>4910000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baseColWidth="10" defaultRowHeight="15.6" x14ac:dyDescent="0.3"/>
  <cols>
    <col min="1" max="1" width="31.09765625" customWidth="1"/>
    <col min="2" max="2" width="40.796875" customWidth="1"/>
    <col min="3" max="3" width="28.796875" customWidth="1"/>
    <col min="4" max="4" width="18.796875" customWidth="1"/>
    <col min="5" max="5" width="12.796875" customWidth="1"/>
  </cols>
  <sheetData>
    <row r="1" spans="1:5" x14ac:dyDescent="0.3">
      <c r="A1" s="26" t="s">
        <v>110</v>
      </c>
    </row>
    <row r="3" spans="1:5" x14ac:dyDescent="0.3">
      <c r="A3" t="s">
        <v>111</v>
      </c>
    </row>
    <row r="4" spans="1:5" x14ac:dyDescent="0.3">
      <c r="A4" t="s">
        <v>112</v>
      </c>
    </row>
    <row r="5" spans="1:5" x14ac:dyDescent="0.3">
      <c r="A5" t="s">
        <v>113</v>
      </c>
    </row>
    <row r="6" spans="1:5" x14ac:dyDescent="0.3">
      <c r="A6" t="s">
        <v>114</v>
      </c>
    </row>
    <row r="7" spans="1:5" x14ac:dyDescent="0.3">
      <c r="A7" t="s">
        <v>115</v>
      </c>
    </row>
    <row r="8" spans="1:5" x14ac:dyDescent="0.3">
      <c r="A8" t="s">
        <v>116</v>
      </c>
    </row>
    <row r="10" spans="1:5" x14ac:dyDescent="0.3">
      <c r="A10" t="s">
        <v>117</v>
      </c>
    </row>
    <row r="11" spans="1:5" x14ac:dyDescent="0.3">
      <c r="B11" s="3" t="s">
        <v>118</v>
      </c>
      <c r="C11" s="3" t="s">
        <v>119</v>
      </c>
      <c r="D11" s="3" t="s">
        <v>120</v>
      </c>
      <c r="E11" s="3" t="s">
        <v>121</v>
      </c>
    </row>
    <row r="12" spans="1:5" x14ac:dyDescent="0.3">
      <c r="B12" s="1" t="s">
        <v>122</v>
      </c>
      <c r="C12" s="1" t="s">
        <v>123</v>
      </c>
      <c r="D12" s="5">
        <v>900000</v>
      </c>
      <c r="E12" s="1" t="s">
        <v>124</v>
      </c>
    </row>
    <row r="13" spans="1:5" x14ac:dyDescent="0.3">
      <c r="B13" s="1" t="s">
        <v>125</v>
      </c>
      <c r="C13" s="1" t="s">
        <v>126</v>
      </c>
      <c r="D13" s="5">
        <v>450000</v>
      </c>
      <c r="E13" s="1" t="s">
        <v>127</v>
      </c>
    </row>
    <row r="14" spans="1:5" x14ac:dyDescent="0.3">
      <c r="B14" s="1" t="s">
        <v>128</v>
      </c>
      <c r="C14" s="1" t="s">
        <v>129</v>
      </c>
      <c r="D14" s="5">
        <v>80000</v>
      </c>
      <c r="E14" s="1" t="s">
        <v>127</v>
      </c>
    </row>
    <row r="15" spans="1:5" x14ac:dyDescent="0.3">
      <c r="B15" s="1" t="s">
        <v>130</v>
      </c>
      <c r="C15" s="1" t="s">
        <v>131</v>
      </c>
      <c r="D15" s="5">
        <v>240000</v>
      </c>
      <c r="E15" s="1" t="s">
        <v>124</v>
      </c>
    </row>
    <row r="16" spans="1:5" x14ac:dyDescent="0.3">
      <c r="B16" s="1" t="s">
        <v>132</v>
      </c>
      <c r="C16" s="1" t="s">
        <v>133</v>
      </c>
      <c r="D16" s="5">
        <v>250000</v>
      </c>
      <c r="E16" s="1" t="s">
        <v>124</v>
      </c>
    </row>
    <row r="17" spans="2:5" x14ac:dyDescent="0.3">
      <c r="B17" s="1" t="s">
        <v>134</v>
      </c>
      <c r="C17" s="1" t="s">
        <v>135</v>
      </c>
      <c r="D17" s="5">
        <v>400000</v>
      </c>
      <c r="E17" s="1" t="s">
        <v>124</v>
      </c>
    </row>
    <row r="18" spans="2:5" x14ac:dyDescent="0.3">
      <c r="B18" s="1" t="s">
        <v>136</v>
      </c>
      <c r="C18" s="1" t="s">
        <v>135</v>
      </c>
      <c r="D18" s="5">
        <v>160000</v>
      </c>
      <c r="E18" s="1" t="s">
        <v>127</v>
      </c>
    </row>
    <row r="19" spans="2:5" x14ac:dyDescent="0.3">
      <c r="B19" s="1" t="s">
        <v>137</v>
      </c>
      <c r="C19" s="1" t="s">
        <v>138</v>
      </c>
      <c r="D19" s="5">
        <v>530000</v>
      </c>
      <c r="E19" s="1" t="s">
        <v>124</v>
      </c>
    </row>
    <row r="20" spans="2:5" x14ac:dyDescent="0.3">
      <c r="B20" s="1" t="s">
        <v>139</v>
      </c>
      <c r="C20" s="1" t="s">
        <v>140</v>
      </c>
      <c r="D20" s="5">
        <v>1600000</v>
      </c>
      <c r="E20" s="1" t="s">
        <v>124</v>
      </c>
    </row>
    <row r="21" spans="2:5" x14ac:dyDescent="0.3">
      <c r="B21" s="1" t="s">
        <v>141</v>
      </c>
      <c r="C21" s="1" t="s">
        <v>142</v>
      </c>
      <c r="D21" s="5">
        <v>300000</v>
      </c>
      <c r="E21" s="1" t="s">
        <v>127</v>
      </c>
    </row>
    <row r="22" spans="2:5" x14ac:dyDescent="0.3">
      <c r="B22" s="15" t="s">
        <v>143</v>
      </c>
      <c r="C22" s="16"/>
      <c r="D22" s="5">
        <f>SUM(D12:D21)</f>
        <v>4910000</v>
      </c>
      <c r="E22" s="1"/>
    </row>
  </sheetData>
  <mergeCells count="1">
    <mergeCell ref="B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/>
  </sheetViews>
  <sheetFormatPr baseColWidth="10" defaultRowHeight="15.6" x14ac:dyDescent="0.3"/>
  <cols>
    <col min="1" max="1" width="50.796875" customWidth="1"/>
    <col min="2" max="3" width="18.796875" customWidth="1"/>
    <col min="4" max="4" width="14.796875" customWidth="1"/>
  </cols>
  <sheetData>
    <row r="1" spans="1:4" x14ac:dyDescent="0.3">
      <c r="A1" s="26" t="s">
        <v>144</v>
      </c>
    </row>
    <row r="3" spans="1:4" x14ac:dyDescent="0.3">
      <c r="A3" s="22" t="s">
        <v>145</v>
      </c>
      <c r="B3" s="22" t="s">
        <v>146</v>
      </c>
      <c r="C3" s="22" t="s">
        <v>3</v>
      </c>
      <c r="D3" s="22"/>
    </row>
    <row r="4" spans="1:4" x14ac:dyDescent="0.3">
      <c r="A4" s="1" t="s">
        <v>147</v>
      </c>
      <c r="B4" s="5">
        <v>150000</v>
      </c>
      <c r="C4" s="19" t="s">
        <v>148</v>
      </c>
      <c r="D4" s="21"/>
    </row>
    <row r="5" spans="1:4" x14ac:dyDescent="0.3">
      <c r="A5" s="1" t="s">
        <v>149</v>
      </c>
      <c r="B5" s="5">
        <v>900000</v>
      </c>
      <c r="C5" s="19" t="s">
        <v>150</v>
      </c>
      <c r="D5" s="21"/>
    </row>
    <row r="6" spans="1:4" x14ac:dyDescent="0.3">
      <c r="A6" s="1" t="s">
        <v>151</v>
      </c>
      <c r="B6" s="5">
        <v>1500000</v>
      </c>
      <c r="C6" s="19" t="s">
        <v>152</v>
      </c>
      <c r="D6" s="21"/>
    </row>
    <row r="7" spans="1:4" x14ac:dyDescent="0.3">
      <c r="A7" s="1" t="s">
        <v>153</v>
      </c>
      <c r="B7" s="5">
        <v>450000</v>
      </c>
      <c r="C7" s="19" t="s">
        <v>154</v>
      </c>
      <c r="D7" s="21"/>
    </row>
    <row r="8" spans="1:4" x14ac:dyDescent="0.3">
      <c r="A8" s="1" t="s">
        <v>155</v>
      </c>
      <c r="B8" s="5">
        <v>120000</v>
      </c>
      <c r="C8" s="19" t="s">
        <v>156</v>
      </c>
      <c r="D8" s="21"/>
    </row>
    <row r="9" spans="1:4" x14ac:dyDescent="0.3">
      <c r="A9" s="1" t="s">
        <v>157</v>
      </c>
      <c r="B9" s="5">
        <v>150000</v>
      </c>
      <c r="C9" s="19" t="s">
        <v>142</v>
      </c>
      <c r="D9" s="21"/>
    </row>
    <row r="10" spans="1:4" x14ac:dyDescent="0.3">
      <c r="A10" s="1" t="s">
        <v>158</v>
      </c>
      <c r="B10" s="5">
        <v>913090</v>
      </c>
      <c r="C10" s="19" t="s">
        <v>159</v>
      </c>
      <c r="D10" s="21"/>
    </row>
    <row r="11" spans="1:4" x14ac:dyDescent="0.3">
      <c r="A11" s="1" t="s">
        <v>160</v>
      </c>
      <c r="B11" s="5">
        <v>14806910</v>
      </c>
      <c r="C11" s="34" t="s">
        <v>161</v>
      </c>
      <c r="D11" s="34"/>
    </row>
    <row r="12" spans="1:4" x14ac:dyDescent="0.3">
      <c r="A12" s="1" t="s">
        <v>162</v>
      </c>
      <c r="B12" s="5">
        <v>4910000</v>
      </c>
      <c r="C12" s="34" t="s">
        <v>163</v>
      </c>
      <c r="D12" s="34"/>
    </row>
    <row r="13" spans="1:4" x14ac:dyDescent="0.3">
      <c r="A13" s="1" t="s">
        <v>164</v>
      </c>
      <c r="B13" s="5">
        <v>0</v>
      </c>
      <c r="C13" s="34" t="s">
        <v>165</v>
      </c>
      <c r="D13" s="34"/>
    </row>
    <row r="14" spans="1:4" x14ac:dyDescent="0.3">
      <c r="A14" s="1" t="s">
        <v>166</v>
      </c>
      <c r="B14" s="5">
        <f>SUM(B4:B13)</f>
        <v>23900000</v>
      </c>
      <c r="C14" s="19"/>
      <c r="D14" s="21"/>
    </row>
    <row r="15" spans="1:4" x14ac:dyDescent="0.3">
      <c r="A15" s="1" t="s">
        <v>167</v>
      </c>
      <c r="B15" s="5">
        <f>0</f>
        <v>0</v>
      </c>
      <c r="C15" s="19"/>
      <c r="D15" s="21"/>
    </row>
    <row r="16" spans="1:4" x14ac:dyDescent="0.3">
      <c r="A16" s="1" t="s">
        <v>168</v>
      </c>
      <c r="B16" s="5">
        <f>SUM(B14:B15)</f>
        <v>23900000</v>
      </c>
      <c r="C16" s="19"/>
      <c r="D16" s="21"/>
    </row>
    <row r="18" spans="1:4" x14ac:dyDescent="0.3">
      <c r="A18" s="30" t="s">
        <v>169</v>
      </c>
      <c r="B18" s="5">
        <f>'AMORTIZACIÓN BANCARIA'!B3</f>
        <v>15000000</v>
      </c>
      <c r="C18" s="19" t="s">
        <v>170</v>
      </c>
      <c r="D18" s="21"/>
    </row>
    <row r="19" spans="1:4" x14ac:dyDescent="0.3">
      <c r="A19" s="30" t="s">
        <v>171</v>
      </c>
      <c r="B19" s="5">
        <f>B16-B18</f>
        <v>8900000</v>
      </c>
      <c r="C19" s="19" t="s">
        <v>172</v>
      </c>
      <c r="D19" s="21"/>
    </row>
    <row r="21" spans="1:4" x14ac:dyDescent="0.3">
      <c r="A21" s="22" t="s">
        <v>173</v>
      </c>
      <c r="B21" s="22" t="s">
        <v>174</v>
      </c>
      <c r="C21" s="22" t="s">
        <v>175</v>
      </c>
      <c r="D21" s="22" t="s">
        <v>176</v>
      </c>
    </row>
    <row r="22" spans="1:4" x14ac:dyDescent="0.3">
      <c r="A22" s="1" t="s">
        <v>177</v>
      </c>
      <c r="B22" s="1">
        <v>1.5</v>
      </c>
      <c r="C22" s="1">
        <v>200</v>
      </c>
      <c r="D22" s="1">
        <f t="shared" ref="D22:D27" si="0">B22*C22</f>
        <v>300</v>
      </c>
    </row>
    <row r="23" spans="1:4" x14ac:dyDescent="0.3">
      <c r="A23" s="1" t="s">
        <v>178</v>
      </c>
      <c r="B23" s="1">
        <v>0.5</v>
      </c>
      <c r="C23" s="1">
        <v>200</v>
      </c>
      <c r="D23" s="1">
        <f t="shared" si="0"/>
        <v>100</v>
      </c>
    </row>
    <row r="24" spans="1:4" x14ac:dyDescent="0.3">
      <c r="A24" s="1" t="s">
        <v>179</v>
      </c>
      <c r="B24" s="1">
        <v>0.5</v>
      </c>
      <c r="C24" s="1">
        <v>200</v>
      </c>
      <c r="D24" s="1">
        <f t="shared" si="0"/>
        <v>100</v>
      </c>
    </row>
    <row r="25" spans="1:4" x14ac:dyDescent="0.3">
      <c r="A25" s="1" t="s">
        <v>180</v>
      </c>
      <c r="B25" s="1">
        <v>0.25</v>
      </c>
      <c r="C25" s="1">
        <v>200</v>
      </c>
      <c r="D25" s="1">
        <f t="shared" si="0"/>
        <v>50</v>
      </c>
    </row>
    <row r="26" spans="1:4" x14ac:dyDescent="0.3">
      <c r="A26" s="1" t="s">
        <v>181</v>
      </c>
      <c r="B26" s="1">
        <v>600</v>
      </c>
      <c r="C26" s="1">
        <v>1</v>
      </c>
      <c r="D26" s="1">
        <f t="shared" si="0"/>
        <v>600</v>
      </c>
    </row>
    <row r="27" spans="1:4" x14ac:dyDescent="0.3">
      <c r="A27" s="1" t="s">
        <v>182</v>
      </c>
      <c r="B27" s="1">
        <v>300</v>
      </c>
      <c r="C27" s="1">
        <v>1</v>
      </c>
      <c r="D27" s="1">
        <f t="shared" si="0"/>
        <v>300</v>
      </c>
    </row>
    <row r="28" spans="1:4" x14ac:dyDescent="0.3">
      <c r="A28" s="1" t="s">
        <v>183</v>
      </c>
      <c r="B28" s="1" t="s">
        <v>184</v>
      </c>
      <c r="C28" s="1" t="s">
        <v>184</v>
      </c>
      <c r="D28" s="1">
        <f>SUM(D22:D27)</f>
        <v>1450</v>
      </c>
    </row>
    <row r="29" spans="1:4" x14ac:dyDescent="0.3">
      <c r="A29" s="1" t="s">
        <v>185</v>
      </c>
      <c r="B29" s="1" t="s">
        <v>184</v>
      </c>
      <c r="C29" s="1" t="s">
        <v>184</v>
      </c>
      <c r="D29" s="1">
        <f>D28/2</f>
        <v>725</v>
      </c>
    </row>
  </sheetData>
  <mergeCells count="12">
    <mergeCell ref="C10:D10"/>
    <mergeCell ref="C14:D14"/>
    <mergeCell ref="C15:D15"/>
    <mergeCell ref="C16:D16"/>
    <mergeCell ref="C18:D18"/>
    <mergeCell ref="C19:D19"/>
    <mergeCell ref="C4:D4"/>
    <mergeCell ref="C6:D6"/>
    <mergeCell ref="C5:D5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5"/>
  <sheetViews>
    <sheetView workbookViewId="0">
      <selection activeCell="G15" sqref="G15"/>
    </sheetView>
  </sheetViews>
  <sheetFormatPr baseColWidth="10" defaultRowHeight="15.6" x14ac:dyDescent="0.3"/>
  <cols>
    <col min="1" max="1" width="30.796875" customWidth="1"/>
    <col min="2" max="5" width="20.796875" customWidth="1"/>
  </cols>
  <sheetData>
    <row r="1" spans="1:5" x14ac:dyDescent="0.3">
      <c r="A1" s="26" t="s">
        <v>186</v>
      </c>
    </row>
    <row r="3" spans="1:5" x14ac:dyDescent="0.3">
      <c r="A3" s="30" t="s">
        <v>187</v>
      </c>
      <c r="B3" s="5">
        <f>E3+E5</f>
        <v>15000000</v>
      </c>
      <c r="C3" s="1" t="s">
        <v>188</v>
      </c>
      <c r="D3" s="30" t="s">
        <v>189</v>
      </c>
      <c r="E3" s="5">
        <v>10000000</v>
      </c>
    </row>
    <row r="4" spans="1:5" x14ac:dyDescent="0.3">
      <c r="A4" s="30" t="s">
        <v>27</v>
      </c>
      <c r="B4" s="11">
        <f>E4</f>
        <v>0.1</v>
      </c>
      <c r="C4" s="1" t="s">
        <v>190</v>
      </c>
      <c r="D4" s="30" t="s">
        <v>191</v>
      </c>
      <c r="E4" s="11">
        <v>0.1</v>
      </c>
    </row>
    <row r="5" spans="1:5" x14ac:dyDescent="0.3">
      <c r="A5" s="30" t="s">
        <v>29</v>
      </c>
      <c r="B5" s="11">
        <f>E4/12</f>
        <v>8.3333333333333332E-3</v>
      </c>
      <c r="C5" s="1" t="s">
        <v>189</v>
      </c>
      <c r="D5" s="30" t="s">
        <v>192</v>
      </c>
      <c r="E5" s="5">
        <v>5000000</v>
      </c>
    </row>
    <row r="6" spans="1:5" x14ac:dyDescent="0.3">
      <c r="A6" s="30" t="s">
        <v>31</v>
      </c>
      <c r="B6" s="1">
        <f>60</f>
        <v>60</v>
      </c>
      <c r="C6" s="1" t="s">
        <v>193</v>
      </c>
      <c r="D6" s="30" t="s">
        <v>194</v>
      </c>
      <c r="E6" s="11">
        <v>0.23</v>
      </c>
    </row>
    <row r="7" spans="1:5" x14ac:dyDescent="0.3">
      <c r="A7" s="30" t="s">
        <v>33</v>
      </c>
      <c r="B7" s="5">
        <f>ROUND(-PMT(E4/12,B6,E3),0)</f>
        <v>212470</v>
      </c>
      <c r="C7" s="1" t="s">
        <v>195</v>
      </c>
      <c r="D7" s="30" t="s">
        <v>196</v>
      </c>
      <c r="E7" s="5">
        <f>ROUND(MAX(0,$E$3*(1+$B$5)^48-$B$7*((1+$B$5)^48-1)/$B$5),0)</f>
        <v>2416773</v>
      </c>
    </row>
    <row r="8" spans="1:5" x14ac:dyDescent="0.3">
      <c r="A8" s="30" t="s">
        <v>35</v>
      </c>
      <c r="B8" s="5">
        <f>B7*B6+E5*(1+E6)</f>
        <v>18898200</v>
      </c>
      <c r="C8" s="1" t="s">
        <v>197</v>
      </c>
      <c r="D8" s="30" t="s">
        <v>198</v>
      </c>
      <c r="E8" s="1">
        <f>0</f>
        <v>0</v>
      </c>
    </row>
    <row r="9" spans="1:5" x14ac:dyDescent="0.3">
      <c r="A9" s="30" t="s">
        <v>199</v>
      </c>
      <c r="B9" s="5">
        <f>B8-B3</f>
        <v>3898200</v>
      </c>
      <c r="C9" s="1" t="s">
        <v>197</v>
      </c>
      <c r="D9" s="30" t="s">
        <v>200</v>
      </c>
      <c r="E9" s="5">
        <f>$B$7*12</f>
        <v>2549640</v>
      </c>
    </row>
    <row r="11" spans="1:5" x14ac:dyDescent="0.3">
      <c r="A11" s="33" t="s">
        <v>201</v>
      </c>
      <c r="B11" s="33"/>
    </row>
    <row r="12" spans="1:5" x14ac:dyDescent="0.3">
      <c r="A12" s="22" t="s">
        <v>202</v>
      </c>
      <c r="B12" s="22" t="s">
        <v>203</v>
      </c>
      <c r="C12" s="22" t="s">
        <v>204</v>
      </c>
      <c r="D12" s="22" t="s">
        <v>205</v>
      </c>
      <c r="E12" s="22" t="s">
        <v>206</v>
      </c>
    </row>
    <row r="13" spans="1:5" x14ac:dyDescent="0.3">
      <c r="A13" s="1">
        <v>1</v>
      </c>
      <c r="B13" s="5">
        <f>ROUND($E$9+$E$5*(1+$E$6),0)</f>
        <v>8699640</v>
      </c>
      <c r="C13" s="5">
        <f>ROUND($E$3+$E$5-E13,0)</f>
        <v>6622676</v>
      </c>
      <c r="D13" s="5">
        <f>B13-C13</f>
        <v>2076964</v>
      </c>
      <c r="E13" s="5">
        <f>ROUND(MAX(0,$E$3*(1+$B$5)^12-$B$7*((1+$B$5)^12-1)/$B$5),0)</f>
        <v>8377324</v>
      </c>
    </row>
    <row r="14" spans="1:5" x14ac:dyDescent="0.3">
      <c r="A14" s="1">
        <v>2</v>
      </c>
      <c r="B14" s="5">
        <f>$E$9</f>
        <v>2549640</v>
      </c>
      <c r="C14" s="5">
        <f>E13-E14</f>
        <v>1792591</v>
      </c>
      <c r="D14" s="5">
        <f>B14-C14</f>
        <v>757049</v>
      </c>
      <c r="E14" s="5">
        <f>ROUND(MAX(0,E13*(1+$B$5)^12-$B$7*((1+$B$5)^12-1)/$B$5),0)</f>
        <v>6584733</v>
      </c>
    </row>
    <row r="15" spans="1:5" x14ac:dyDescent="0.3">
      <c r="A15" s="1">
        <v>3</v>
      </c>
      <c r="B15" s="5">
        <f>$E$9</f>
        <v>2549640</v>
      </c>
      <c r="C15" s="5">
        <f>E14-E15</f>
        <v>1980299</v>
      </c>
      <c r="D15" s="5">
        <f>B15-C15</f>
        <v>569341</v>
      </c>
      <c r="E15" s="5">
        <f>ROUND(MAX(0,E14*(1+$B$5)^12-$B$7*((1+$B$5)^12-1)/$B$5),0)</f>
        <v>4604434</v>
      </c>
    </row>
    <row r="16" spans="1:5" x14ac:dyDescent="0.3">
      <c r="A16" s="1" t="s">
        <v>207</v>
      </c>
      <c r="B16" s="5">
        <f>$E$9*2</f>
        <v>5099280</v>
      </c>
      <c r="C16" s="5">
        <f>E15-$E$8</f>
        <v>4604434</v>
      </c>
      <c r="D16" s="5">
        <f>B16-C16</f>
        <v>494846</v>
      </c>
      <c r="E16" s="5">
        <f>$E$8</f>
        <v>0</v>
      </c>
    </row>
    <row r="18" spans="1:5" x14ac:dyDescent="0.3">
      <c r="A18" s="31" t="s">
        <v>208</v>
      </c>
      <c r="B18" s="32"/>
      <c r="C18" s="1"/>
      <c r="D18" s="1"/>
      <c r="E18" s="1"/>
    </row>
    <row r="19" spans="1:5" x14ac:dyDescent="0.3">
      <c r="A19" s="22" t="s">
        <v>209</v>
      </c>
      <c r="B19" s="22" t="s">
        <v>210</v>
      </c>
      <c r="C19" s="22" t="s">
        <v>211</v>
      </c>
      <c r="D19" s="22" t="s">
        <v>212</v>
      </c>
      <c r="E19" s="22" t="s">
        <v>213</v>
      </c>
    </row>
    <row r="20" spans="1:5" x14ac:dyDescent="0.3">
      <c r="A20" s="1">
        <v>1</v>
      </c>
      <c r="B20" s="5">
        <f t="shared" ref="B20:B55" si="0">$B$7</f>
        <v>212470</v>
      </c>
      <c r="C20" s="5">
        <f t="shared" ref="C20:C55" si="1">ROUND(B20-D20,0)</f>
        <v>129137</v>
      </c>
      <c r="D20" s="5">
        <f>ROUND($E$3*$B$5,0)</f>
        <v>83333</v>
      </c>
      <c r="E20" s="5">
        <f>ROUND($E$3-C20,0)</f>
        <v>9870863</v>
      </c>
    </row>
    <row r="21" spans="1:5" x14ac:dyDescent="0.3">
      <c r="A21" s="1">
        <v>2</v>
      </c>
      <c r="B21" s="5">
        <f t="shared" si="0"/>
        <v>212470</v>
      </c>
      <c r="C21" s="5">
        <f t="shared" si="1"/>
        <v>130213</v>
      </c>
      <c r="D21" s="5">
        <f t="shared" ref="D21:D55" si="2">ROUND(E20*$B$5,0)</f>
        <v>82257</v>
      </c>
      <c r="E21" s="5">
        <f t="shared" ref="E21:E55" si="3">ROUND(E20-C21,0)</f>
        <v>9740650</v>
      </c>
    </row>
    <row r="22" spans="1:5" x14ac:dyDescent="0.3">
      <c r="A22" s="1">
        <v>3</v>
      </c>
      <c r="B22" s="5">
        <f t="shared" si="0"/>
        <v>212470</v>
      </c>
      <c r="C22" s="5">
        <f t="shared" si="1"/>
        <v>131298</v>
      </c>
      <c r="D22" s="5">
        <f t="shared" si="2"/>
        <v>81172</v>
      </c>
      <c r="E22" s="5">
        <f t="shared" si="3"/>
        <v>9609352</v>
      </c>
    </row>
    <row r="23" spans="1:5" x14ac:dyDescent="0.3">
      <c r="A23" s="1">
        <v>4</v>
      </c>
      <c r="B23" s="5">
        <f t="shared" si="0"/>
        <v>212470</v>
      </c>
      <c r="C23" s="5">
        <f t="shared" si="1"/>
        <v>132392</v>
      </c>
      <c r="D23" s="5">
        <f t="shared" si="2"/>
        <v>80078</v>
      </c>
      <c r="E23" s="5">
        <f t="shared" si="3"/>
        <v>9476960</v>
      </c>
    </row>
    <row r="24" spans="1:5" x14ac:dyDescent="0.3">
      <c r="A24" s="1">
        <v>5</v>
      </c>
      <c r="B24" s="5">
        <f t="shared" si="0"/>
        <v>212470</v>
      </c>
      <c r="C24" s="5">
        <f t="shared" si="1"/>
        <v>133495</v>
      </c>
      <c r="D24" s="5">
        <f t="shared" si="2"/>
        <v>78975</v>
      </c>
      <c r="E24" s="5">
        <f t="shared" si="3"/>
        <v>9343465</v>
      </c>
    </row>
    <row r="25" spans="1:5" x14ac:dyDescent="0.3">
      <c r="A25" s="1">
        <v>6</v>
      </c>
      <c r="B25" s="5">
        <f t="shared" si="0"/>
        <v>212470</v>
      </c>
      <c r="C25" s="5">
        <f t="shared" si="1"/>
        <v>134608</v>
      </c>
      <c r="D25" s="5">
        <f t="shared" si="2"/>
        <v>77862</v>
      </c>
      <c r="E25" s="5">
        <f t="shared" si="3"/>
        <v>9208857</v>
      </c>
    </row>
    <row r="26" spans="1:5" x14ac:dyDescent="0.3">
      <c r="A26" s="1">
        <v>7</v>
      </c>
      <c r="B26" s="5">
        <f t="shared" si="0"/>
        <v>212470</v>
      </c>
      <c r="C26" s="5">
        <f t="shared" si="1"/>
        <v>135730</v>
      </c>
      <c r="D26" s="5">
        <f t="shared" si="2"/>
        <v>76740</v>
      </c>
      <c r="E26" s="5">
        <f t="shared" si="3"/>
        <v>9073127</v>
      </c>
    </row>
    <row r="27" spans="1:5" x14ac:dyDescent="0.3">
      <c r="A27" s="1">
        <v>8</v>
      </c>
      <c r="B27" s="5">
        <f t="shared" si="0"/>
        <v>212470</v>
      </c>
      <c r="C27" s="5">
        <f t="shared" si="1"/>
        <v>136861</v>
      </c>
      <c r="D27" s="5">
        <f t="shared" si="2"/>
        <v>75609</v>
      </c>
      <c r="E27" s="5">
        <f t="shared" si="3"/>
        <v>8936266</v>
      </c>
    </row>
    <row r="28" spans="1:5" x14ac:dyDescent="0.3">
      <c r="A28" s="1">
        <v>9</v>
      </c>
      <c r="B28" s="5">
        <f t="shared" si="0"/>
        <v>212470</v>
      </c>
      <c r="C28" s="5">
        <f t="shared" si="1"/>
        <v>138001</v>
      </c>
      <c r="D28" s="5">
        <f t="shared" si="2"/>
        <v>74469</v>
      </c>
      <c r="E28" s="5">
        <f t="shared" si="3"/>
        <v>8798265</v>
      </c>
    </row>
    <row r="29" spans="1:5" x14ac:dyDescent="0.3">
      <c r="A29" s="1">
        <v>10</v>
      </c>
      <c r="B29" s="5">
        <f t="shared" si="0"/>
        <v>212470</v>
      </c>
      <c r="C29" s="5">
        <f t="shared" si="1"/>
        <v>139151</v>
      </c>
      <c r="D29" s="5">
        <f t="shared" si="2"/>
        <v>73319</v>
      </c>
      <c r="E29" s="5">
        <f t="shared" si="3"/>
        <v>8659114</v>
      </c>
    </row>
    <row r="30" spans="1:5" x14ac:dyDescent="0.3">
      <c r="A30" s="1">
        <v>11</v>
      </c>
      <c r="B30" s="5">
        <f t="shared" si="0"/>
        <v>212470</v>
      </c>
      <c r="C30" s="5">
        <f t="shared" si="1"/>
        <v>140311</v>
      </c>
      <c r="D30" s="5">
        <f t="shared" si="2"/>
        <v>72159</v>
      </c>
      <c r="E30" s="5">
        <f t="shared" si="3"/>
        <v>8518803</v>
      </c>
    </row>
    <row r="31" spans="1:5" x14ac:dyDescent="0.3">
      <c r="A31" s="1">
        <v>12</v>
      </c>
      <c r="B31" s="5">
        <f t="shared" si="0"/>
        <v>212470</v>
      </c>
      <c r="C31" s="5">
        <f t="shared" si="1"/>
        <v>141480</v>
      </c>
      <c r="D31" s="5">
        <f t="shared" si="2"/>
        <v>70990</v>
      </c>
      <c r="E31" s="5">
        <f t="shared" si="3"/>
        <v>8377323</v>
      </c>
    </row>
    <row r="32" spans="1:5" x14ac:dyDescent="0.3">
      <c r="A32" s="1">
        <v>13</v>
      </c>
      <c r="B32" s="5">
        <f t="shared" si="0"/>
        <v>212470</v>
      </c>
      <c r="C32" s="5">
        <f t="shared" si="1"/>
        <v>142659</v>
      </c>
      <c r="D32" s="5">
        <f t="shared" si="2"/>
        <v>69811</v>
      </c>
      <c r="E32" s="5">
        <f t="shared" si="3"/>
        <v>8234664</v>
      </c>
    </row>
    <row r="33" spans="1:5" x14ac:dyDescent="0.3">
      <c r="A33" s="1">
        <v>14</v>
      </c>
      <c r="B33" s="5">
        <f t="shared" si="0"/>
        <v>212470</v>
      </c>
      <c r="C33" s="5">
        <f t="shared" si="1"/>
        <v>143848</v>
      </c>
      <c r="D33" s="5">
        <f t="shared" si="2"/>
        <v>68622</v>
      </c>
      <c r="E33" s="5">
        <f t="shared" si="3"/>
        <v>8090816</v>
      </c>
    </row>
    <row r="34" spans="1:5" x14ac:dyDescent="0.3">
      <c r="A34" s="1">
        <v>15</v>
      </c>
      <c r="B34" s="5">
        <f t="shared" si="0"/>
        <v>212470</v>
      </c>
      <c r="C34" s="5">
        <f t="shared" si="1"/>
        <v>145047</v>
      </c>
      <c r="D34" s="5">
        <f t="shared" si="2"/>
        <v>67423</v>
      </c>
      <c r="E34" s="5">
        <f t="shared" si="3"/>
        <v>7945769</v>
      </c>
    </row>
    <row r="35" spans="1:5" x14ac:dyDescent="0.3">
      <c r="A35" s="1">
        <v>16</v>
      </c>
      <c r="B35" s="5">
        <f t="shared" si="0"/>
        <v>212470</v>
      </c>
      <c r="C35" s="5">
        <f t="shared" si="1"/>
        <v>146255</v>
      </c>
      <c r="D35" s="5">
        <f t="shared" si="2"/>
        <v>66215</v>
      </c>
      <c r="E35" s="5">
        <f t="shared" si="3"/>
        <v>7799514</v>
      </c>
    </row>
    <row r="36" spans="1:5" x14ac:dyDescent="0.3">
      <c r="A36" s="1">
        <v>17</v>
      </c>
      <c r="B36" s="5">
        <f t="shared" si="0"/>
        <v>212470</v>
      </c>
      <c r="C36" s="5">
        <f t="shared" si="1"/>
        <v>147474</v>
      </c>
      <c r="D36" s="5">
        <f t="shared" si="2"/>
        <v>64996</v>
      </c>
      <c r="E36" s="5">
        <f t="shared" si="3"/>
        <v>7652040</v>
      </c>
    </row>
    <row r="37" spans="1:5" x14ac:dyDescent="0.3">
      <c r="A37" s="1">
        <v>18</v>
      </c>
      <c r="B37" s="5">
        <f t="shared" si="0"/>
        <v>212470</v>
      </c>
      <c r="C37" s="5">
        <f t="shared" si="1"/>
        <v>148703</v>
      </c>
      <c r="D37" s="5">
        <f t="shared" si="2"/>
        <v>63767</v>
      </c>
      <c r="E37" s="5">
        <f t="shared" si="3"/>
        <v>7503337</v>
      </c>
    </row>
    <row r="38" spans="1:5" x14ac:dyDescent="0.3">
      <c r="A38" s="1">
        <v>19</v>
      </c>
      <c r="B38" s="5">
        <f t="shared" si="0"/>
        <v>212470</v>
      </c>
      <c r="C38" s="5">
        <f t="shared" si="1"/>
        <v>149942</v>
      </c>
      <c r="D38" s="5">
        <f t="shared" si="2"/>
        <v>62528</v>
      </c>
      <c r="E38" s="5">
        <f t="shared" si="3"/>
        <v>7353395</v>
      </c>
    </row>
    <row r="39" spans="1:5" x14ac:dyDescent="0.3">
      <c r="A39" s="1">
        <v>20</v>
      </c>
      <c r="B39" s="5">
        <f t="shared" si="0"/>
        <v>212470</v>
      </c>
      <c r="C39" s="5">
        <f t="shared" si="1"/>
        <v>151192</v>
      </c>
      <c r="D39" s="5">
        <f t="shared" si="2"/>
        <v>61278</v>
      </c>
      <c r="E39" s="5">
        <f t="shared" si="3"/>
        <v>7202203</v>
      </c>
    </row>
    <row r="40" spans="1:5" x14ac:dyDescent="0.3">
      <c r="A40" s="1">
        <v>21</v>
      </c>
      <c r="B40" s="5">
        <f t="shared" si="0"/>
        <v>212470</v>
      </c>
      <c r="C40" s="5">
        <f t="shared" si="1"/>
        <v>152452</v>
      </c>
      <c r="D40" s="5">
        <f t="shared" si="2"/>
        <v>60018</v>
      </c>
      <c r="E40" s="5">
        <f t="shared" si="3"/>
        <v>7049751</v>
      </c>
    </row>
    <row r="41" spans="1:5" x14ac:dyDescent="0.3">
      <c r="A41" s="1">
        <v>22</v>
      </c>
      <c r="B41" s="5">
        <f t="shared" si="0"/>
        <v>212470</v>
      </c>
      <c r="C41" s="5">
        <f t="shared" si="1"/>
        <v>153722</v>
      </c>
      <c r="D41" s="5">
        <f t="shared" si="2"/>
        <v>58748</v>
      </c>
      <c r="E41" s="5">
        <f t="shared" si="3"/>
        <v>6896029</v>
      </c>
    </row>
    <row r="42" spans="1:5" x14ac:dyDescent="0.3">
      <c r="A42" s="1">
        <v>23</v>
      </c>
      <c r="B42" s="5">
        <f t="shared" si="0"/>
        <v>212470</v>
      </c>
      <c r="C42" s="5">
        <f t="shared" si="1"/>
        <v>155003</v>
      </c>
      <c r="D42" s="5">
        <f t="shared" si="2"/>
        <v>57467</v>
      </c>
      <c r="E42" s="5">
        <f t="shared" si="3"/>
        <v>6741026</v>
      </c>
    </row>
    <row r="43" spans="1:5" x14ac:dyDescent="0.3">
      <c r="A43" s="1">
        <v>24</v>
      </c>
      <c r="B43" s="5">
        <f t="shared" si="0"/>
        <v>212470</v>
      </c>
      <c r="C43" s="5">
        <f t="shared" si="1"/>
        <v>156295</v>
      </c>
      <c r="D43" s="5">
        <f t="shared" si="2"/>
        <v>56175</v>
      </c>
      <c r="E43" s="5">
        <f t="shared" si="3"/>
        <v>6584731</v>
      </c>
    </row>
    <row r="44" spans="1:5" x14ac:dyDescent="0.3">
      <c r="A44" s="1">
        <v>25</v>
      </c>
      <c r="B44" s="5">
        <f t="shared" si="0"/>
        <v>212470</v>
      </c>
      <c r="C44" s="5">
        <f t="shared" si="1"/>
        <v>157597</v>
      </c>
      <c r="D44" s="5">
        <f t="shared" si="2"/>
        <v>54873</v>
      </c>
      <c r="E44" s="5">
        <f t="shared" si="3"/>
        <v>6427134</v>
      </c>
    </row>
    <row r="45" spans="1:5" x14ac:dyDescent="0.3">
      <c r="A45" s="1">
        <v>26</v>
      </c>
      <c r="B45" s="5">
        <f t="shared" si="0"/>
        <v>212470</v>
      </c>
      <c r="C45" s="5">
        <f t="shared" si="1"/>
        <v>158911</v>
      </c>
      <c r="D45" s="5">
        <f t="shared" si="2"/>
        <v>53559</v>
      </c>
      <c r="E45" s="5">
        <f t="shared" si="3"/>
        <v>6268223</v>
      </c>
    </row>
    <row r="46" spans="1:5" x14ac:dyDescent="0.3">
      <c r="A46" s="1">
        <v>27</v>
      </c>
      <c r="B46" s="5">
        <f t="shared" si="0"/>
        <v>212470</v>
      </c>
      <c r="C46" s="5">
        <f t="shared" si="1"/>
        <v>160235</v>
      </c>
      <c r="D46" s="5">
        <f t="shared" si="2"/>
        <v>52235</v>
      </c>
      <c r="E46" s="5">
        <f t="shared" si="3"/>
        <v>6107988</v>
      </c>
    </row>
    <row r="47" spans="1:5" x14ac:dyDescent="0.3">
      <c r="A47" s="1">
        <v>28</v>
      </c>
      <c r="B47" s="5">
        <f t="shared" si="0"/>
        <v>212470</v>
      </c>
      <c r="C47" s="5">
        <f t="shared" si="1"/>
        <v>161570</v>
      </c>
      <c r="D47" s="5">
        <f t="shared" si="2"/>
        <v>50900</v>
      </c>
      <c r="E47" s="5">
        <f t="shared" si="3"/>
        <v>5946418</v>
      </c>
    </row>
    <row r="48" spans="1:5" x14ac:dyDescent="0.3">
      <c r="A48" s="1">
        <v>29</v>
      </c>
      <c r="B48" s="5">
        <f t="shared" si="0"/>
        <v>212470</v>
      </c>
      <c r="C48" s="5">
        <f t="shared" si="1"/>
        <v>162917</v>
      </c>
      <c r="D48" s="5">
        <f t="shared" si="2"/>
        <v>49553</v>
      </c>
      <c r="E48" s="5">
        <f t="shared" si="3"/>
        <v>5783501</v>
      </c>
    </row>
    <row r="49" spans="1:5" x14ac:dyDescent="0.3">
      <c r="A49" s="1">
        <v>30</v>
      </c>
      <c r="B49" s="5">
        <f t="shared" si="0"/>
        <v>212470</v>
      </c>
      <c r="C49" s="5">
        <f t="shared" si="1"/>
        <v>164274</v>
      </c>
      <c r="D49" s="5">
        <f t="shared" si="2"/>
        <v>48196</v>
      </c>
      <c r="E49" s="5">
        <f t="shared" si="3"/>
        <v>5619227</v>
      </c>
    </row>
    <row r="50" spans="1:5" x14ac:dyDescent="0.3">
      <c r="A50" s="1">
        <v>31</v>
      </c>
      <c r="B50" s="5">
        <f t="shared" si="0"/>
        <v>212470</v>
      </c>
      <c r="C50" s="5">
        <f t="shared" si="1"/>
        <v>165643</v>
      </c>
      <c r="D50" s="5">
        <f t="shared" si="2"/>
        <v>46827</v>
      </c>
      <c r="E50" s="5">
        <f t="shared" si="3"/>
        <v>5453584</v>
      </c>
    </row>
    <row r="51" spans="1:5" x14ac:dyDescent="0.3">
      <c r="A51" s="1">
        <v>32</v>
      </c>
      <c r="B51" s="5">
        <f t="shared" si="0"/>
        <v>212470</v>
      </c>
      <c r="C51" s="5">
        <f t="shared" si="1"/>
        <v>167023</v>
      </c>
      <c r="D51" s="5">
        <f t="shared" si="2"/>
        <v>45447</v>
      </c>
      <c r="E51" s="5">
        <f t="shared" si="3"/>
        <v>5286561</v>
      </c>
    </row>
    <row r="52" spans="1:5" x14ac:dyDescent="0.3">
      <c r="A52" s="1">
        <v>33</v>
      </c>
      <c r="B52" s="5">
        <f t="shared" si="0"/>
        <v>212470</v>
      </c>
      <c r="C52" s="5">
        <f t="shared" si="1"/>
        <v>168415</v>
      </c>
      <c r="D52" s="5">
        <f t="shared" si="2"/>
        <v>44055</v>
      </c>
      <c r="E52" s="5">
        <f t="shared" si="3"/>
        <v>5118146</v>
      </c>
    </row>
    <row r="53" spans="1:5" x14ac:dyDescent="0.3">
      <c r="A53" s="1">
        <v>34</v>
      </c>
      <c r="B53" s="5">
        <f t="shared" si="0"/>
        <v>212470</v>
      </c>
      <c r="C53" s="5">
        <f t="shared" si="1"/>
        <v>169819</v>
      </c>
      <c r="D53" s="5">
        <f t="shared" si="2"/>
        <v>42651</v>
      </c>
      <c r="E53" s="5">
        <f t="shared" si="3"/>
        <v>4948327</v>
      </c>
    </row>
    <row r="54" spans="1:5" x14ac:dyDescent="0.3">
      <c r="A54" s="1">
        <v>35</v>
      </c>
      <c r="B54" s="5">
        <f t="shared" si="0"/>
        <v>212470</v>
      </c>
      <c r="C54" s="5">
        <f t="shared" si="1"/>
        <v>171234</v>
      </c>
      <c r="D54" s="5">
        <f t="shared" si="2"/>
        <v>41236</v>
      </c>
      <c r="E54" s="5">
        <f t="shared" si="3"/>
        <v>4777093</v>
      </c>
    </row>
    <row r="55" spans="1:5" x14ac:dyDescent="0.3">
      <c r="A55" s="1">
        <v>36</v>
      </c>
      <c r="B55" s="5">
        <f t="shared" si="0"/>
        <v>212470</v>
      </c>
      <c r="C55" s="5">
        <f t="shared" si="1"/>
        <v>172661</v>
      </c>
      <c r="D55" s="5">
        <f t="shared" si="2"/>
        <v>39809</v>
      </c>
      <c r="E55" s="5">
        <f t="shared" si="3"/>
        <v>4604432</v>
      </c>
    </row>
  </sheetData>
  <mergeCells count="2">
    <mergeCell ref="A11:B11"/>
    <mergeCell ref="A18:B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"/>
  <sheetViews>
    <sheetView workbookViewId="0">
      <selection activeCell="B34" sqref="B34"/>
    </sheetView>
  </sheetViews>
  <sheetFormatPr baseColWidth="10" defaultRowHeight="15.6" x14ac:dyDescent="0.3"/>
  <cols>
    <col min="1" max="1" width="50.796875" customWidth="1"/>
    <col min="2" max="2" width="20.796875" customWidth="1"/>
    <col min="3" max="7" width="16.796875" customWidth="1"/>
  </cols>
  <sheetData>
    <row r="1" spans="1:7" x14ac:dyDescent="0.3">
      <c r="A1" s="26" t="s">
        <v>255</v>
      </c>
    </row>
    <row r="2" spans="1:7" x14ac:dyDescent="0.3">
      <c r="A2" t="str">
        <f>"Tasa descuento "&amp;TEXT(B5,"0%")&amp;" | Precio $"&amp;TEXT(B7,"#,##0")&amp;" IVA incl. | Inversión $"&amp;TEXT('INVERSIÓN INICIAL'!B16,"#,##0")</f>
        <v>Tasa descuento 20% | Precio $249990,0 IVA incl. | Inversión $23900000,0</v>
      </c>
    </row>
    <row r="4" spans="1:7" x14ac:dyDescent="0.3">
      <c r="A4" s="23" t="s">
        <v>256</v>
      </c>
      <c r="B4" s="24"/>
      <c r="C4" s="24"/>
      <c r="D4" s="25"/>
    </row>
    <row r="5" spans="1:7" x14ac:dyDescent="0.3">
      <c r="A5" s="1" t="s">
        <v>18</v>
      </c>
      <c r="B5" s="11">
        <f>PARÁMETROS!B12</f>
        <v>0.2</v>
      </c>
      <c r="C5" s="19" t="s">
        <v>257</v>
      </c>
      <c r="D5" s="21"/>
    </row>
    <row r="6" spans="1:7" x14ac:dyDescent="0.3">
      <c r="A6" s="1" t="s">
        <v>258</v>
      </c>
      <c r="B6" s="11">
        <f>PARÁMETROS!B13</f>
        <v>0.25</v>
      </c>
      <c r="C6" s="19" t="s">
        <v>259</v>
      </c>
      <c r="D6" s="21"/>
    </row>
    <row r="7" spans="1:7" x14ac:dyDescent="0.3">
      <c r="A7" s="1" t="s">
        <v>260</v>
      </c>
      <c r="B7" s="1">
        <f>'COSTO x UNIDAD'!B15</f>
        <v>249990</v>
      </c>
      <c r="C7" s="19" t="s">
        <v>261</v>
      </c>
      <c r="D7" s="21"/>
    </row>
    <row r="8" spans="1:7" x14ac:dyDescent="0.3">
      <c r="A8" s="1" t="s">
        <v>262</v>
      </c>
      <c r="B8" s="1">
        <f>'COSTO x UNIDAD'!B17</f>
        <v>210076</v>
      </c>
      <c r="C8" s="19" t="s">
        <v>263</v>
      </c>
      <c r="D8" s="21"/>
    </row>
    <row r="9" spans="1:7" x14ac:dyDescent="0.3">
      <c r="A9" s="1" t="s">
        <v>231</v>
      </c>
      <c r="B9" s="1">
        <f>'COSTO x UNIDAD'!B10</f>
        <v>91309</v>
      </c>
      <c r="C9" s="19" t="s">
        <v>248</v>
      </c>
      <c r="D9" s="21"/>
    </row>
    <row r="10" spans="1:7" x14ac:dyDescent="0.3">
      <c r="A10" s="1" t="s">
        <v>264</v>
      </c>
      <c r="B10" s="5">
        <v>0</v>
      </c>
      <c r="C10" s="5">
        <v>16946852</v>
      </c>
      <c r="D10" s="5">
        <v>28990000</v>
      </c>
      <c r="E10" s="5">
        <v>55440000</v>
      </c>
      <c r="F10" s="5">
        <v>66470000</v>
      </c>
      <c r="G10" s="5">
        <v>83520000</v>
      </c>
    </row>
    <row r="11" spans="1:7" x14ac:dyDescent="0.3">
      <c r="A11" s="22" t="s">
        <v>265</v>
      </c>
      <c r="B11" s="22" t="s">
        <v>266</v>
      </c>
      <c r="C11" s="22" t="s">
        <v>267</v>
      </c>
      <c r="D11" s="22" t="s">
        <v>268</v>
      </c>
      <c r="E11" s="22" t="s">
        <v>269</v>
      </c>
      <c r="F11" s="22" t="s">
        <v>270</v>
      </c>
      <c r="G11" s="22" t="s">
        <v>271</v>
      </c>
    </row>
    <row r="12" spans="1:7" x14ac:dyDescent="0.3">
      <c r="A12" s="1" t="s">
        <v>272</v>
      </c>
      <c r="B12" s="1">
        <f>PARÁMETROS!B6</f>
        <v>10</v>
      </c>
      <c r="C12" s="1">
        <f>PARÁMETROS!B7</f>
        <v>200</v>
      </c>
      <c r="D12" s="1">
        <f>PARÁMETROS!B8</f>
        <v>350</v>
      </c>
      <c r="E12" s="1">
        <f>PARÁMETROS!B9</f>
        <v>500</v>
      </c>
      <c r="F12" s="1">
        <f>PARÁMETROS!B10</f>
        <v>650</v>
      </c>
      <c r="G12" s="1">
        <f>PARÁMETROS!B11</f>
        <v>850</v>
      </c>
    </row>
    <row r="13" spans="1:7" x14ac:dyDescent="0.3">
      <c r="A13" s="1" t="s">
        <v>273</v>
      </c>
      <c r="B13" s="5">
        <f>0</f>
        <v>0</v>
      </c>
      <c r="C13" s="5">
        <f>C12*$B$8</f>
        <v>42015200</v>
      </c>
      <c r="D13" s="5">
        <f>D12*$B$8</f>
        <v>73526600</v>
      </c>
      <c r="E13" s="5">
        <f>E12*$B$8</f>
        <v>105038000</v>
      </c>
      <c r="F13" s="5">
        <f>F12*$B$8</f>
        <v>136549400</v>
      </c>
      <c r="G13" s="5">
        <f>G12*$B$8</f>
        <v>178564600</v>
      </c>
    </row>
    <row r="14" spans="1:7" x14ac:dyDescent="0.3">
      <c r="A14" s="1" t="s">
        <v>274</v>
      </c>
      <c r="B14" s="5">
        <f>0</f>
        <v>0</v>
      </c>
      <c r="C14" s="5">
        <f>C12*'COSTO x UNIDAD'!B30</f>
        <v>18261800</v>
      </c>
      <c r="D14" s="5">
        <f>D12*AVERAGE('COSTO x UNIDAD'!B30,'COSTO x UNIDAD'!C30)</f>
        <v>30999325</v>
      </c>
      <c r="E14" s="5">
        <f>E12*'COSTO x UNIDAD'!C30</f>
        <v>42915000</v>
      </c>
      <c r="F14" s="5">
        <f>F12*AVERAGE('COSTO x UNIDAD'!C30,'COSTO x UNIDAD'!D30)</f>
        <v>54602600</v>
      </c>
      <c r="G14" s="5">
        <f>G12*'COSTO x UNIDAD'!D30</f>
        <v>69851300</v>
      </c>
    </row>
    <row r="15" spans="1:7" x14ac:dyDescent="0.3">
      <c r="A15" s="1" t="s">
        <v>275</v>
      </c>
      <c r="B15" s="5">
        <f t="shared" ref="B15:G15" si="0">B13-B14</f>
        <v>0</v>
      </c>
      <c r="C15" s="5">
        <f t="shared" si="0"/>
        <v>23753400</v>
      </c>
      <c r="D15" s="5">
        <f t="shared" si="0"/>
        <v>42527275</v>
      </c>
      <c r="E15" s="5">
        <f t="shared" si="0"/>
        <v>62123000</v>
      </c>
      <c r="F15" s="5">
        <f t="shared" si="0"/>
        <v>81946800</v>
      </c>
      <c r="G15" s="5">
        <f t="shared" si="0"/>
        <v>108713300</v>
      </c>
    </row>
    <row r="16" spans="1:7" x14ac:dyDescent="0.3">
      <c r="A16" s="1" t="s">
        <v>276</v>
      </c>
      <c r="B16" s="5">
        <f>0</f>
        <v>0</v>
      </c>
      <c r="C16" s="5">
        <f>'AMORTIZACIÓN BANCARIA'!D13</f>
        <v>2076964</v>
      </c>
      <c r="D16" s="5">
        <f>'AMORTIZACIÓN BANCARIA'!D14</f>
        <v>757049</v>
      </c>
      <c r="E16" s="5">
        <f>'AMORTIZACIÓN BANCARIA'!D15</f>
        <v>569341</v>
      </c>
      <c r="F16" s="5">
        <f>'AMORTIZACIÓN BANCARIA'!$E$9-('AMORTIZACIÓN BANCARIA'!E15-'AMORTIZACIÓN BANCARIA'!$E$7)</f>
        <v>361979</v>
      </c>
      <c r="G16" s="5">
        <f>'AMORTIZACIÓN BANCARIA'!$E$9-('AMORTIZACIÓN BANCARIA'!$E$7-'AMORTIZACIÓN BANCARIA'!$E$8)</f>
        <v>132867</v>
      </c>
    </row>
    <row r="17" spans="1:7" x14ac:dyDescent="0.3">
      <c r="A17" s="1" t="s">
        <v>277</v>
      </c>
      <c r="B17" s="5">
        <f>0</f>
        <v>0</v>
      </c>
      <c r="C17" s="5">
        <f>ROUND(C15-C10-(('EQUIPAMIENTO LAB'!D22-'EQUIPAMIENTO LAB'!D21)/6+'EQUIPAMIENTO LAB'!D21/7)-C16,0)</f>
        <v>3918394</v>
      </c>
      <c r="D17" s="5">
        <f>ROUND(D15-D10-(('EQUIPAMIENTO LAB'!D22-'EQUIPAMIENTO LAB'!D21)/6+'EQUIPAMIENTO LAB'!D21/7)-D16,0)</f>
        <v>11969036</v>
      </c>
      <c r="E17" s="5">
        <f>ROUND(E15-E10-(('EQUIPAMIENTO LAB'!D22-'EQUIPAMIENTO LAB'!D21)/6+'EQUIPAMIENTO LAB'!D21/7)-E16,0)</f>
        <v>5302469</v>
      </c>
      <c r="F17" s="5">
        <f>ROUND(F15-F10-(('EQUIPAMIENTO LAB'!D22-'EQUIPAMIENTO LAB'!D21)/6+'EQUIPAMIENTO LAB'!D21/7)-F16,0)</f>
        <v>14303631</v>
      </c>
      <c r="G17" s="5">
        <f>ROUND(G15-G10-(('EQUIPAMIENTO LAB'!D22-'EQUIPAMIENTO LAB'!D21)/6+'EQUIPAMIENTO LAB'!D21/7)-G16,0)</f>
        <v>24249243</v>
      </c>
    </row>
    <row r="18" spans="1:7" x14ac:dyDescent="0.3">
      <c r="A18" s="1" t="s">
        <v>278</v>
      </c>
      <c r="B18" s="5">
        <f>0</f>
        <v>0</v>
      </c>
      <c r="C18" s="5">
        <f>ROUND(MAX(0,C17*$B$6),0)</f>
        <v>979599</v>
      </c>
      <c r="D18" s="5">
        <f>ROUND(MAX(0,D17*$B$6),0)</f>
        <v>2992259</v>
      </c>
      <c r="E18" s="5">
        <f>ROUND(MAX(0,E17*$B$6),0)</f>
        <v>1325617</v>
      </c>
      <c r="F18" s="5">
        <f>ROUND(MAX(0,F17*$B$6),0)</f>
        <v>3575908</v>
      </c>
      <c r="G18" s="5">
        <f>ROUND(MAX(0,G17*$B$6),0)</f>
        <v>6062311</v>
      </c>
    </row>
    <row r="19" spans="1:7" x14ac:dyDescent="0.3">
      <c r="A19" s="1" t="s">
        <v>279</v>
      </c>
      <c r="B19" s="5">
        <f t="shared" ref="B19:G19" si="1">B17-B18</f>
        <v>0</v>
      </c>
      <c r="C19" s="5">
        <f t="shared" si="1"/>
        <v>2938795</v>
      </c>
      <c r="D19" s="5">
        <f t="shared" si="1"/>
        <v>8976777</v>
      </c>
      <c r="E19" s="5">
        <f t="shared" si="1"/>
        <v>3976852</v>
      </c>
      <c r="F19" s="5">
        <f t="shared" si="1"/>
        <v>10727723</v>
      </c>
      <c r="G19" s="5">
        <f t="shared" si="1"/>
        <v>18186932</v>
      </c>
    </row>
    <row r="21" spans="1:7" x14ac:dyDescent="0.3">
      <c r="A21" s="22" t="s">
        <v>280</v>
      </c>
      <c r="B21" s="22" t="s">
        <v>266</v>
      </c>
      <c r="C21" s="22" t="s">
        <v>267</v>
      </c>
      <c r="D21" s="22" t="s">
        <v>268</v>
      </c>
      <c r="E21" s="22" t="s">
        <v>269</v>
      </c>
      <c r="F21" s="22" t="s">
        <v>270</v>
      </c>
      <c r="G21" s="22" t="s">
        <v>271</v>
      </c>
    </row>
    <row r="22" spans="1:7" x14ac:dyDescent="0.3">
      <c r="A22" s="1" t="s">
        <v>281</v>
      </c>
      <c r="B22" s="5">
        <f>-'INVERSIÓN INICIAL'!B16</f>
        <v>-23900000</v>
      </c>
      <c r="C22" s="5">
        <f>0</f>
        <v>0</v>
      </c>
      <c r="D22" s="5">
        <f>0</f>
        <v>0</v>
      </c>
      <c r="E22" s="5">
        <f>0</f>
        <v>0</v>
      </c>
      <c r="F22" s="5">
        <f>0</f>
        <v>0</v>
      </c>
      <c r="G22" s="5">
        <f>0</f>
        <v>0</v>
      </c>
    </row>
    <row r="23" spans="1:7" x14ac:dyDescent="0.3">
      <c r="A23" s="1" t="s">
        <v>282</v>
      </c>
      <c r="B23" s="5">
        <f>0</f>
        <v>0</v>
      </c>
      <c r="C23" s="5">
        <f>C19</f>
        <v>2938795</v>
      </c>
      <c r="D23" s="5">
        <f>D19</f>
        <v>8976777</v>
      </c>
      <c r="E23" s="5">
        <f>E19</f>
        <v>3976852</v>
      </c>
      <c r="F23" s="5">
        <f>F19</f>
        <v>10727723</v>
      </c>
      <c r="G23" s="5">
        <f>G19</f>
        <v>18186932</v>
      </c>
    </row>
    <row r="24" spans="1:7" x14ac:dyDescent="0.3">
      <c r="A24" s="1" t="s">
        <v>283</v>
      </c>
      <c r="B24" s="5">
        <f>0</f>
        <v>0</v>
      </c>
      <c r="C24" s="5">
        <f>'AMORTIZACIÓN BANCARIA'!C13</f>
        <v>6622676</v>
      </c>
      <c r="D24" s="5">
        <f>'AMORTIZACIÓN BANCARIA'!C14</f>
        <v>1792591</v>
      </c>
      <c r="E24" s="5">
        <f>'AMORTIZACIÓN BANCARIA'!C15</f>
        <v>1980299</v>
      </c>
      <c r="F24" s="5">
        <f>'AMORTIZACIÓN BANCARIA'!E15-'AMORTIZACIÓN BANCARIA'!$E$7</f>
        <v>2187661</v>
      </c>
      <c r="G24" s="5">
        <f>'AMORTIZACIÓN BANCARIA'!$E$7-'AMORTIZACIÓN BANCARIA'!$E$8</f>
        <v>2416773</v>
      </c>
    </row>
    <row r="25" spans="1:7" x14ac:dyDescent="0.3">
      <c r="A25" s="1" t="s">
        <v>284</v>
      </c>
      <c r="B25" s="5">
        <f>B22</f>
        <v>-23900000</v>
      </c>
      <c r="C25" s="5">
        <f>ROUND(C23+(('EQUIPAMIENTO LAB'!D22-'EQUIPAMIENTO LAB'!D21)/6+'EQUIPAMIENTO LAB'!D21/7)-C24,0)</f>
        <v>-2872691</v>
      </c>
      <c r="D25" s="5">
        <f>ROUND(D23+(('EQUIPAMIENTO LAB'!D22-'EQUIPAMIENTO LAB'!D21)/6+'EQUIPAMIENTO LAB'!D21/7)-D24,0)</f>
        <v>7995376</v>
      </c>
      <c r="E25" s="5">
        <f>ROUND(E23+(('EQUIPAMIENTO LAB'!D22-'EQUIPAMIENTO LAB'!D21)/6+'EQUIPAMIENTO LAB'!D21/7)-E24,0)</f>
        <v>2807743</v>
      </c>
      <c r="F25" s="5">
        <f>ROUND(F23+(('EQUIPAMIENTO LAB'!D22-'EQUIPAMIENTO LAB'!D21)/6+'EQUIPAMIENTO LAB'!D21/7)-F24,0)</f>
        <v>9351252</v>
      </c>
      <c r="G25" s="5">
        <f>ROUND(G23+(('EQUIPAMIENTO LAB'!D22-'EQUIPAMIENTO LAB'!D21)/6+'EQUIPAMIENTO LAB'!D21/7)-G24,0)</f>
        <v>16581349</v>
      </c>
    </row>
    <row r="26" spans="1:7" x14ac:dyDescent="0.3">
      <c r="A26" s="1" t="s">
        <v>285</v>
      </c>
      <c r="B26" s="5">
        <f>B25</f>
        <v>-23900000</v>
      </c>
      <c r="C26" s="5">
        <f>B26+C25</f>
        <v>-26772691</v>
      </c>
      <c r="D26" s="5">
        <f>C26+D25</f>
        <v>-18777315</v>
      </c>
      <c r="E26" s="5">
        <f>D26+E25</f>
        <v>-15969572</v>
      </c>
      <c r="F26" s="5">
        <f>E26+F25</f>
        <v>-6618320</v>
      </c>
      <c r="G26" s="5">
        <f>F26+G25</f>
        <v>9963029</v>
      </c>
    </row>
    <row r="28" spans="1:7" x14ac:dyDescent="0.3">
      <c r="A28" s="1" t="str">
        <f>"CÁLCULO DEL VAN (r = "&amp;TEXT(B5,"0%")&amp;")"</f>
        <v>CÁLCULO DEL VAN (r = 20%)</v>
      </c>
      <c r="B28" s="1"/>
      <c r="C28" s="1"/>
      <c r="D28" s="1"/>
      <c r="E28" s="1"/>
      <c r="F28" s="1"/>
      <c r="G28" s="1"/>
    </row>
    <row r="29" spans="1:7" x14ac:dyDescent="0.3">
      <c r="A29" s="1" t="s">
        <v>286</v>
      </c>
      <c r="B29" s="1">
        <f>1</f>
        <v>1</v>
      </c>
      <c r="C29" s="1">
        <f>(1+$B$5)^1</f>
        <v>1.2</v>
      </c>
      <c r="D29" s="1">
        <f>(1+$B$5)^2</f>
        <v>1.44</v>
      </c>
      <c r="E29" s="1">
        <f>(1+$B$5)^3</f>
        <v>1.728</v>
      </c>
      <c r="F29" s="1">
        <f>(1+$B$5)^4</f>
        <v>2.0735999999999999</v>
      </c>
      <c r="G29" s="1">
        <f>(1+$B$5)^5</f>
        <v>2.4883199999999999</v>
      </c>
    </row>
    <row r="30" spans="1:7" x14ac:dyDescent="0.3">
      <c r="A30" s="1" t="s">
        <v>287</v>
      </c>
      <c r="B30" s="1">
        <f>0</f>
        <v>0</v>
      </c>
      <c r="C30" s="5">
        <f>ROUND(C25/C29,0)</f>
        <v>-2393909</v>
      </c>
      <c r="D30" s="5">
        <f>ROUND(D25/D29,0)</f>
        <v>5552344</v>
      </c>
      <c r="E30" s="5">
        <f>ROUND(E25/E29,0)</f>
        <v>1624851</v>
      </c>
      <c r="F30" s="5">
        <f>ROUND(F25/F29,0)</f>
        <v>4509670</v>
      </c>
      <c r="G30" s="5">
        <f>ROUND(G25/G29,0)</f>
        <v>6663672</v>
      </c>
    </row>
    <row r="31" spans="1:7" x14ac:dyDescent="0.3">
      <c r="A31" s="1" t="s">
        <v>288</v>
      </c>
      <c r="B31" s="1"/>
      <c r="C31" s="5">
        <v>0</v>
      </c>
      <c r="D31" s="5">
        <v>0</v>
      </c>
      <c r="E31" s="5">
        <v>0</v>
      </c>
      <c r="F31" s="5">
        <v>0</v>
      </c>
      <c r="G31" s="5">
        <f>SUM(C30:G30)</f>
        <v>15956628</v>
      </c>
    </row>
    <row r="32" spans="1:7" x14ac:dyDescent="0.3">
      <c r="A32" s="1" t="s">
        <v>281</v>
      </c>
      <c r="B32" s="5">
        <f>B22</f>
        <v>-23900000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x14ac:dyDescent="0.3">
      <c r="A33" s="1" t="s">
        <v>289</v>
      </c>
      <c r="B33" s="5">
        <f>G31+B32</f>
        <v>-7943372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x14ac:dyDescent="0.3">
      <c r="A34" s="1" t="s">
        <v>290</v>
      </c>
      <c r="B34" s="1" t="str">
        <f>IF(B33&gt;=0,"✅ VAN POSITIVO","❌ VAN NEGATIVO")</f>
        <v>❌ VAN NEGATIVO</v>
      </c>
      <c r="C34" s="1"/>
      <c r="D34" s="1"/>
      <c r="E34" s="1"/>
      <c r="F34" s="1"/>
      <c r="G34" s="1"/>
    </row>
    <row r="36" spans="1:7" x14ac:dyDescent="0.3">
      <c r="A36" s="22" t="s">
        <v>291</v>
      </c>
      <c r="B36" s="22" t="s">
        <v>266</v>
      </c>
      <c r="C36" s="22" t="s">
        <v>267</v>
      </c>
      <c r="D36" s="22" t="s">
        <v>268</v>
      </c>
      <c r="E36" s="22" t="s">
        <v>269</v>
      </c>
      <c r="F36" s="22" t="s">
        <v>270</v>
      </c>
      <c r="G36" s="22" t="s">
        <v>271</v>
      </c>
    </row>
    <row r="37" spans="1:7" x14ac:dyDescent="0.3">
      <c r="A37" s="1" t="s">
        <v>292</v>
      </c>
      <c r="B37" s="5">
        <f t="shared" ref="B37:G37" si="2">B26</f>
        <v>-23900000</v>
      </c>
      <c r="C37" s="5">
        <f t="shared" si="2"/>
        <v>-26772691</v>
      </c>
      <c r="D37" s="5">
        <f t="shared" si="2"/>
        <v>-18777315</v>
      </c>
      <c r="E37" s="5">
        <f t="shared" si="2"/>
        <v>-15969572</v>
      </c>
      <c r="F37" s="5">
        <f t="shared" si="2"/>
        <v>-6618320</v>
      </c>
      <c r="G37" s="5">
        <f t="shared" si="2"/>
        <v>9963029</v>
      </c>
    </row>
    <row r="38" spans="1:7" x14ac:dyDescent="0.3">
      <c r="A38" s="1" t="s">
        <v>293</v>
      </c>
      <c r="B38" s="1" t="str">
        <f t="shared" ref="B38:G38" si="3">IF(B37&gt;=0,"SÍ ✅","NO ❌")</f>
        <v>NO ❌</v>
      </c>
      <c r="C38" s="1" t="str">
        <f t="shared" si="3"/>
        <v>NO ❌</v>
      </c>
      <c r="D38" s="1" t="str">
        <f t="shared" si="3"/>
        <v>NO ❌</v>
      </c>
      <c r="E38" s="1" t="str">
        <f t="shared" si="3"/>
        <v>NO ❌</v>
      </c>
      <c r="F38" s="1" t="str">
        <f t="shared" si="3"/>
        <v>NO ❌</v>
      </c>
      <c r="G38" s="1" t="str">
        <f t="shared" si="3"/>
        <v>SÍ ✅</v>
      </c>
    </row>
    <row r="40" spans="1:7" x14ac:dyDescent="0.3">
      <c r="A40" t="s">
        <v>294</v>
      </c>
    </row>
    <row r="41" spans="1:7" x14ac:dyDescent="0.3">
      <c r="A41" t="str">
        <f>"1. En base al VAN (r = "&amp;TEXT(B5,"0%")&amp;"):"</f>
        <v>1. En base al VAN (r = 20%):</v>
      </c>
    </row>
    <row r="42" spans="1:7" x14ac:dyDescent="0.3">
      <c r="A42" t="str">
        <f>"VAN = CLP "&amp;TEXT(B33,"#,##0")</f>
        <v>VAN = CLP -7943372,0</v>
      </c>
    </row>
    <row r="43" spans="1:7" x14ac:dyDescent="0.3">
      <c r="A43" t="str">
        <f>IF(B33&gt;=0,"✅ Cumple la tasa exigida","❌ No cumple la tasa exigida")</f>
        <v>❌ No cumple la tasa exigida</v>
      </c>
    </row>
    <row r="44" spans="1:7" x14ac:dyDescent="0.3">
      <c r="A44" t="str">
        <f>"TIR = "&amp;TEXT(IRR(B25:G25),"0.0%")</f>
        <v>TIR = 09%</v>
      </c>
    </row>
    <row r="46" spans="1:7" x14ac:dyDescent="0.3">
      <c r="A46" t="s">
        <v>295</v>
      </c>
    </row>
    <row r="47" spans="1:7" x14ac:dyDescent="0.3">
      <c r="A47" t="str">
        <f>"Unidades proyectadas (Años 1-5): "&amp;TEXT(SUM(C12:G12),"#,##0")</f>
        <v>Unidades proyectadas (Años 1-5): 2550,0</v>
      </c>
    </row>
    <row r="48" spans="1:7" x14ac:dyDescent="0.3">
      <c r="A48" t="str">
        <f>"Punto equilibrio Año 1: "&amp;TEXT('COSTO x UNIDAD'!B23,"#,##0")&amp;" unidades; plan: "&amp;TEXT(C12,"#,##0")</f>
        <v>Punto equilibrio Año 1: 168,0 unidades; plan: 200,0</v>
      </c>
    </row>
    <row r="49" spans="1:1" x14ac:dyDescent="0.3">
      <c r="A49" t="str">
        <f>"Pay Back: "&amp;IF(C26&gt;=0,TEXT(ABS(B26)/C25,"0.00"),IF(D26&gt;=0,TEXT(1+ABS(C26)/D25,"0.00"),IF(E26&gt;=0,TEXT(2+ABS(D26)/E25,"0.00"),IF(F26&gt;=0,TEXT(3+ABS(E26)/F25,"0.00"),IF(G26&gt;=0,TEXT(4+ABS(F26)/G25,"0.00"),"más de 5")))))&amp;" años"</f>
        <v>Pay Back: 004 años</v>
      </c>
    </row>
    <row r="50" spans="1:1" x14ac:dyDescent="0.3">
      <c r="A50" t="str">
        <f>IF(G26&gt;=0,"El flujo acumulado pasa a positivo dentro de 5 años.","El flujo acumulado no se recupera en 5 años.")</f>
        <v>El flujo acumulado pasa a positivo dentro de 5 años.</v>
      </c>
    </row>
  </sheetData>
  <mergeCells count="6">
    <mergeCell ref="A4:D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workbookViewId="0"/>
  </sheetViews>
  <sheetFormatPr baseColWidth="10" defaultRowHeight="15.6" x14ac:dyDescent="0.3"/>
  <cols>
    <col min="1" max="1" width="45.796875" customWidth="1"/>
    <col min="2" max="4" width="18.796875" customWidth="1"/>
  </cols>
  <sheetData>
    <row r="1" spans="1:4" x14ac:dyDescent="0.3">
      <c r="A1" s="26" t="s">
        <v>214</v>
      </c>
    </row>
    <row r="2" spans="1:4" x14ac:dyDescent="0.3">
      <c r="A2" t="s">
        <v>215</v>
      </c>
    </row>
    <row r="4" spans="1:4" x14ac:dyDescent="0.3">
      <c r="A4" s="22" t="s">
        <v>216</v>
      </c>
      <c r="B4" s="22" t="s">
        <v>217</v>
      </c>
      <c r="C4" s="22" t="s">
        <v>218</v>
      </c>
    </row>
    <row r="5" spans="1:4" x14ac:dyDescent="0.3">
      <c r="A5" s="1" t="s">
        <v>219</v>
      </c>
      <c r="B5" s="5">
        <f>'BOM - COMPONENTES'!K31</f>
        <v>70656</v>
      </c>
      <c r="C5" s="1" t="s">
        <v>220</v>
      </c>
    </row>
    <row r="6" spans="1:4" x14ac:dyDescent="0.3">
      <c r="A6" s="1" t="s">
        <v>221</v>
      </c>
      <c r="B6" s="5">
        <f>6000</f>
        <v>6000</v>
      </c>
      <c r="C6" s="1" t="s">
        <v>222</v>
      </c>
    </row>
    <row r="7" spans="1:4" x14ac:dyDescent="0.3">
      <c r="A7" s="1" t="s">
        <v>223</v>
      </c>
      <c r="B7" s="5">
        <f>ROUND(B5*3%,0)</f>
        <v>2120</v>
      </c>
      <c r="C7" s="1" t="s">
        <v>224</v>
      </c>
    </row>
    <row r="8" spans="1:4" x14ac:dyDescent="0.3">
      <c r="A8" s="1" t="s">
        <v>225</v>
      </c>
      <c r="B8" s="5">
        <f>ROUND(B5*5%,0)</f>
        <v>3533</v>
      </c>
      <c r="C8" s="1" t="s">
        <v>226</v>
      </c>
    </row>
    <row r="9" spans="1:4" x14ac:dyDescent="0.3">
      <c r="A9" s="1" t="s">
        <v>227</v>
      </c>
      <c r="B9" s="5">
        <f>9000</f>
        <v>9000</v>
      </c>
      <c r="C9" s="1" t="s">
        <v>228</v>
      </c>
    </row>
    <row r="10" spans="1:4" x14ac:dyDescent="0.3">
      <c r="A10" s="1" t="s">
        <v>229</v>
      </c>
      <c r="B10" s="5">
        <f>SUM(B5:B9)</f>
        <v>91309</v>
      </c>
      <c r="C10" s="1"/>
    </row>
    <row r="12" spans="1:4" x14ac:dyDescent="0.3">
      <c r="A12" s="27" t="s">
        <v>230</v>
      </c>
      <c r="B12" s="28"/>
      <c r="C12" s="28"/>
      <c r="D12" s="29"/>
    </row>
    <row r="13" spans="1:4" x14ac:dyDescent="0.3">
      <c r="A13" s="1" t="s">
        <v>231</v>
      </c>
      <c r="B13" s="5">
        <f>B10</f>
        <v>91309</v>
      </c>
      <c r="C13" s="17"/>
      <c r="D13" s="18"/>
    </row>
    <row r="14" spans="1:4" x14ac:dyDescent="0.3">
      <c r="A14" s="1" t="s">
        <v>232</v>
      </c>
      <c r="B14" s="11">
        <f>PARÁMETROS!B14</f>
        <v>0.56535177410000004</v>
      </c>
      <c r="C14" s="17"/>
      <c r="D14" s="18"/>
    </row>
    <row r="15" spans="1:4" x14ac:dyDescent="0.3">
      <c r="A15" s="1" t="s">
        <v>233</v>
      </c>
      <c r="B15" s="5">
        <f>ROUND(B13/(1-B14)*1.19,0)</f>
        <v>249990</v>
      </c>
      <c r="C15" s="19" t="s">
        <v>234</v>
      </c>
      <c r="D15" s="21"/>
    </row>
    <row r="16" spans="1:4" x14ac:dyDescent="0.3">
      <c r="A16" s="1" t="s">
        <v>235</v>
      </c>
      <c r="B16" s="1">
        <f>-ROUND(B15*19/119,0)</f>
        <v>-39914</v>
      </c>
      <c r="C16" s="19" t="s">
        <v>236</v>
      </c>
      <c r="D16" s="21"/>
    </row>
    <row r="17" spans="1:4" x14ac:dyDescent="0.3">
      <c r="A17" s="1" t="s">
        <v>237</v>
      </c>
      <c r="B17" s="5">
        <f>B15+B16</f>
        <v>210076</v>
      </c>
      <c r="C17" s="19" t="s">
        <v>238</v>
      </c>
      <c r="D17" s="21"/>
    </row>
    <row r="18" spans="1:4" x14ac:dyDescent="0.3">
      <c r="A18" s="1" t="s">
        <v>239</v>
      </c>
      <c r="B18" s="5">
        <f>B17-B13</f>
        <v>118767</v>
      </c>
      <c r="C18" s="19" t="s">
        <v>240</v>
      </c>
      <c r="D18" s="21"/>
    </row>
    <row r="20" spans="1:4" x14ac:dyDescent="0.3">
      <c r="A20" s="19" t="s">
        <v>241</v>
      </c>
      <c r="B20" s="20"/>
      <c r="C20" s="20"/>
      <c r="D20" s="21"/>
    </row>
    <row r="21" spans="1:4" x14ac:dyDescent="0.3">
      <c r="A21" s="1" t="s">
        <v>242</v>
      </c>
      <c r="B21" s="1">
        <f>'INVERSIÓN INICIAL'!B16</f>
        <v>23900000</v>
      </c>
      <c r="C21" s="19" t="s">
        <v>217</v>
      </c>
      <c r="D21" s="21"/>
    </row>
    <row r="22" spans="1:4" x14ac:dyDescent="0.3">
      <c r="A22" s="1" t="s">
        <v>243</v>
      </c>
      <c r="B22" s="1">
        <f>B18</f>
        <v>118767</v>
      </c>
      <c r="C22" s="19" t="s">
        <v>244</v>
      </c>
      <c r="D22" s="21"/>
    </row>
    <row r="23" spans="1:4" x14ac:dyDescent="0.3">
      <c r="A23" s="1" t="s">
        <v>245</v>
      </c>
      <c r="B23" s="1">
        <f>ROUNDUP(('PROYECCIÓN + VAN'!C15-'PROYECCIÓN + VAN'!C17)/B18,0)</f>
        <v>168</v>
      </c>
      <c r="C23" s="19" t="s">
        <v>246</v>
      </c>
      <c r="D23" s="21"/>
    </row>
    <row r="25" spans="1:4" x14ac:dyDescent="0.3">
      <c r="A25" s="22" t="s">
        <v>247</v>
      </c>
      <c r="B25" s="22" t="s">
        <v>248</v>
      </c>
      <c r="C25" s="22" t="s">
        <v>249</v>
      </c>
      <c r="D25" s="22" t="s">
        <v>250</v>
      </c>
    </row>
    <row r="26" spans="1:4" x14ac:dyDescent="0.3">
      <c r="A26" s="1" t="s">
        <v>251</v>
      </c>
      <c r="B26" s="5">
        <f>B5</f>
        <v>70656</v>
      </c>
      <c r="C26" s="5">
        <f>ROUND(B5*94%,0)</f>
        <v>66417</v>
      </c>
      <c r="D26" s="5">
        <f>ROUND(B5*90%,0)</f>
        <v>63590</v>
      </c>
    </row>
    <row r="27" spans="1:4" x14ac:dyDescent="0.3">
      <c r="A27" s="1" t="s">
        <v>252</v>
      </c>
      <c r="B27" s="5">
        <f>0</f>
        <v>0</v>
      </c>
      <c r="C27" s="5">
        <f>0</f>
        <v>0</v>
      </c>
      <c r="D27" s="5">
        <f>0</f>
        <v>0</v>
      </c>
    </row>
    <row r="28" spans="1:4" x14ac:dyDescent="0.3">
      <c r="A28" s="1" t="s">
        <v>253</v>
      </c>
      <c r="B28" s="5">
        <f>0</f>
        <v>0</v>
      </c>
      <c r="C28" s="5">
        <f>0</f>
        <v>0</v>
      </c>
      <c r="D28" s="5">
        <f>0</f>
        <v>0</v>
      </c>
    </row>
    <row r="29" spans="1:4" x14ac:dyDescent="0.3">
      <c r="A29" s="1" t="s">
        <v>254</v>
      </c>
      <c r="B29" s="5">
        <f>B30-B26</f>
        <v>20653</v>
      </c>
      <c r="C29" s="5">
        <f>C30-C26</f>
        <v>19413</v>
      </c>
      <c r="D29" s="5">
        <f>D30-D26</f>
        <v>18588</v>
      </c>
    </row>
    <row r="30" spans="1:4" x14ac:dyDescent="0.3">
      <c r="A30" s="1" t="s">
        <v>229</v>
      </c>
      <c r="B30" s="5">
        <f>B10</f>
        <v>91309</v>
      </c>
      <c r="C30" s="5">
        <f>ROUND(B10*94%,0)</f>
        <v>85830</v>
      </c>
      <c r="D30" s="5">
        <f>ROUND(B10*90%,0)</f>
        <v>82178</v>
      </c>
    </row>
  </sheetData>
  <mergeCells count="11">
    <mergeCell ref="A12:D12"/>
    <mergeCell ref="A20:D20"/>
    <mergeCell ref="C21:D21"/>
    <mergeCell ref="C22:D22"/>
    <mergeCell ref="C23:D23"/>
    <mergeCell ref="C18:D18"/>
    <mergeCell ref="C13:D13"/>
    <mergeCell ref="C14:D14"/>
    <mergeCell ref="C15:D15"/>
    <mergeCell ref="C16:D16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PARÁMETROS</vt:lpstr>
      <vt:lpstr>BOM - COMPONENTES</vt:lpstr>
      <vt:lpstr>EQUIPAMIENTO LAB</vt:lpstr>
      <vt:lpstr>INVERSIÓN INICIAL</vt:lpstr>
      <vt:lpstr>AMORTIZACIÓN BANCARIA</vt:lpstr>
      <vt:lpstr>PROYECCIÓN + VAN</vt:lpstr>
      <vt:lpstr>COSTO x UNIDAD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escobar</cp:lastModifiedBy>
  <dcterms:modified xsi:type="dcterms:W3CDTF">2026-08-31T04:40:43Z</dcterms:modified>
</cp:coreProperties>
</file>