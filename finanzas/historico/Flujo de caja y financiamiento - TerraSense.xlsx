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PORTADA" sheetId="1" state="visible" r:id="rId1"/>
    <sheet xmlns:r="http://schemas.openxmlformats.org/officeDocument/2006/relationships" name="PARÁMETROS" sheetId="2" state="visible" r:id="rId2"/>
    <sheet xmlns:r="http://schemas.openxmlformats.org/officeDocument/2006/relationships" name="COSTOS UNITARIOS" sheetId="3" state="visible" r:id="rId3"/>
    <sheet xmlns:r="http://schemas.openxmlformats.org/officeDocument/2006/relationships" name="INVERSIONES" sheetId="4" state="visible" r:id="rId4"/>
    <sheet xmlns:r="http://schemas.openxmlformats.org/officeDocument/2006/relationships" name="FINANCIAMIENTO" sheetId="5" state="visible" r:id="rId5"/>
    <sheet xmlns:r="http://schemas.openxmlformats.org/officeDocument/2006/relationships" name="AMORTIZACIÓN" sheetId="6" state="visible" r:id="rId6"/>
    <sheet xmlns:r="http://schemas.openxmlformats.org/officeDocument/2006/relationships" name="DEPRECIACIÓN" sheetId="7" state="visible" r:id="rId7"/>
    <sheet xmlns:r="http://schemas.openxmlformats.org/officeDocument/2006/relationships" name="ESTADO DE RESULTADOS" sheetId="8" state="visible" r:id="rId8"/>
    <sheet xmlns:r="http://schemas.openxmlformats.org/officeDocument/2006/relationships" name="GASTOS FIJOS 5 AÑOS" sheetId="9" state="visible" r:id="rId9"/>
    <sheet xmlns:r="http://schemas.openxmlformats.org/officeDocument/2006/relationships" name="PROYECCIÓN" sheetId="10" state="visible" r:id="rId10"/>
    <sheet xmlns:r="http://schemas.openxmlformats.org/officeDocument/2006/relationships" name="SENSIBILIDAD" sheetId="11" state="visible" r:id="rId11"/>
    <sheet xmlns:r="http://schemas.openxmlformats.org/officeDocument/2006/relationships" name="TOMA DE DECISIONES" sheetId="12" state="visible" r:id="rId12"/>
    <sheet xmlns:r="http://schemas.openxmlformats.org/officeDocument/2006/relationships" name="RÚBRICA" sheetId="13" state="visible" r:id="rId13"/>
  </sheets>
  <definedNames/>
  <calcPr calcId="19102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0.0000"/>
  </numFmts>
  <fonts count="21">
    <font>
      <name val="Calibri"/>
      <family val="2"/>
      <color theme="1"/>
      <sz val="11"/>
      <scheme val="minor"/>
    </font>
    <font>
      <name val="Calibri"/>
      <b val="1"/>
      <color rgb="FFFFFFFF"/>
      <sz val="14"/>
    </font>
    <font>
      <name val="Calibri"/>
      <i val="1"/>
      <color rgb="FF2D6A4F"/>
      <sz val="10"/>
    </font>
    <font>
      <name val="Calibri"/>
      <b val="1"/>
      <color rgb="FF2D6A4F"/>
      <sz val="11"/>
    </font>
    <font>
      <name val="Calibri"/>
      <b val="1"/>
      <color rgb="FFFFFFFF"/>
      <sz val="11"/>
    </font>
    <font>
      <name val="Calibri"/>
      <b val="1"/>
      <color rgb="FF1B4332"/>
      <sz val="10"/>
    </font>
    <font>
      <name val="Calibri"/>
      <b val="1"/>
      <color rgb="FF2D6A4F"/>
      <sz val="10"/>
    </font>
    <font>
      <name val="Calibri"/>
      <sz val="9"/>
    </font>
    <font>
      <name val="Calibri"/>
      <b val="1"/>
      <sz val="10"/>
    </font>
    <font>
      <name val="Calibri"/>
      <i val="1"/>
      <sz val="9"/>
    </font>
    <font>
      <name val="Calibri"/>
      <sz val="10"/>
    </font>
    <font>
      <name val="Calibri"/>
      <b val="1"/>
      <color rgb="FF1B4332"/>
      <sz val="11"/>
    </font>
    <font>
      <name val="Calibri"/>
      <b val="1"/>
      <color rgb="FF1B4332"/>
      <sz val="9"/>
    </font>
    <font>
      <name val="Calibri"/>
      <i val="1"/>
      <color rgb="FF7F7F7F"/>
      <sz val="9"/>
    </font>
    <font>
      <name val="Calibri"/>
      <i val="1"/>
      <sz val="10"/>
    </font>
    <font>
      <name val="Calibri"/>
      <i val="1"/>
      <sz val="11"/>
    </font>
    <font>
      <name val="Calibri"/>
      <b val="1"/>
      <color rgb="FFFFFFFF"/>
      <sz val="11"/>
    </font>
    <font>
      <name val="Calibri"/>
      <b val="1"/>
      <color rgb="FF1B4332"/>
      <sz val="11"/>
    </font>
    <font>
      <name val="Calibri"/>
      <b val="1"/>
      <sz val="9"/>
    </font>
    <font>
      <name val="Calibri"/>
      <b val="1"/>
      <sz val="11"/>
    </font>
    <font>
      <name val="Calibri"/>
      <i val="1"/>
      <color rgb="FF2D6A4F"/>
      <sz val="9"/>
    </font>
  </fonts>
  <fills count="10">
    <fill>
      <patternFill/>
    </fill>
    <fill>
      <patternFill patternType="gray125"/>
    </fill>
    <fill>
      <patternFill patternType="solid">
        <fgColor rgb="FF1B4332"/>
      </patternFill>
    </fill>
    <fill>
      <patternFill patternType="solid">
        <fgColor rgb="FF40916C"/>
      </patternFill>
    </fill>
    <fill>
      <patternFill patternType="solid">
        <fgColor rgb="FFD8F3DC"/>
      </patternFill>
    </fill>
    <fill>
      <patternFill patternType="solid">
        <fgColor rgb="FFFFF3CD"/>
      </patternFill>
    </fill>
    <fill>
      <patternFill patternType="solid">
        <fgColor rgb="FFF8D7DA"/>
      </patternFill>
    </fill>
    <fill>
      <patternFill patternType="solid">
        <fgColor rgb="FFD6E4F0"/>
      </patternFill>
    </fill>
    <fill>
      <patternFill patternType="solid">
        <fgColor rgb="FFF2F2F2"/>
      </patternFill>
    </fill>
    <fill>
      <patternFill patternType="solid">
        <f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87">
    <xf numFmtId="0" fontId="0" fillId="0" borderId="0" pivotButton="0" quotePrefix="0" xfId="0"/>
    <xf numFmtId="0" fontId="3" fillId="0" borderId="0" pivotButton="0" quotePrefix="0" xfId="0"/>
    <xf numFmtId="0" fontId="5" fillId="4" borderId="1" applyAlignment="1" pivotButton="0" quotePrefix="0" xfId="0">
      <alignment horizontal="center" vertical="center" wrapText="1"/>
    </xf>
    <xf numFmtId="0" fontId="6" fillId="0" borderId="1" pivotButton="0" quotePrefix="0" xfId="0"/>
    <xf numFmtId="0" fontId="7" fillId="0" borderId="1" applyAlignment="1" pivotButton="0" quotePrefix="0" xfId="0">
      <alignment vertical="center" wrapText="1"/>
    </xf>
    <xf numFmtId="0" fontId="7" fillId="0" borderId="1" applyAlignment="1" pivotButton="0" quotePrefix="0" xfId="0">
      <alignment horizontal="center" vertical="center" wrapText="1"/>
    </xf>
    <xf numFmtId="0" fontId="8" fillId="0" borderId="1" pivotButton="0" quotePrefix="0" xfId="0"/>
    <xf numFmtId="164" fontId="3" fillId="0" borderId="1" applyAlignment="1" pivotButton="0" quotePrefix="0" xfId="0">
      <alignment horizontal="right" vertical="center"/>
    </xf>
    <xf numFmtId="0" fontId="7" fillId="0" borderId="1" applyAlignment="1" pivotButton="0" quotePrefix="0" xfId="0">
      <alignment horizontal="center" vertical="center"/>
    </xf>
    <xf numFmtId="165" fontId="3" fillId="0" borderId="1" applyAlignment="1" pivotButton="0" quotePrefix="0" xfId="0">
      <alignment horizontal="right" vertical="center"/>
    </xf>
    <xf numFmtId="4" fontId="3" fillId="0" borderId="1" applyAlignment="1" pivotButton="0" quotePrefix="0" xfId="0">
      <alignment horizontal="right" vertical="center"/>
    </xf>
    <xf numFmtId="3" fontId="3" fillId="0" borderId="1" applyAlignment="1" pivotButton="0" quotePrefix="0" xfId="0">
      <alignment horizontal="right" vertical="center"/>
    </xf>
    <xf numFmtId="0" fontId="3" fillId="0" borderId="1" applyAlignment="1" pivotButton="0" quotePrefix="0" xfId="0">
      <alignment horizontal="right" vertical="center"/>
    </xf>
    <xf numFmtId="0" fontId="9" fillId="5" borderId="0" applyAlignment="1" pivotButton="0" quotePrefix="0" xfId="0">
      <alignment horizontal="left" vertical="center" wrapText="1" indent="1"/>
    </xf>
    <xf numFmtId="0" fontId="10" fillId="0" borderId="1" pivotButton="0" quotePrefix="0" xfId="0"/>
    <xf numFmtId="3" fontId="3" fillId="0" borderId="1" applyAlignment="1" pivotButton="0" quotePrefix="0" xfId="0">
      <alignment horizontal="center" vertical="center"/>
    </xf>
    <xf numFmtId="0" fontId="9" fillId="0" borderId="1" pivotButton="0" quotePrefix="0" xfId="0"/>
    <xf numFmtId="9" fontId="3" fillId="0" borderId="1" applyAlignment="1" pivotButton="0" quotePrefix="0" xfId="0">
      <alignment horizontal="center" vertical="center"/>
    </xf>
    <xf numFmtId="164" fontId="3" fillId="0" borderId="1" applyAlignment="1" pivotButton="0" quotePrefix="0" xfId="0">
      <alignment horizontal="center" vertical="center"/>
    </xf>
    <xf numFmtId="166" fontId="3" fillId="0" borderId="1" applyAlignment="1" pivotButton="0" quotePrefix="0" xfId="0">
      <alignment horizontal="center" vertical="center"/>
    </xf>
    <xf numFmtId="2" fontId="0" fillId="0" borderId="1" applyAlignment="1" pivotButton="0" quotePrefix="0" xfId="0">
      <alignment horizontal="center" vertical="center"/>
    </xf>
    <xf numFmtId="0" fontId="3" fillId="0" borderId="1" applyAlignment="1" pivotButton="0" quotePrefix="0" xfId="0">
      <alignment horizontal="center" vertical="center"/>
    </xf>
    <xf numFmtId="0" fontId="10" fillId="0" borderId="1" applyAlignment="1" pivotButton="0" quotePrefix="0" xfId="0">
      <alignment vertical="center" wrapText="1"/>
    </xf>
    <xf numFmtId="164" fontId="0" fillId="0" borderId="1" applyAlignment="1" pivotButton="0" quotePrefix="0" xfId="0">
      <alignment horizontal="right" vertical="center"/>
    </xf>
    <xf numFmtId="0" fontId="11" fillId="4" borderId="1" pivotButton="0" quotePrefix="0" xfId="0"/>
    <xf numFmtId="164" fontId="11" fillId="4" borderId="1" applyAlignment="1" pivotButton="0" quotePrefix="0" xfId="0">
      <alignment horizontal="right" vertical="center"/>
    </xf>
    <xf numFmtId="0" fontId="8" fillId="0" borderId="1" applyAlignment="1" pivotButton="0" quotePrefix="0" xfId="0">
      <alignment horizontal="center" vertical="center"/>
    </xf>
    <xf numFmtId="3" fontId="0" fillId="0" borderId="1" applyAlignment="1" pivotButton="0" quotePrefix="0" xfId="0">
      <alignment horizontal="center" vertical="center"/>
    </xf>
    <xf numFmtId="0" fontId="12" fillId="4" borderId="1" applyAlignment="1" pivotButton="0" quotePrefix="0" xfId="0">
      <alignment horizontal="center" vertical="center" wrapText="1"/>
    </xf>
    <xf numFmtId="0" fontId="12" fillId="4" borderId="1" applyAlignment="1" pivotButton="0" quotePrefix="0" xfId="0">
      <alignment horizontal="center" vertical="center"/>
    </xf>
    <xf numFmtId="0" fontId="5" fillId="4" borderId="1" applyAlignment="1" pivotButton="0" quotePrefix="0" xfId="0">
      <alignment horizontal="left" vertical="center" wrapText="1"/>
    </xf>
    <xf numFmtId="0" fontId="13" fillId="0" borderId="0" pivotButton="0" quotePrefix="0" xfId="0"/>
    <xf numFmtId="0" fontId="13" fillId="0" borderId="1" applyAlignment="1" pivotButton="0" quotePrefix="0" xfId="0">
      <alignment horizontal="center" vertical="center"/>
    </xf>
    <xf numFmtId="0" fontId="4" fillId="2" borderId="1" pivotButton="0" quotePrefix="0" xfId="0"/>
    <xf numFmtId="164" fontId="4" fillId="2" borderId="1" applyAlignment="1" pivotButton="0" quotePrefix="0" xfId="0">
      <alignment horizontal="right" vertical="center"/>
    </xf>
    <xf numFmtId="0" fontId="6" fillId="0" borderId="0" pivotButton="0" quotePrefix="0" xfId="0"/>
    <xf numFmtId="9" fontId="0" fillId="0" borderId="1" applyAlignment="1" pivotButton="0" quotePrefix="0" xfId="0">
      <alignment horizontal="center" vertical="center"/>
    </xf>
    <xf numFmtId="0" fontId="9" fillId="0" borderId="1" applyAlignment="1" pivotButton="0" quotePrefix="0" xfId="0">
      <alignment vertical="center" wrapText="1"/>
    </xf>
    <xf numFmtId="9" fontId="11" fillId="4" borderId="1" applyAlignment="1" pivotButton="0" quotePrefix="0" xfId="0">
      <alignment horizontal="center" vertical="center"/>
    </xf>
    <xf numFmtId="0" fontId="14" fillId="0" borderId="1" pivotButton="0" quotePrefix="0" xfId="0"/>
    <xf numFmtId="164" fontId="15" fillId="0" borderId="1" applyAlignment="1" pivotButton="0" quotePrefix="0" xfId="0">
      <alignment horizontal="right" vertical="center"/>
    </xf>
    <xf numFmtId="0" fontId="10" fillId="0" borderId="1" applyAlignment="1" pivotButton="0" quotePrefix="0" xfId="0">
      <alignment horizontal="center" vertical="center" wrapText="1"/>
    </xf>
    <xf numFmtId="164" fontId="10" fillId="0" borderId="1" applyAlignment="1" pivotButton="0" quotePrefix="0" xfId="0">
      <alignment horizontal="center" vertical="center" wrapText="1"/>
    </xf>
    <xf numFmtId="9" fontId="10" fillId="0" borderId="1" applyAlignment="1" pivotButton="0" quotePrefix="0" xfId="0">
      <alignment horizontal="center" vertical="center" wrapText="1"/>
    </xf>
    <xf numFmtId="3" fontId="10" fillId="0" borderId="1" applyAlignment="1" pivotButton="0" quotePrefix="0" xfId="0">
      <alignment horizontal="center" vertical="center" wrapText="1"/>
    </xf>
    <xf numFmtId="9" fontId="3" fillId="0" borderId="1" applyAlignment="1" pivotButton="0" quotePrefix="0" xfId="0">
      <alignment horizontal="right" vertical="center"/>
    </xf>
    <xf numFmtId="0" fontId="9" fillId="0" borderId="1" applyAlignment="1" pivotButton="0" quotePrefix="0" xfId="0">
      <alignment horizontal="center" vertical="center"/>
    </xf>
    <xf numFmtId="0" fontId="16" fillId="2" borderId="1" pivotButton="0" quotePrefix="0" xfId="0"/>
    <xf numFmtId="164" fontId="16" fillId="2" borderId="1" applyAlignment="1" pivotButton="0" quotePrefix="0" xfId="0">
      <alignment horizontal="right" vertical="center"/>
    </xf>
    <xf numFmtId="0" fontId="17" fillId="0" borderId="0" pivotButton="0" quotePrefix="0" xfId="0"/>
    <xf numFmtId="0" fontId="18" fillId="7" borderId="1" applyAlignment="1" pivotButton="0" quotePrefix="0" xfId="0">
      <alignment horizontal="center" vertical="center"/>
    </xf>
    <xf numFmtId="166" fontId="0" fillId="0" borderId="1" applyAlignment="1" pivotButton="0" quotePrefix="0" xfId="0">
      <alignment horizontal="right" vertical="center"/>
    </xf>
    <xf numFmtId="3" fontId="0" fillId="0" borderId="1" applyAlignment="1" pivotButton="0" quotePrefix="0" xfId="0">
      <alignment horizontal="right" vertical="center"/>
    </xf>
    <xf numFmtId="0" fontId="11" fillId="4" borderId="1" applyAlignment="1" pivotButton="0" quotePrefix="0" xfId="0">
      <alignment horizontal="center" vertical="center"/>
    </xf>
    <xf numFmtId="0" fontId="11" fillId="8" borderId="1" pivotButton="0" quotePrefix="0" xfId="0"/>
    <xf numFmtId="164" fontId="11" fillId="8" borderId="1" applyAlignment="1" pivotButton="0" quotePrefix="0" xfId="0">
      <alignment horizontal="right" vertical="center"/>
    </xf>
    <xf numFmtId="0" fontId="4" fillId="2" borderId="1" applyAlignment="1" pivotButton="0" quotePrefix="0" xfId="0">
      <alignment horizontal="center" vertical="center"/>
    </xf>
    <xf numFmtId="165" fontId="15" fillId="0" borderId="1" applyAlignment="1" pivotButton="0" quotePrefix="0" xfId="0">
      <alignment horizontal="right" vertical="center"/>
    </xf>
    <xf numFmtId="0" fontId="13" fillId="0" borderId="1" applyAlignment="1" pivotButton="0" quotePrefix="0" xfId="0">
      <alignment vertical="center" indent="2"/>
    </xf>
    <xf numFmtId="164" fontId="13" fillId="0" borderId="1" applyAlignment="1" pivotButton="0" quotePrefix="0" xfId="0">
      <alignment horizontal="right" vertical="center"/>
    </xf>
    <xf numFmtId="0" fontId="13" fillId="0" borderId="0" applyAlignment="1" pivotButton="0" quotePrefix="0" xfId="0">
      <alignment horizontal="center" vertical="center"/>
    </xf>
    <xf numFmtId="3" fontId="15" fillId="0" borderId="1" applyAlignment="1" pivotButton="0" quotePrefix="0" xfId="0">
      <alignment horizontal="right" vertical="center"/>
    </xf>
    <xf numFmtId="164" fontId="19" fillId="0" borderId="1" applyAlignment="1" pivotButton="0" quotePrefix="0" xfId="0">
      <alignment horizontal="right" vertical="center"/>
    </xf>
    <xf numFmtId="167" fontId="0" fillId="0" borderId="1" applyAlignment="1" pivotButton="0" quotePrefix="0" xfId="0">
      <alignment horizontal="right" vertical="center"/>
    </xf>
    <xf numFmtId="164" fontId="9" fillId="0" borderId="1" applyAlignment="1" pivotButton="0" quotePrefix="0" xfId="0">
      <alignment horizontal="right" vertical="center"/>
    </xf>
    <xf numFmtId="165" fontId="11" fillId="4" borderId="1" applyAlignment="1" pivotButton="0" quotePrefix="0" xfId="0">
      <alignment horizontal="center" vertical="center"/>
    </xf>
    <xf numFmtId="0" fontId="20" fillId="0" borderId="0" pivotButton="0" quotePrefix="0" xfId="0"/>
    <xf numFmtId="4" fontId="4" fillId="2" borderId="1" applyAlignment="1" pivotButton="0" quotePrefix="0" xfId="0">
      <alignment horizontal="center" vertical="center"/>
    </xf>
    <xf numFmtId="0" fontId="2" fillId="0" borderId="0" pivotButton="0" quotePrefix="0" xfId="0"/>
    <xf numFmtId="0" fontId="7" fillId="0" borderId="1" pivotButton="0" quotePrefix="0" xfId="0"/>
    <xf numFmtId="0" fontId="7" fillId="0" borderId="1" applyAlignment="1" pivotButton="0" quotePrefix="0" xfId="0">
      <alignment horizontal="left" vertical="center"/>
    </xf>
    <xf numFmtId="0" fontId="10" fillId="0" borderId="1" applyAlignment="1" pivotButton="0" quotePrefix="0" xfId="0">
      <alignment horizontal="center" vertical="center"/>
    </xf>
    <xf numFmtId="165" fontId="19" fillId="0" borderId="1" applyAlignment="1" pivotButton="0" quotePrefix="0" xfId="0">
      <alignment horizontal="center" vertical="center"/>
    </xf>
    <xf numFmtId="165" fontId="3" fillId="0" borderId="1" applyAlignment="1" pivotButton="0" quotePrefix="0" xfId="0">
      <alignment horizontal="center" vertical="center"/>
    </xf>
    <xf numFmtId="0" fontId="18" fillId="8" borderId="1" applyAlignment="1" pivotButton="0" quotePrefix="0" xfId="0">
      <alignment horizontal="center" vertical="center"/>
    </xf>
    <xf numFmtId="0" fontId="10" fillId="0" borderId="0" pivotButton="0" quotePrefix="0" xfId="0"/>
    <xf numFmtId="0" fontId="4" fillId="3" borderId="0" applyAlignment="1" pivotButton="0" quotePrefix="0" xfId="0">
      <alignment horizontal="left" vertical="center" indent="1"/>
    </xf>
    <xf numFmtId="0" fontId="0" fillId="0" borderId="0" pivotButton="0" quotePrefix="0" xfId="0"/>
    <xf numFmtId="0" fontId="2" fillId="0" borderId="0" applyAlignment="1" pivotButton="0" quotePrefix="0" xfId="0">
      <alignment horizontal="left" vertical="center" indent="1"/>
    </xf>
    <xf numFmtId="0" fontId="1" fillId="2" borderId="0" applyAlignment="1" pivotButton="0" quotePrefix="0" xfId="0">
      <alignment horizontal="left" vertical="center" indent="1"/>
    </xf>
    <xf numFmtId="0" fontId="9" fillId="6" borderId="0" applyAlignment="1" pivotButton="0" quotePrefix="0" xfId="0">
      <alignment horizontal="left" vertical="center" wrapText="1" indent="1"/>
    </xf>
    <xf numFmtId="0" fontId="9" fillId="5" borderId="0" applyAlignment="1" pivotButton="0" quotePrefix="0" xfId="0">
      <alignment horizontal="left" vertical="center" wrapText="1" indent="1"/>
    </xf>
    <xf numFmtId="0" fontId="4" fillId="3" borderId="0" applyAlignment="1" pivotButton="0" quotePrefix="0" xfId="0">
      <alignment horizontal="center" vertical="center"/>
    </xf>
    <xf numFmtId="0" fontId="12" fillId="4" borderId="1" applyAlignment="1" pivotButton="0" quotePrefix="0" xfId="0">
      <alignment horizontal="center" vertical="center" wrapText="1"/>
    </xf>
    <xf numFmtId="0" fontId="0" fillId="0" borderId="2" pivotButton="0" quotePrefix="0" xfId="0"/>
    <xf numFmtId="0" fontId="10" fillId="9" borderId="1" applyAlignment="1" pivotButton="0" quotePrefix="0" xfId="0">
      <alignment horizontal="justify" vertical="top" wrapText="1" indent="1"/>
    </xf>
    <xf numFmtId="0" fontId="0" fillId="0" borderId="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B4332"/>
    <outlinePr summaryBelow="1" summaryRight="1"/>
    <pageSetUpPr fitToPage="1"/>
  </sheetPr>
  <dimension ref="B2:E37"/>
  <sheetViews>
    <sheetView showGridLines="0" topLeftCell="A17" workbookViewId="0">
      <selection activeCell="C31" sqref="C31"/>
    </sheetView>
  </sheetViews>
  <sheetFormatPr baseColWidth="10" defaultColWidth="8.88671875" defaultRowHeight="14.4"/>
  <cols>
    <col width="2" customWidth="1" style="77" min="1" max="1"/>
    <col width="36" customWidth="1" style="77" min="2" max="2"/>
    <col width="62" customWidth="1" style="77" min="3" max="3"/>
    <col width="26" customWidth="1" style="77" min="4" max="5"/>
  </cols>
  <sheetData>
    <row r="2" ht="25.95" customHeight="1" s="77">
      <c r="B2" s="79" t="inlineStr">
        <is>
          <t>TERRASENSE — EVALUACIÓN ECONÓMICA DEL PROYECTO</t>
        </is>
      </c>
    </row>
    <row r="3">
      <c r="B3" s="78" t="inlineStr">
        <is>
          <t>Inversiones, financiamiento, depreciación, amortización, estado de resultados, flujo de caja, VAN, TIR y Pay Back</t>
        </is>
      </c>
    </row>
    <row r="5">
      <c r="B5" s="1" t="inlineStr">
        <is>
          <t>NOMBRE ESTUDIANTES:</t>
        </is>
      </c>
      <c r="C5" t="inlineStr">
        <is>
          <t>Álvaro Villena</t>
        </is>
      </c>
    </row>
    <row r="6">
      <c r="B6" s="1" t="inlineStr">
        <is>
          <t>PROYECTO:</t>
        </is>
      </c>
      <c r="C6" t="inlineStr">
        <is>
          <t>TerraSense — Sistema IoT de diagnóstico agronómico prescriptivo</t>
        </is>
      </c>
    </row>
    <row r="7">
      <c r="B7" s="1" t="inlineStr">
        <is>
          <t>CARRERA:</t>
        </is>
      </c>
      <c r="C7" t="inlineStr">
        <is>
          <t>Ingeniería en Electrónica y Sistemas Inteligentes, INACAP</t>
        </is>
      </c>
    </row>
    <row r="8">
      <c r="B8" s="1" t="inlineStr">
        <is>
          <t>FUENTE DE LOS DATOS:</t>
        </is>
      </c>
      <c r="C8" t="inlineStr">
        <is>
          <t>README.md del proyecto, Sección XII (versión 3.0)</t>
        </is>
      </c>
    </row>
    <row r="9">
      <c r="B9" s="1" t="inlineStr">
        <is>
          <t>MONEDA:</t>
        </is>
      </c>
      <c r="C9" t="inlineStr">
        <is>
          <t>Pesos chilenos (CLP), valores netos sin IVA</t>
        </is>
      </c>
    </row>
    <row r="10">
      <c r="B10" s="1" t="inlineStr">
        <is>
          <t>HORIZONTE DE EVALUACIÓN:</t>
        </is>
      </c>
      <c r="C10" t="inlineStr">
        <is>
          <t>5 años, tasa de rentabilidad exigida 20 % anual</t>
        </is>
      </c>
    </row>
    <row r="12" ht="19.05" customHeight="1" s="77">
      <c r="B12" s="76" t="inlineStr">
        <is>
          <t>ÍNDICE DE LA PLANILLA</t>
        </is>
      </c>
    </row>
    <row r="13" ht="30" customHeight="1" s="77">
      <c r="B13" s="2" t="inlineStr">
        <is>
          <t>Hoja</t>
        </is>
      </c>
      <c r="C13" s="2" t="inlineStr">
        <is>
          <t>Contenido</t>
        </is>
      </c>
      <c r="D13" s="2" t="inlineStr">
        <is>
          <t>Cuadro de la planilla</t>
        </is>
      </c>
    </row>
    <row r="14" ht="24" customHeight="1" s="77">
      <c r="B14" s="3" t="inlineStr">
        <is>
          <t>PARÁMETROS</t>
        </is>
      </c>
      <c r="C14" s="4" t="inlineStr">
        <is>
          <t>Tabla maestra de supuestos: macro, precio, volumen, financiamiento y vidas útiles</t>
        </is>
      </c>
      <c r="D14" s="5" t="inlineStr">
        <is>
          <t>Base del modelo</t>
        </is>
      </c>
    </row>
    <row r="15" ht="24" customHeight="1" s="77">
      <c r="B15" s="3" t="inlineStr">
        <is>
          <t>COSTOS UNITARIOS</t>
        </is>
      </c>
      <c r="C15" s="4" t="inlineStr">
        <is>
          <t>BOM unitario, costo variable entregado y curva de costo por escala</t>
        </is>
      </c>
      <c r="D15" s="5" t="inlineStr">
        <is>
          <t>Insumo del Cuadro N° 2</t>
        </is>
      </c>
    </row>
    <row r="16" ht="24" customHeight="1" s="77">
      <c r="B16" s="3" t="inlineStr">
        <is>
          <t>INVERSIONES</t>
        </is>
      </c>
      <c r="C16" s="4" t="inlineStr">
        <is>
          <t>Inversión en capital de trabajo, activo nominal y activo fijo, con sus fuentes</t>
        </is>
      </c>
      <c r="D16" s="5" t="inlineStr">
        <is>
          <t>CUADRO N° 1</t>
        </is>
      </c>
    </row>
    <row r="17" ht="24" customHeight="1" s="77">
      <c r="B17" s="3" t="inlineStr">
        <is>
          <t>FINANCIAMIENTO</t>
        </is>
      </c>
      <c r="C17" s="4" t="inlineStr">
        <is>
          <t>Fuentes de financiamiento y condiciones del crédito (FOGAPE y corto plazo)</t>
        </is>
      </c>
      <c r="D17" s="5" t="inlineStr">
        <is>
          <t>CUADRO N° 1</t>
        </is>
      </c>
    </row>
    <row r="18" ht="24" customHeight="1" s="77">
      <c r="B18" s="3" t="inlineStr">
        <is>
          <t>AMORTIZACIÓN</t>
        </is>
      </c>
      <c r="C18" s="4" t="inlineStr">
        <is>
          <t>Amortización de ambos préstamos, sistema francés, y consolidado anual</t>
        </is>
      </c>
      <c r="D18" s="5" t="inlineStr">
        <is>
          <t>CUADRO N° 1</t>
        </is>
      </c>
    </row>
    <row r="19" ht="24" customHeight="1" s="77">
      <c r="B19" s="3" t="inlineStr">
        <is>
          <t>DEPRECIACIÓN</t>
        </is>
      </c>
      <c r="C19" s="4" t="inlineStr">
        <is>
          <t>Depreciación anual del activo fijo, ítem por ítem y por grupo</t>
        </is>
      </c>
      <c r="D19" s="5" t="inlineStr">
        <is>
          <t>CUADRO N° 1</t>
        </is>
      </c>
    </row>
    <row r="20" ht="24" customHeight="1" s="77">
      <c r="B20" s="3" t="inlineStr">
        <is>
          <t>ESTADO DE RESULTADOS</t>
        </is>
      </c>
      <c r="C20" s="4" t="inlineStr">
        <is>
          <t>Ingresos, costos y gastos operacionales del Año 1 (valor mes y valor año)</t>
        </is>
      </c>
      <c r="D20" s="5" t="inlineStr">
        <is>
          <t>CUADRO N° 2</t>
        </is>
      </c>
    </row>
    <row r="21" ht="24" customHeight="1" s="77">
      <c r="B21" s="3" t="inlineStr">
        <is>
          <t>GASTOS FIJOS 5 AÑOS</t>
        </is>
      </c>
      <c r="C21" s="4" t="inlineStr">
        <is>
          <t>Escalamiento de los gastos fijos a 5 años y punto de equilibrio por año</t>
        </is>
      </c>
      <c r="D21" s="5" t="inlineStr">
        <is>
          <t>Apoyo al Cuadro N° 3</t>
        </is>
      </c>
    </row>
    <row r="22" ht="24" customHeight="1" s="77">
      <c r="B22" s="3" t="inlineStr">
        <is>
          <t>PROYECCIÓN</t>
        </is>
      </c>
      <c r="C22" s="4" t="inlineStr">
        <is>
          <t>Estado de resultados proyectado, flujo de fondos, VAN, TIR y Pay Back</t>
        </is>
      </c>
      <c r="D22" s="5" t="inlineStr">
        <is>
          <t>CUADRO N° 3</t>
        </is>
      </c>
    </row>
    <row r="23" ht="24" customHeight="1" s="77">
      <c r="B23" s="3" t="inlineStr">
        <is>
          <t>SENSIBILIDAD</t>
        </is>
      </c>
      <c r="C23" s="4" t="inlineStr">
        <is>
          <t>Sensibilidad, punto de quiebre y VAN frente a la tasa de descuento</t>
        </is>
      </c>
      <c r="D23" s="5" t="inlineStr">
        <is>
          <t>Complemento</t>
        </is>
      </c>
    </row>
    <row r="24" ht="24" customHeight="1" s="77">
      <c r="B24" s="3" t="inlineStr">
        <is>
          <t>TOMA DE DECISIONES</t>
        </is>
      </c>
      <c r="C24" s="4" t="inlineStr">
        <is>
          <t>Toma de decisiones en base al VAN/TIR y en base al Pay Back</t>
        </is>
      </c>
      <c r="D24" s="5" t="inlineStr">
        <is>
          <t>Toma de decisiones</t>
        </is>
      </c>
    </row>
    <row r="25" ht="24" customHeight="1" s="77">
      <c r="B25" s="3" t="inlineStr">
        <is>
          <t>RÚBRICA</t>
        </is>
      </c>
      <c r="C25" s="4" t="inlineStr">
        <is>
          <t>Rúbrica de evaluación e instrucciones de entrega</t>
        </is>
      </c>
      <c r="D25" s="5" t="inlineStr">
        <is>
          <t>Referencia</t>
        </is>
      </c>
    </row>
    <row r="27" ht="19.05" customHeight="1" s="77">
      <c r="B27" s="76" t="inlineStr">
        <is>
          <t>RESULTADO DE LA EVALUACIÓN (todo calculado en la hoja PROYECCIÓN)</t>
        </is>
      </c>
    </row>
    <row r="28" ht="30" customHeight="1" s="77">
      <c r="B28" s="2" t="inlineStr">
        <is>
          <t>Indicador</t>
        </is>
      </c>
      <c r="C28" s="2" t="inlineStr">
        <is>
          <t>Valor</t>
        </is>
      </c>
      <c r="D28" s="2" t="inlineStr">
        <is>
          <t>Criterio</t>
        </is>
      </c>
      <c r="E28" s="2" t="inlineStr">
        <is>
          <t>Veredicto</t>
        </is>
      </c>
    </row>
    <row r="29" ht="24" customHeight="1" s="77">
      <c r="B29" s="6" t="inlineStr">
        <is>
          <t>Inversión inicial total</t>
        </is>
      </c>
      <c r="C29" s="7">
        <f>INVERSIONES!C45</f>
        <v/>
      </c>
      <c r="D29" s="8" t="inlineStr">
        <is>
          <t>—</t>
        </is>
      </c>
      <c r="E29" s="5" t="inlineStr">
        <is>
          <t>Financiada ≈34 % socios / ≈66 % banca</t>
        </is>
      </c>
    </row>
    <row r="30">
      <c r="B30" s="6" t="inlineStr">
        <is>
          <t>VAN (tasa exigida 20 %)</t>
        </is>
      </c>
      <c r="C30" s="7">
        <f>PROYECCIÓN!C35</f>
        <v/>
      </c>
      <c r="D30" s="8" t="inlineStr">
        <is>
          <t>VAN &gt; 0</t>
        </is>
      </c>
      <c r="E30" s="5">
        <f>IF(PROYECCIÓN!C35&gt;0,"✔ Cumple","✘ No cumple a 5 años")</f>
        <v/>
      </c>
    </row>
    <row r="31">
      <c r="B31" s="6" t="inlineStr">
        <is>
          <t>TIR</t>
        </is>
      </c>
      <c r="C31" s="9">
        <f>PROYECCIÓN!C37</f>
        <v/>
      </c>
      <c r="D31" s="8" t="inlineStr">
        <is>
          <t>TIR &gt; 20 %</t>
        </is>
      </c>
      <c r="E31" s="5">
        <f>IF(PROYECCIÓN!C37&gt;PROYECCIÓN!C30,"✔ Cumple","✘ No cumple, pero es positiva")</f>
        <v/>
      </c>
    </row>
    <row r="32">
      <c r="B32" s="6" t="inlineStr">
        <is>
          <t>Pay Back</t>
        </is>
      </c>
      <c r="C32" s="10">
        <f>PROYECCIÓN!C41</f>
        <v/>
      </c>
      <c r="D32" s="8" t="inlineStr">
        <is>
          <t>≤ 5 años</t>
        </is>
      </c>
      <c r="E32" s="5">
        <f>IF(PROYECCIÓN!C41&lt;=5,"✔ Cumple, sin holgura","✘ No cumple")</f>
        <v/>
      </c>
    </row>
    <row r="33">
      <c r="B33" s="6" t="inlineStr">
        <is>
          <t>Punto de equilibrio Año 1 (unidades)</t>
        </is>
      </c>
      <c r="C33" s="11">
        <f>'GASTOS FIJOS 5 AÑOS'!C29</f>
        <v/>
      </c>
      <c r="D33" s="8" t="inlineStr">
        <is>
          <t>&lt; 200 u planificadas</t>
        </is>
      </c>
      <c r="E33" s="5">
        <f>IF('GASTOS FIJOS 5 AÑOS'!C29&lt;'GASTOS FIJOS 5 AÑOS'!C23,"✔ Holgura del "&amp;TEXT('GASTOS FIJOS 5 AÑOS'!C30,"0%"),"✘ No cumple")</f>
        <v/>
      </c>
    </row>
    <row r="34">
      <c r="B34" s="6" t="inlineStr">
        <is>
          <t>Utilidad neta de todos los años</t>
        </is>
      </c>
      <c r="C34" s="12">
        <f>IF(MIN(PROYECCIÓN!D17:H17)&gt;0,"Positiva desde el Año 1","Hay años con pérdida")</f>
        <v/>
      </c>
      <c r="D34" s="8" t="inlineStr">
        <is>
          <t>Sin años de pérdida</t>
        </is>
      </c>
      <c r="E34" s="5">
        <f>IF(MIN(PROYECCIÓN!D17:H17)&gt;0,"✔ Cumple","✘ No cumple")</f>
        <v/>
      </c>
    </row>
    <row r="36" ht="24" customHeight="1" s="77">
      <c r="B36" s="81" t="inlineStr">
        <is>
          <t>Planilla íntegramente formulada. Los únicos valores digitados están en PARÁMETROS, COSTOS UNITARIOS, INVERSIONES y GASTOS FIJOS 5 AÑOS; el resto se encadena hasta el VAN. Cambiar un supuesto en PARÁMETROS recalcula toda la evaluación.</t>
        </is>
      </c>
    </row>
    <row r="37" ht="24" customHeight="1" s="77">
      <c r="B37" s="80" t="inlineStr">
        <is>
          <t>Se declara con la misma honestidad que antes: a 5 años y 20 % el VAN ahora es POSITIVO ($2.588.182) y la TIR (≈22,7 %) supera la tasa exigida. El proyecto se acepta bajo el criterio estándar de la planilla, sujeto a confirmar en terreno la tasa de la línea de corto plazo (15 % anual estimado) y la dotación reducida de ensambladores. El detalle completo está en TOMA DE DECISIONES.</t>
        </is>
      </c>
    </row>
  </sheetData>
  <mergeCells count="6">
    <mergeCell ref="B27:E27"/>
    <mergeCell ref="B12:E12"/>
    <mergeCell ref="B3:E3"/>
    <mergeCell ref="B2:E2"/>
    <mergeCell ref="B37:E37"/>
    <mergeCell ref="B36:E36"/>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2.xml><?xml version="1.0" encoding="utf-8"?>
<worksheet xmlns="http://schemas.openxmlformats.org/spreadsheetml/2006/main">
  <sheetPr>
    <tabColor rgb="FF74C69D"/>
    <outlinePr summaryBelow="1" summaryRight="1"/>
    <pageSetUpPr fitToPage="1"/>
  </sheetPr>
  <dimension ref="B2:H50"/>
  <sheetViews>
    <sheetView showGridLines="0" topLeftCell="A29" workbookViewId="0">
      <selection activeCell="B48" sqref="B48"/>
    </sheetView>
  </sheetViews>
  <sheetFormatPr baseColWidth="10" defaultColWidth="8.88671875" defaultRowHeight="14.4"/>
  <cols>
    <col width="2" customWidth="1" style="77" min="1" max="1"/>
    <col width="58" customWidth="1" style="77" min="2" max="2"/>
    <col width="18" customWidth="1" style="77" min="3" max="3"/>
    <col width="16" customWidth="1" style="77" min="4" max="7"/>
    <col width="52" customWidth="1" style="77" min="8" max="8"/>
  </cols>
  <sheetData>
    <row r="2" ht="25.95" customHeight="1" s="77">
      <c r="B2" s="79" t="inlineStr">
        <is>
          <t>TABLA MAESTRA DE PARÁMETROS DEL MODELO</t>
        </is>
      </c>
    </row>
    <row r="3">
      <c r="B3" s="78" t="inlineStr">
        <is>
          <t>README XII.1 · Modificar un valor de esta hoja propaga el cambio a toda la planilla</t>
        </is>
      </c>
    </row>
    <row r="4" ht="19.05" customHeight="1" s="77">
      <c r="B4" s="76" t="inlineStr">
        <is>
          <t>1. SUPUESTOS MACROECONÓMICOS Y TRIBUTARIOS</t>
        </is>
      </c>
    </row>
    <row r="5" ht="30" customHeight="1" s="77">
      <c r="B5" s="2" t="inlineStr">
        <is>
          <t>Parámetro</t>
        </is>
      </c>
      <c r="C5" s="2" t="inlineStr">
        <is>
          <t>Valor adoptado</t>
        </is>
      </c>
      <c r="H5" s="2" t="inlineStr">
        <is>
          <t>Origen</t>
        </is>
      </c>
    </row>
    <row r="6">
      <c r="B6" s="14" t="inlineStr">
        <is>
          <t>Tipo de cambio (CLP/USD)</t>
        </is>
      </c>
      <c r="C6" s="15" t="n">
        <v>915</v>
      </c>
      <c r="H6" s="16" t="inlineStr">
        <is>
          <t>Dólar observado, Banco Central de Chile [35]</t>
        </is>
      </c>
    </row>
    <row r="7">
      <c r="B7" s="14" t="inlineStr">
        <is>
          <t>IVA</t>
        </is>
      </c>
      <c r="C7" s="17" t="n">
        <v>0.19</v>
      </c>
      <c r="H7" s="16" t="inlineStr">
        <is>
          <t>SII [34]</t>
        </is>
      </c>
    </row>
    <row r="8">
      <c r="B8" s="14" t="inlineStr">
        <is>
          <t>Impuesto de primera categoría (Régimen Pro Pyme General)</t>
        </is>
      </c>
      <c r="C8" s="17" t="n">
        <v>0.25</v>
      </c>
      <c r="H8" s="16" t="inlineStr">
        <is>
          <t>SII [57]</t>
        </is>
      </c>
    </row>
    <row r="9">
      <c r="B9" s="14" t="inlineStr">
        <is>
          <t>Arancel de importación sobre valor FOB</t>
        </is>
      </c>
      <c r="C9" s="17" t="n">
        <v>0.06</v>
      </c>
      <c r="H9" s="16" t="inlineStr">
        <is>
          <t>Aduanas [32]</t>
        </is>
      </c>
    </row>
    <row r="10">
      <c r="B10" s="14" t="inlineStr">
        <is>
          <t>Tasa de rentabilidad exigida / de descuento (r)</t>
        </is>
      </c>
      <c r="C10" s="17" t="n">
        <v>0.2</v>
      </c>
      <c r="H10" s="16" t="inlineStr">
        <is>
          <t>Tasa exigida por la planilla de evaluación</t>
        </is>
      </c>
    </row>
    <row r="11">
      <c r="B11" s="14" t="inlineStr">
        <is>
          <t>Margen mínimo exigido sobre costo total</t>
        </is>
      </c>
      <c r="C11" s="17" t="n">
        <v>0.3</v>
      </c>
      <c r="H11" s="16" t="inlineStr">
        <is>
          <t>Restricción de negocio del proyecto</t>
        </is>
      </c>
    </row>
    <row r="12">
      <c r="B12" s="14" t="inlineStr">
        <is>
          <t>Horizonte de evaluación (años)</t>
        </is>
      </c>
      <c r="C12" s="15" t="n">
        <v>5</v>
      </c>
      <c r="H12" s="16" t="inlineStr">
        <is>
          <t>Planilla de evaluación económica</t>
        </is>
      </c>
    </row>
    <row r="14" ht="19.05" customHeight="1" s="77">
      <c r="B14" s="76" t="inlineStr">
        <is>
          <t>2. PRODUCTO, PRECIO Y COSTOS UNITARIOS DE REFERENCIA</t>
        </is>
      </c>
    </row>
    <row r="15" ht="30" customHeight="1" s="77">
      <c r="B15" s="2" t="inlineStr">
        <is>
          <t>Parámetro</t>
        </is>
      </c>
      <c r="C15" s="2" t="inlineStr">
        <is>
          <t>Valor adoptado</t>
        </is>
      </c>
      <c r="H15" s="2" t="inlineStr">
        <is>
          <t>Origen</t>
        </is>
      </c>
    </row>
    <row r="16">
      <c r="B16" s="14" t="inlineStr">
        <is>
          <t>Precio de venta con IVA (techo declarado del negocio)</t>
        </is>
      </c>
      <c r="C16" s="18" t="n">
        <v>249990</v>
      </c>
      <c r="H16" s="16" t="inlineStr">
        <is>
          <t>Decisión de negocio, verificada contra la competencia (XI.3)</t>
        </is>
      </c>
    </row>
    <row r="17">
      <c r="B17" s="14" t="inlineStr">
        <is>
          <t>Precio de venta NETO (sin IVA)</t>
        </is>
      </c>
      <c r="C17" s="18">
        <f>ROUND(C16/(1+C7),0)</f>
        <v/>
      </c>
      <c r="H17" s="16" t="inlineStr">
        <is>
          <t>precio con IVA ÷ (1 + IVA)</t>
        </is>
      </c>
    </row>
    <row r="18">
      <c r="B18" s="14" t="inlineStr">
        <is>
          <t>Merma y scrap</t>
        </is>
      </c>
      <c r="C18" s="17" t="n">
        <v>0.03</v>
      </c>
      <c r="H18" s="16" t="inlineStr">
        <is>
          <t>Estimación propia</t>
        </is>
      </c>
    </row>
    <row r="19">
      <c r="B19" s="14" t="inlineStr">
        <is>
          <t>Provisión de garantía legal, 6 meses</t>
        </is>
      </c>
      <c r="C19" s="17" t="n">
        <v>0.05</v>
      </c>
      <c r="H19" s="16" t="inlineStr">
        <is>
          <t>Ley 21.398 [24]</t>
        </is>
      </c>
    </row>
    <row r="20">
      <c r="B20" s="14" t="inlineStr">
        <is>
          <t>Mano de obra directa: horas de ensamblaje y QA por unidad</t>
        </is>
      </c>
      <c r="C20" s="19" t="n">
        <v>1.5</v>
      </c>
      <c r="H20" s="16" t="inlineStr">
        <is>
          <t>XI.6 — subió desde 1,2 h por la sonda de mayor costo y el sellado adicional</t>
        </is>
      </c>
    </row>
    <row r="21">
      <c r="B21" s="14" t="inlineStr">
        <is>
          <t>Valor hora de mano de obra directa</t>
        </is>
      </c>
      <c r="C21" s="18" t="n">
        <v>6000</v>
      </c>
      <c r="H21" s="16" t="inlineStr">
        <is>
          <t>Estimación propia</t>
        </is>
      </c>
    </row>
    <row r="22">
      <c r="B22" s="14" t="inlineStr">
        <is>
          <t>Flete nacional al cliente, por unidad (Bluexpress)</t>
        </is>
      </c>
      <c r="C22" s="18" t="n">
        <v>6000</v>
      </c>
      <c r="H22" s="16" t="inlineStr">
        <is>
          <t>Tarifa referencial ~$4.500 + IVA por kg</t>
        </is>
      </c>
    </row>
    <row r="24" ht="19.05" customHeight="1" s="77">
      <c r="B24" s="76" t="inlineStr">
        <is>
          <t>3. VOLUMEN PROYECTADO Y CURVA DE ESCALA</t>
        </is>
      </c>
    </row>
    <row r="25" ht="30" customHeight="1" s="77">
      <c r="B25" s="2" t="inlineStr">
        <is>
          <t>Parámetro</t>
        </is>
      </c>
      <c r="C25" s="2" t="inlineStr">
        <is>
          <t>Año 1</t>
        </is>
      </c>
      <c r="D25" s="2" t="inlineStr">
        <is>
          <t>Año 2</t>
        </is>
      </c>
      <c r="E25" s="2" t="inlineStr">
        <is>
          <t>Año 3</t>
        </is>
      </c>
      <c r="F25" s="2" t="inlineStr">
        <is>
          <t>Año 4</t>
        </is>
      </c>
      <c r="G25" s="2" t="inlineStr">
        <is>
          <t>Año 5</t>
        </is>
      </c>
      <c r="H25" s="2" t="inlineStr">
        <is>
          <t>Origen</t>
        </is>
      </c>
    </row>
    <row r="26">
      <c r="B26" s="6" t="inlineStr">
        <is>
          <t>Unidades planificadas</t>
        </is>
      </c>
      <c r="C26" s="15" t="n">
        <v>200</v>
      </c>
      <c r="D26" s="15" t="n">
        <v>350</v>
      </c>
      <c r="E26" s="15" t="n">
        <v>500</v>
      </c>
      <c r="F26" s="15" t="n">
        <v>650</v>
      </c>
      <c r="G26" s="15" t="n">
        <v>850</v>
      </c>
      <c r="H26" s="16" t="inlineStr">
        <is>
          <t>XI.1 — 200 u equivalen al 0,17 % del mercado servible</t>
        </is>
      </c>
    </row>
    <row r="27">
      <c r="B27" s="14" t="inlineStr">
        <is>
          <t>Factor de costo variable por escala</t>
        </is>
      </c>
      <c r="C27" s="20" t="n">
        <v>1</v>
      </c>
      <c r="D27" s="20" t="n">
        <v>0.97</v>
      </c>
      <c r="E27" s="20" t="n">
        <v>0.9399999999999999</v>
      </c>
      <c r="F27" s="20" t="n">
        <v>0.92</v>
      </c>
      <c r="G27" s="20" t="n">
        <v>0.9</v>
      </c>
      <c r="H27" s="16" t="inlineStr">
        <is>
          <t>XII.2.3 — NRE prorrateado, quiebres de precio y flete consolidado</t>
        </is>
      </c>
    </row>
    <row r="29" ht="19.05" customHeight="1" s="77">
      <c r="B29" s="76" t="inlineStr">
        <is>
          <t>4. FINANCIAMIENTO</t>
        </is>
      </c>
    </row>
    <row r="30" ht="30" customHeight="1" s="77">
      <c r="B30" s="2" t="inlineStr">
        <is>
          <t>Parámetro</t>
        </is>
      </c>
      <c r="C30" s="2" t="inlineStr">
        <is>
          <t>Valor adoptado</t>
        </is>
      </c>
      <c r="H30" s="2" t="inlineStr">
        <is>
          <t>Naturaleza</t>
        </is>
      </c>
    </row>
    <row r="31">
      <c r="B31" s="14" t="inlineStr">
        <is>
          <t>Inversión inicial total del proyecto</t>
        </is>
      </c>
      <c r="C31" s="18">
        <f>INVERSIONES!C45</f>
        <v/>
      </c>
      <c r="H31" s="16" t="inlineStr">
        <is>
          <t>Calculada en la hoja INVERSIONES</t>
        </is>
      </c>
    </row>
    <row r="32">
      <c r="B32" s="14" t="inlineStr">
        <is>
          <t>Pie de los socios (2 × $4.450.000, aporte propio)</t>
        </is>
      </c>
      <c r="C32" s="18" t="n">
        <v>8900000</v>
      </c>
      <c r="H32" s="16" t="inlineStr">
        <is>
          <t>Compromiso de capital que el banco exige ver antes de aprobar</t>
        </is>
      </c>
    </row>
    <row r="33">
      <c r="B33" s="14" t="inlineStr">
        <is>
          <t>Crédito bancario de largo plazo</t>
        </is>
      </c>
      <c r="C33" s="18">
        <f>C31-C32-C36-C40</f>
        <v/>
      </c>
      <c r="H33" s="16" t="inlineStr">
        <is>
          <t>Crédito PYME con garantía FOGAPE; monto = inversión total − pie − línea corta (se ajusta automáticamente si cambia algún supuesto)</t>
        </is>
      </c>
    </row>
    <row r="34">
      <c r="B34" s="14" t="inlineStr">
        <is>
          <t xml:space="preserve">     Tasa de interés anual, largo plazo</t>
        </is>
      </c>
      <c r="C34" s="17" t="n">
        <v>0.1</v>
      </c>
      <c r="H34" s="16" t="inlineStr">
        <is>
          <t>Crédito PYME con garantía FOGAPE</t>
        </is>
      </c>
    </row>
    <row r="35">
      <c r="B35" s="14" t="inlineStr">
        <is>
          <t xml:space="preserve">     Plazo del crédito de largo plazo (años)</t>
        </is>
      </c>
      <c r="C35" s="15" t="n">
        <v>5</v>
      </c>
      <c r="H35" s="16" t="inlineStr">
        <is>
          <t>5 años</t>
        </is>
      </c>
    </row>
    <row r="36">
      <c r="B36" s="14" t="inlineStr">
        <is>
          <t>Línea de crédito de corto plazo</t>
        </is>
      </c>
      <c r="C36" s="18" t="n">
        <v>5000000</v>
      </c>
      <c r="H36" s="16" t="inlineStr">
        <is>
          <t>Cubre el desfase de caja del primer lote</t>
        </is>
      </c>
    </row>
    <row r="37">
      <c r="B37" s="14" t="inlineStr">
        <is>
          <t xml:space="preserve">     Tasa de interés anual, corto plazo</t>
        </is>
      </c>
      <c r="C37" s="17" t="n">
        <v>0.15</v>
      </c>
      <c r="H37" s="16" t="inlineStr">
        <is>
          <t>Línea de capital de trabajo con garantía FOGAPE; monto acotado (~$5 MM) → tasa de mercado para PYME garantizada, no de línea sin garantía (validar con cotización real de 2-3 bancos antes de firmar)</t>
        </is>
      </c>
    </row>
    <row r="38">
      <c r="B38" s="14" t="inlineStr">
        <is>
          <t xml:space="preserve">     Plazo de la línea de corto plazo (años)</t>
        </is>
      </c>
      <c r="C38" s="15" t="n">
        <v>1</v>
      </c>
      <c r="H38" s="16" t="inlineStr">
        <is>
          <t>Se paga íntegra dentro del Año 1</t>
        </is>
      </c>
    </row>
    <row r="39">
      <c r="B39" s="14" t="inlineStr">
        <is>
          <t>Sistema de amortización</t>
        </is>
      </c>
      <c r="C39" s="21" t="inlineStr">
        <is>
          <t>Francés (cuota total constante)</t>
        </is>
      </c>
      <c r="H39" s="16" t="inlineStr">
        <is>
          <t>XII.3.4</t>
        </is>
      </c>
    </row>
    <row r="40">
      <c r="B40" s="14" t="inlineStr">
        <is>
          <t>Financiamiento del Estado (subsidio no reembolsable)</t>
        </is>
      </c>
      <c r="C40" s="18" t="n">
        <v>0</v>
      </c>
      <c r="H40" s="16" t="inlineStr">
        <is>
          <t>Por decisión explícita: el proyecto no depende de un fondo CORFO</t>
        </is>
      </c>
    </row>
    <row r="42" ht="19.05" customHeight="1" s="77">
      <c r="B42" s="76" t="inlineStr">
        <is>
          <t>5. ACTIVO FIJO, DEPRECIACIÓN Y REMUNERACIONES</t>
        </is>
      </c>
    </row>
    <row r="43" ht="30" customHeight="1" s="77">
      <c r="B43" s="2" t="inlineStr">
        <is>
          <t>Parámetro</t>
        </is>
      </c>
      <c r="C43" s="2" t="inlineStr">
        <is>
          <t>Valor adoptado</t>
        </is>
      </c>
      <c r="H43" s="2" t="inlineStr">
        <is>
          <t>Origen</t>
        </is>
      </c>
    </row>
    <row r="44">
      <c r="B44" s="14" t="inlineStr">
        <is>
          <t>Vida útil — equipamiento técnico e informático (años)</t>
        </is>
      </c>
      <c r="C44" s="15" t="n">
        <v>6</v>
      </c>
      <c r="H44" s="16" t="inlineStr">
        <is>
          <t>Tabla de vida útil de bienes físicos del SII [59]</t>
        </is>
      </c>
    </row>
    <row r="45">
      <c r="B45" s="14" t="inlineStr">
        <is>
          <t>Vida útil — mobiliario de taller y almacenamiento (años)</t>
        </is>
      </c>
      <c r="C45" s="15" t="n">
        <v>7</v>
      </c>
      <c r="H45" s="16" t="inlineStr">
        <is>
          <t>Tabla de vida útil de bienes físicos del SII [59]</t>
        </is>
      </c>
    </row>
    <row r="46">
      <c r="B46" s="14" t="inlineStr">
        <is>
          <t>Valor residual del activo fijo</t>
        </is>
      </c>
      <c r="C46" s="18" t="n">
        <v>0</v>
      </c>
      <c r="H46" s="16" t="inlineStr">
        <is>
          <t>Supuesto del modelo</t>
        </is>
      </c>
    </row>
    <row r="47">
      <c r="B47" s="14" t="inlineStr">
        <is>
          <t>Sueldo empresarial por socio, Año 1 (IMM bruto mensual)</t>
        </is>
      </c>
      <c r="C47" s="18" t="n">
        <v>553553</v>
      </c>
      <c r="H47" s="16" t="inlineStr">
        <is>
          <t>Ingreso Mínimo Mensual vigente desde mayo de 2026</t>
        </is>
      </c>
    </row>
    <row r="48">
      <c r="B48" s="14" t="inlineStr">
        <is>
          <t>Socios fundadores con sueldo desde el mes 1</t>
        </is>
      </c>
      <c r="C48" s="15" t="n">
        <v>2</v>
      </c>
      <c r="H48" s="16" t="inlineStr">
        <is>
          <t>Condición impuesta: ningún año sin retiro</t>
        </is>
      </c>
    </row>
    <row r="50" ht="24" customHeight="1" s="77">
      <c r="B50" s="81" t="inlineStr">
        <is>
          <t>Los tres supuestos que reconstruyeron este modelo (XII.1): la sonda de suelo cuesta $48.000 y no $16.500; los dos socios se pagan el IMM desde el mes 1; y el financiamiento es pie de los socios más crédito bancario, sin subsidio estatal.</t>
        </is>
      </c>
    </row>
  </sheetData>
  <mergeCells count="8">
    <mergeCell ref="B14:H14"/>
    <mergeCell ref="B50:H50"/>
    <mergeCell ref="B4:H4"/>
    <mergeCell ref="B24:H24"/>
    <mergeCell ref="B2:H2"/>
    <mergeCell ref="B29:H29"/>
    <mergeCell ref="B42:H42"/>
    <mergeCell ref="B3:H3"/>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3.xml><?xml version="1.0" encoding="utf-8"?>
<worksheet xmlns="http://schemas.openxmlformats.org/spreadsheetml/2006/main">
  <sheetPr>
    <tabColor rgb="FF74C69D"/>
    <outlinePr summaryBelow="1" summaryRight="1"/>
    <pageSetUpPr fitToPage="1"/>
  </sheetPr>
  <dimension ref="B2:F40"/>
  <sheetViews>
    <sheetView showGridLines="0" topLeftCell="A24" workbookViewId="0">
      <selection activeCell="C9" sqref="C9"/>
    </sheetView>
  </sheetViews>
  <sheetFormatPr baseColWidth="10" defaultColWidth="8.88671875" defaultRowHeight="14.4"/>
  <cols>
    <col width="2" customWidth="1" style="77" min="1" max="1"/>
    <col width="60" customWidth="1" style="77" min="2" max="2"/>
    <col width="46" customWidth="1" style="77" min="3" max="3"/>
    <col width="18" customWidth="1" style="77" min="4" max="5"/>
    <col width="46" customWidth="1" style="77" min="6" max="6"/>
  </cols>
  <sheetData>
    <row r="2" ht="25.95" customHeight="1" s="77">
      <c r="B2" s="79" t="inlineStr">
        <is>
          <t>ESTRUCTURA DE COSTOS UNITARIOS</t>
        </is>
      </c>
    </row>
    <row r="3">
      <c r="B3" s="78" t="inlineStr">
        <is>
          <t>README XII.2 · 100 % SMD, componentes cotizados en LCSC y PCBA en JLCPCB</t>
        </is>
      </c>
    </row>
    <row r="4" ht="19.05" customHeight="1" s="77">
      <c r="B4" s="76" t="inlineStr">
        <is>
          <t>1. LISTA DE MATERIALES (BOM) UNITARIA</t>
        </is>
      </c>
    </row>
    <row r="5" ht="30" customHeight="1" s="77">
      <c r="B5" s="2" t="inlineStr">
        <is>
          <t>Componente</t>
        </is>
      </c>
      <c r="C5" s="2" t="inlineStr">
        <is>
          <t>Fuente / detalle</t>
        </is>
      </c>
      <c r="D5" s="2" t="inlineStr">
        <is>
          <t>Costo unitario $</t>
        </is>
      </c>
    </row>
    <row r="6" ht="27.6" customHeight="1" s="77">
      <c r="B6" s="22" t="inlineStr">
        <is>
          <t>ESP32-WROOM-32E-N4, BME280, SP3485, TP4056, MT3608, Si2301 + pasivos</t>
        </is>
      </c>
      <c r="C6" s="16" t="inlineStr">
        <is>
          <t>LCSC, precio unitario a pieza suelta</t>
        </is>
      </c>
      <c r="D6" s="23" t="n">
        <v>6711</v>
      </c>
    </row>
    <row r="7">
      <c r="B7" s="22" t="inlineStr">
        <is>
          <t>PCB de 2 capas + ensamblaje SMT + NRE prorrateado</t>
        </is>
      </c>
      <c r="C7" s="16" t="inlineStr">
        <is>
          <t>JLCPCB turnkey</t>
        </is>
      </c>
      <c r="D7" s="23" t="n">
        <v>2229</v>
      </c>
    </row>
    <row r="8">
      <c r="B8" s="22" t="inlineStr">
        <is>
          <t>Flete internacional + arancel del 6 %</t>
        </is>
      </c>
      <c r="C8" s="16" t="inlineStr">
        <is>
          <t>Courier consolidado sobre el lote electrónico</t>
        </is>
      </c>
      <c r="D8" s="23" t="n">
        <v>1183</v>
      </c>
    </row>
    <row r="9">
      <c r="B9" s="22" t="inlineStr">
        <is>
          <t>2× celda 18650 de 3.000 mAh + portacelda + fusible</t>
        </is>
      </c>
      <c r="C9" s="16" t="inlineStr">
        <is>
          <t>Cotización de mercado</t>
        </is>
      </c>
      <c r="D9" s="23" t="n">
        <v>4510</v>
      </c>
    </row>
    <row r="10" ht="27.6" customHeight="1" s="77">
      <c r="B10" s="22" t="inlineStr">
        <is>
          <t>USB-C sellado, rocker, pulsador PAIR, prensaestopas M12, O-ring, insertos M3</t>
        </is>
      </c>
      <c r="C10" s="16" t="inlineStr">
        <is>
          <t>Cotización de mercado</t>
        </is>
      </c>
      <c r="D10" s="23" t="n">
        <v>3250</v>
      </c>
    </row>
    <row r="11">
      <c r="B11" s="22" t="inlineStr">
        <is>
          <t>Filamento PETG (118 g) + energía de impresión</t>
        </is>
      </c>
      <c r="C11" s="16" t="inlineStr">
        <is>
          <t>Inversión y consumo propios (estimación)</t>
        </is>
      </c>
      <c r="D11" s="23" t="n">
        <v>2273</v>
      </c>
    </row>
    <row r="12">
      <c r="B12" s="22" t="inlineStr">
        <is>
          <t>Empaque: caja, manual, espuma y desecante</t>
        </is>
      </c>
      <c r="C12" s="16" t="inlineStr">
        <is>
          <t>Estimación propia</t>
        </is>
      </c>
      <c r="D12" s="23" t="n">
        <v>2500</v>
      </c>
    </row>
    <row r="13">
      <c r="B13" s="22" t="inlineStr">
        <is>
          <t>Sonda de suelo 7-en-1 RS-485, acero inoxidable 316L</t>
        </is>
      </c>
      <c r="C13" s="16" t="inlineStr">
        <is>
          <t>Cotización real de mercado</t>
        </is>
      </c>
      <c r="D13" s="23" t="n">
        <v>48000</v>
      </c>
    </row>
    <row r="14">
      <c r="B14" s="24" t="inlineStr">
        <is>
          <t>BOM TOTAL</t>
        </is>
      </c>
      <c r="C14" s="24" t="n"/>
      <c r="D14" s="25">
        <f>SUM(D6:D13)</f>
        <v/>
      </c>
    </row>
    <row r="15" ht="36" customHeight="1" s="77">
      <c r="B15" s="81" t="inlineStr">
        <is>
          <t>El BOM subió de $43.773 a $70.656 (+61 %) casi enteramente por la sonda ($16.500 → $48.000, la cifra real de mercado). La electrónica en sí bajó al pasar todo a componentes SMD cotizados directo en LCSC en vez de módulos premontados.</t>
        </is>
      </c>
    </row>
    <row r="17" ht="19.05" customHeight="1" s="77">
      <c r="B17" s="76" t="inlineStr">
        <is>
          <t>2. DEL BOM AL COSTO VARIABLE UNITARIO ENTREGADO (AÑO 1)</t>
        </is>
      </c>
    </row>
    <row r="18" ht="30" customHeight="1" s="77">
      <c r="B18" s="2" t="inlineStr">
        <is>
          <t>Concepto</t>
        </is>
      </c>
      <c r="C18" s="2" t="inlineStr">
        <is>
          <t>Cálculo</t>
        </is>
      </c>
      <c r="D18" s="2" t="inlineStr">
        <is>
          <t>Monto $</t>
        </is>
      </c>
    </row>
    <row r="19">
      <c r="B19" s="14" t="inlineStr">
        <is>
          <t>BOM</t>
        </is>
      </c>
      <c r="C19" s="16" t="inlineStr">
        <is>
          <t>Total del cuadro 1</t>
        </is>
      </c>
      <c r="D19" s="23">
        <f>D14</f>
        <v/>
      </c>
    </row>
    <row r="20">
      <c r="B20" s="14" t="inlineStr">
        <is>
          <t>(+) Flete nacional al cliente (Bluexpress)</t>
        </is>
      </c>
      <c r="C20" s="16" t="inlineStr">
        <is>
          <t>Parámetro</t>
        </is>
      </c>
      <c r="D20" s="23">
        <f>PARÁMETROS!C22</f>
        <v/>
      </c>
    </row>
    <row r="21">
      <c r="B21" s="14" t="inlineStr">
        <is>
          <t>(+) Merma y scrap (3 %)</t>
        </is>
      </c>
      <c r="C21" s="16" t="inlineStr">
        <is>
          <t>BOM × 3 %</t>
        </is>
      </c>
      <c r="D21" s="23">
        <f>ROUND(D19*PARÁMETROS!C18,0)</f>
        <v/>
      </c>
    </row>
    <row r="22">
      <c r="B22" s="14" t="inlineStr">
        <is>
          <t>(+) Provisión de garantía legal, 6 meses (5 %)</t>
        </is>
      </c>
      <c r="C22" s="16" t="inlineStr">
        <is>
          <t>BOM × 5 %</t>
        </is>
      </c>
      <c r="D22" s="23">
        <f>ROUND(D19*PARÁMETROS!C19,0)</f>
        <v/>
      </c>
    </row>
    <row r="23">
      <c r="B23" s="14" t="inlineStr">
        <is>
          <t>(+) Mano de obra directa: ensamblaje, QA y calibración</t>
        </is>
      </c>
      <c r="C23" s="16" t="inlineStr">
        <is>
          <t>1,5 h × $6.000 por hora</t>
        </is>
      </c>
      <c r="D23" s="23">
        <f>PARÁMETROS!C20*PARÁMETROS!C21</f>
        <v/>
      </c>
    </row>
    <row r="24">
      <c r="B24" s="24" t="inlineStr">
        <is>
          <t>(=) COSTO VARIABLE UNITARIO — AÑO 1</t>
        </is>
      </c>
      <c r="C24" s="24" t="n"/>
      <c r="D24" s="25">
        <f>SUM(D19:D23)</f>
        <v/>
      </c>
    </row>
    <row r="25" ht="24" customHeight="1" s="77">
      <c r="B25" s="81" t="inlineStr">
        <is>
          <t>El IVA de importación no es un costo: se compensa como crédito fiscal contra el IVA débito de las ventas. Todo el modelo trabaja en valores netos, sin IVA, tanto en ingresos como en costos.</t>
        </is>
      </c>
    </row>
    <row r="27" ht="19.05" customHeight="1" s="77">
      <c r="B27" s="76" t="inlineStr">
        <is>
          <t>3. CURVA DE COSTO VARIABLE UNITARIO POR ESCALA</t>
        </is>
      </c>
    </row>
    <row r="28" ht="30" customHeight="1" s="77">
      <c r="B28" s="2" t="inlineStr">
        <is>
          <t>Año</t>
        </is>
      </c>
      <c r="C28" s="2" t="inlineStr">
        <is>
          <t>Unidades planificadas</t>
        </is>
      </c>
      <c r="D28" s="2" t="inlineStr">
        <is>
          <t>Factor</t>
        </is>
      </c>
      <c r="E28" s="2" t="inlineStr">
        <is>
          <t>Costo variable unitario $</t>
        </is>
      </c>
      <c r="F28" s="2" t="inlineStr">
        <is>
          <t>Origen de la reducción</t>
        </is>
      </c>
    </row>
    <row r="29">
      <c r="B29" s="26" t="inlineStr">
        <is>
          <t>Año 1</t>
        </is>
      </c>
      <c r="C29" s="27">
        <f>PARÁMETROS!C26</f>
        <v/>
      </c>
      <c r="D29" s="20">
        <f>PARÁMETROS!C27</f>
        <v/>
      </c>
      <c r="E29" s="7">
        <f>ROUND($D$24*D29,0)</f>
        <v/>
      </c>
      <c r="F29" s="16" t="inlineStr">
        <is>
          <t>Sin reducción — es el costo base del Año 1</t>
        </is>
      </c>
    </row>
    <row r="30">
      <c r="B30" s="26" t="inlineStr">
        <is>
          <t>Año 2</t>
        </is>
      </c>
      <c r="C30" s="27">
        <f>PARÁMETROS!D26</f>
        <v/>
      </c>
      <c r="D30" s="20">
        <f>PARÁMETROS!D27</f>
        <v/>
      </c>
      <c r="E30" s="7">
        <f>ROUND($D$24*D30,0)</f>
        <v/>
      </c>
      <c r="F30" s="16" t="inlineStr">
        <is>
          <t>NRE de PCB amortizado en un lote mayor</t>
        </is>
      </c>
    </row>
    <row r="31">
      <c r="B31" s="26" t="inlineStr">
        <is>
          <t>Año 3</t>
        </is>
      </c>
      <c r="C31" s="27">
        <f>PARÁMETROS!E26</f>
        <v/>
      </c>
      <c r="D31" s="20">
        <f>PARÁMETROS!E27</f>
        <v/>
      </c>
      <c r="E31" s="7">
        <f>ROUND($D$24*D31,0)</f>
        <v/>
      </c>
      <c r="F31" s="16" t="inlineStr">
        <is>
          <t>Quiebres de precio por volumen en componentes LCSC</t>
        </is>
      </c>
    </row>
    <row r="32">
      <c r="B32" s="26" t="inlineStr">
        <is>
          <t>Año 4</t>
        </is>
      </c>
      <c r="C32" s="27">
        <f>PARÁMETROS!F26</f>
        <v/>
      </c>
      <c r="D32" s="20">
        <f>PARÁMETROS!F27</f>
        <v/>
      </c>
      <c r="E32" s="7">
        <f>ROUND($D$24*D32,0)</f>
        <v/>
      </c>
      <c r="F32" s="16" t="inlineStr">
        <is>
          <t>Consolidación de flete en lotes mayores</t>
        </is>
      </c>
    </row>
    <row r="33">
      <c r="B33" s="26" t="inlineStr">
        <is>
          <t>Año 5</t>
        </is>
      </c>
      <c r="C33" s="27">
        <f>PARÁMETROS!G26</f>
        <v/>
      </c>
      <c r="D33" s="20">
        <f>PARÁMETROS!G27</f>
        <v/>
      </c>
      <c r="E33" s="7">
        <f>ROUND($D$24*D33,0)</f>
        <v/>
      </c>
      <c r="F33" s="16" t="inlineStr">
        <is>
          <t>Negociación directa con el proveedor de la sonda</t>
        </is>
      </c>
    </row>
    <row r="35" ht="19.05" customHeight="1" s="77">
      <c r="B35" s="76" t="inlineStr">
        <is>
          <t>4. DESGLOSE DEL COSTO VARIABLE UNITARIO PARA EL CUADRO N° 2</t>
        </is>
      </c>
    </row>
    <row r="36" ht="30" customHeight="1" s="77">
      <c r="B36" s="2" t="inlineStr">
        <is>
          <t>Componente del costo variable</t>
        </is>
      </c>
      <c r="C36" s="2" t="inlineStr">
        <is>
          <t>Clasificación en el Cuadro N° 2</t>
        </is>
      </c>
      <c r="D36" s="2" t="inlineStr">
        <is>
          <t>Monto unitario $</t>
        </is>
      </c>
    </row>
    <row r="37">
      <c r="B37" s="14" t="inlineStr">
        <is>
          <t>Materiales directos (BOM)</t>
        </is>
      </c>
      <c r="C37" s="16" t="inlineStr">
        <is>
          <t>Costo operacional — materiales directos</t>
        </is>
      </c>
      <c r="D37" s="23">
        <f>D14</f>
        <v/>
      </c>
    </row>
    <row r="38">
      <c r="B38" s="14" t="inlineStr">
        <is>
          <t>Flete nacional, merma y provisión de garantía legal</t>
        </is>
      </c>
      <c r="C38" s="16" t="inlineStr">
        <is>
          <t>Costo operacional — otros costos variables</t>
        </is>
      </c>
      <c r="D38" s="23">
        <f>D20+D21+D22</f>
        <v/>
      </c>
    </row>
    <row r="39">
      <c r="B39" s="14" t="inlineStr">
        <is>
          <t>Mano de obra directa (ensamblaje, QA y calibración)</t>
        </is>
      </c>
      <c r="C39" s="16" t="inlineStr">
        <is>
          <t>Costo operacional — mano de obra directa</t>
        </is>
      </c>
      <c r="D39" s="23">
        <f>D23</f>
        <v/>
      </c>
    </row>
    <row r="40">
      <c r="B40" s="24" t="inlineStr">
        <is>
          <t>TOTAL COSTO VARIABLE UNITARIO</t>
        </is>
      </c>
      <c r="C40" s="24" t="n"/>
      <c r="D40" s="25">
        <f>SUM(D37:D39)</f>
        <v/>
      </c>
    </row>
  </sheetData>
  <mergeCells count="8">
    <mergeCell ref="B4:F4"/>
    <mergeCell ref="B2:F2"/>
    <mergeCell ref="B3:F3"/>
    <mergeCell ref="B15:D15"/>
    <mergeCell ref="B25:D25"/>
    <mergeCell ref="B17:F17"/>
    <mergeCell ref="B27:F27"/>
    <mergeCell ref="B35:F35"/>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4.xml><?xml version="1.0" encoding="utf-8"?>
<worksheet xmlns="http://schemas.openxmlformats.org/spreadsheetml/2006/main">
  <sheetPr>
    <tabColor rgb="FF2D6A4F"/>
    <outlinePr summaryBelow="1" summaryRight="1"/>
    <pageSetUpPr fitToPage="1"/>
  </sheetPr>
  <dimension ref="B2:H56"/>
  <sheetViews>
    <sheetView showGridLines="0" topLeftCell="A38" workbookViewId="0">
      <selection activeCell="B56" sqref="B56:H56"/>
    </sheetView>
  </sheetViews>
  <sheetFormatPr baseColWidth="10" defaultColWidth="8.88671875" defaultRowHeight="14.4"/>
  <cols>
    <col width="2" customWidth="1" style="77" min="1" max="1"/>
    <col width="66" customWidth="1" style="77" min="2" max="2"/>
    <col width="17" customWidth="1" style="77" min="3" max="3"/>
    <col width="15" customWidth="1" style="77" min="4" max="7"/>
    <col width="17" customWidth="1" style="77" min="8" max="8"/>
  </cols>
  <sheetData>
    <row r="2" ht="25.95" customHeight="1" s="77">
      <c r="B2" s="79" t="inlineStr">
        <is>
          <t>CUADRO N° 1 — INVERSIONES DEL PROYECTO</t>
        </is>
      </c>
    </row>
    <row r="3">
      <c r="B3" s="78" t="inlineStr">
        <is>
          <t>Álvaro Villena · Inversión inicial clasificada y sus fuentes de financiamiento (README XII.3)</t>
        </is>
      </c>
    </row>
    <row r="5">
      <c r="D5" s="82" t="inlineStr">
        <is>
          <t>FUENTES DE FINANCIAMIENTO</t>
        </is>
      </c>
    </row>
    <row r="6" ht="30" customHeight="1" s="77">
      <c r="D6" s="83" t="inlineStr">
        <is>
          <t>FINANCIAMIENTO DEL ESTADO</t>
        </is>
      </c>
      <c r="E6" s="29" t="inlineStr">
        <is>
          <t>CAPITAL</t>
        </is>
      </c>
      <c r="F6" s="83" t="inlineStr">
        <is>
          <t>FINANCIAMIENTO EXTERNO — INSTITUCIONES FINANCIERAS</t>
        </is>
      </c>
      <c r="G6" s="84" t="n"/>
      <c r="H6" s="29" t="inlineStr">
        <is>
          <t>TOTAL</t>
        </is>
      </c>
    </row>
    <row r="7" ht="30" customHeight="1" s="77">
      <c r="B7" s="30" t="inlineStr">
        <is>
          <t>INVERSIÓN INICIAL EN:</t>
        </is>
      </c>
      <c r="C7" s="2" t="inlineStr">
        <is>
          <t>MONTO $</t>
        </is>
      </c>
      <c r="D7" s="2" t="inlineStr">
        <is>
          <t>(no aplica)</t>
        </is>
      </c>
      <c r="E7" s="2" t="inlineStr">
        <is>
          <t>PROPIO — PIE DE LOS 2 SOCIOS</t>
        </is>
      </c>
      <c r="F7" s="2" t="inlineStr">
        <is>
          <t>CORTO PLAZO</t>
        </is>
      </c>
      <c r="G7" s="2" t="inlineStr">
        <is>
          <t>LARGO PLAZO</t>
        </is>
      </c>
      <c r="H7" s="2" t="inlineStr">
        <is>
          <t>FINANCIAMIENTO $</t>
        </is>
      </c>
    </row>
    <row r="9" ht="19.05" customHeight="1" s="77">
      <c r="B9" s="76" t="inlineStr">
        <is>
          <t>(A) INVERSIÓN INICIAL EN CAPITAL DE TRABAJO Y ACTIVO NOMINAL</t>
        </is>
      </c>
    </row>
    <row r="10">
      <c r="B10" s="31" t="inlineStr">
        <is>
          <t>Dinero para cubrir la puesta en marcha: constitución de la empresa, ensayos, patentes, marca y primer lote</t>
        </is>
      </c>
    </row>
    <row r="11">
      <c r="B11" s="31" t="inlineStr">
        <is>
          <t>Trámites y gastos de constituir la empresa, desglosados uno a uno — se deja en $0 lo que es gratuito o no aplica, no se omite:</t>
        </is>
      </c>
    </row>
    <row r="12">
      <c r="B12" s="14" t="inlineStr">
        <is>
          <t>Constitución de la SpA vía "Empresa en un Día" (trámite + notaría digital, 2 socios)</t>
        </is>
      </c>
      <c r="C12" s="23" t="n">
        <v>0</v>
      </c>
    </row>
    <row r="13">
      <c r="B13" s="14" t="inlineStr">
        <is>
          <t>Firma electrónica avanzada (FEA) para ambos socios</t>
        </is>
      </c>
      <c r="C13" s="23" t="n">
        <v>30000</v>
      </c>
    </row>
    <row r="14">
      <c r="B14" s="14" t="inlineStr">
        <is>
          <t>Inicio de actividades SII, timbraje electrónico y apertura de cuenta corriente empresa</t>
        </is>
      </c>
      <c r="C14" s="23" t="n">
        <v>0</v>
      </c>
    </row>
    <row r="15">
      <c r="B15" s="14" t="inlineStr">
        <is>
          <t>Registro de marca comercial ante INAPI (1 clase)</t>
        </is>
      </c>
      <c r="C15" s="23" t="n">
        <v>220000</v>
      </c>
    </row>
    <row r="16">
      <c r="B16" s="14" t="inlineStr">
        <is>
          <t>Patente municipal — permiso de actividad en casa, primer año</t>
        </is>
      </c>
      <c r="C16" s="23" t="n">
        <v>35000</v>
      </c>
    </row>
    <row r="17">
      <c r="B17" s="14" t="inlineStr">
        <is>
          <t>Resolución sanitaria y certificación SEC — no aplica (no es alimento/fármaco ni equipo conectado a la red)</t>
        </is>
      </c>
      <c r="C17" s="23" t="n">
        <v>0</v>
      </c>
    </row>
    <row r="18">
      <c r="B18" s="14" t="inlineStr">
        <is>
          <t>Honorarios contables de puesta en marcha (aparte de la asesoría mensual, ver GASTOS FIJOS)</t>
        </is>
      </c>
      <c r="C18" s="23" t="n">
        <v>100000</v>
      </c>
    </row>
    <row r="19" ht="25.95" customHeight="1" s="77">
      <c r="B19" s="14" t="inlineStr">
        <is>
          <t>Ensayos de contraste agronómico en laboratorio (30 muestras)</t>
        </is>
      </c>
      <c r="C19" s="23" t="n">
        <v>900000</v>
      </c>
    </row>
    <row r="20">
      <c r="B20" s="14" t="inlineStr">
        <is>
          <t>Ensayos externos de estanqueidad IP67 y compatibilidad electromagnética</t>
        </is>
      </c>
      <c r="C20" s="23" t="n">
        <v>1500000</v>
      </c>
    </row>
    <row r="21">
      <c r="B21" s="14" t="inlineStr">
        <is>
          <t>Sitio web e-commerce (Shopify), identidad de marca y material comercial</t>
        </is>
      </c>
      <c r="C21" s="23" t="n">
        <v>450000</v>
      </c>
    </row>
    <row r="22" ht="19.05" customHeight="1" s="77">
      <c r="B22" s="14" t="inlineStr">
        <is>
          <t>Patrones de calibración (buffers de pH y EC 1.413 µS/cm)</t>
        </is>
      </c>
      <c r="C22" s="23" t="n">
        <v>120000</v>
      </c>
    </row>
    <row r="23">
      <c r="B23" s="14" t="inlineStr">
        <is>
          <t>Herramienta menor, tornillería, insertos y consumibles</t>
        </is>
      </c>
      <c r="C23" s="23" t="n">
        <v>150000</v>
      </c>
    </row>
    <row r="24">
      <c r="B24" s="14" t="inlineStr">
        <is>
          <t>Lote piloto de validación (10 unidades preserie × costo variable unitario)</t>
        </is>
      </c>
      <c r="C24" s="23">
        <f>10*'COSTOS UNITARIOS'!$D$24</f>
        <v/>
      </c>
    </row>
    <row r="25">
      <c r="B25" s="14" t="inlineStr">
        <is>
          <t>Subtotal activo nominal</t>
        </is>
      </c>
      <c r="C25" s="23">
        <f>SUM(C12:C24)</f>
        <v/>
      </c>
    </row>
    <row r="26">
      <c r="B26" s="14" t="inlineStr">
        <is>
          <t>Capital de trabajo (≈3 meses de gasto fijo pleno + primer lote de 100 unidades pagado por adelantado)</t>
        </is>
      </c>
      <c r="C26" s="23" t="n">
        <v>14806910</v>
      </c>
    </row>
    <row r="27">
      <c r="B27" s="14" t="inlineStr">
        <is>
          <t>Contingencia / imprevistos (10 % sobre el subtotal de la inversión, A + B)</t>
        </is>
      </c>
      <c r="C27" s="23">
        <f>ROUND(0.1*(C25+C26+C43),0)</f>
        <v/>
      </c>
    </row>
    <row r="28">
      <c r="B28" s="14" t="inlineStr">
        <is>
          <t>TOTAL CAPITAL DE TRABAJO, ACTIVO NOMINAL Y CONTINGENCIA   (A)</t>
        </is>
      </c>
      <c r="C28" s="23">
        <f>C25+C26+C27</f>
        <v/>
      </c>
      <c r="D28">
        <f>PARÁMETROS!C40</f>
        <v/>
      </c>
      <c r="E28">
        <f>PARÁMETROS!C32</f>
        <v/>
      </c>
      <c r="F28">
        <f>PARÁMETROS!C36</f>
        <v/>
      </c>
      <c r="G28">
        <f>PARÁMETROS!C33-G43</f>
        <v/>
      </c>
      <c r="H28">
        <f>SUM(D28:G28)</f>
        <v/>
      </c>
    </row>
    <row r="29">
      <c r="B29" s="14" t="n"/>
      <c r="C29" s="23" t="n"/>
      <c r="D29" s="32" t="n"/>
    </row>
    <row r="30">
      <c r="B30" s="76" t="inlineStr">
        <is>
          <t>(B) INVERSIÓN INICIAL EN ACTIVO FIJO</t>
        </is>
      </c>
    </row>
    <row r="31">
      <c r="B31" s="31" t="inlineStr">
        <is>
          <t>No hay terrenos, construcciones ni vehículos: la producción cabe en la casa de los dos socios y la logística se resuelve por Bluexpress</t>
        </is>
      </c>
    </row>
    <row r="32">
      <c r="B32" s="14" t="inlineStr">
        <is>
          <t>Impresora 3D FDM principal, cámara cerrada</t>
        </is>
      </c>
      <c r="C32" s="23" t="n">
        <v>900000</v>
      </c>
      <c r="D32" t="inlineStr">
        <is>
          <t>Equipamiento</t>
        </is>
      </c>
    </row>
    <row r="33">
      <c r="B33" s="14" t="inlineStr">
        <is>
          <t>Impresora 3D FDM secundaria (redundancia operacional)</t>
        </is>
      </c>
      <c r="C33" s="23" t="n">
        <v>450000</v>
      </c>
      <c r="D33" t="inlineStr">
        <is>
          <t>Equipamiento</t>
        </is>
      </c>
    </row>
    <row r="34">
      <c r="B34" s="14" t="inlineStr">
        <is>
          <t>Secador de filamento y almacenamiento estanco</t>
        </is>
      </c>
      <c r="C34" s="23" t="n">
        <v>80000</v>
      </c>
      <c r="D34" t="inlineStr">
        <is>
          <t>Equipamiento</t>
        </is>
      </c>
    </row>
    <row r="35">
      <c r="B35" s="14" t="inlineStr">
        <is>
          <t>Estación de soldadura, aire caliente y microscopio USB</t>
        </is>
      </c>
      <c r="C35" s="23" t="n">
        <v>240000</v>
      </c>
      <c r="D35" t="inlineStr">
        <is>
          <t>Equipamiento</t>
        </is>
      </c>
    </row>
    <row r="36">
      <c r="B36" s="14" t="inlineStr">
        <is>
          <t>Fuente de poder programable y multímetro de banco</t>
        </is>
      </c>
      <c r="C36" s="23" t="n">
        <v>250000</v>
      </c>
      <c r="D36" t="inlineStr">
        <is>
          <t>Equipamiento</t>
        </is>
      </c>
    </row>
    <row r="37" ht="22.05" customHeight="1" s="77">
      <c r="B37" s="14" t="inlineStr">
        <is>
          <t>Osciloscopio de 100 MHz, 2 canales</t>
        </is>
      </c>
      <c r="C37" s="23" t="n">
        <v>400000</v>
      </c>
      <c r="D37" t="inlineStr">
        <is>
          <t>Equipamiento</t>
        </is>
      </c>
    </row>
    <row r="38">
      <c r="B38" s="14" t="inlineStr">
        <is>
          <t>Analizador lógico, programador y sonda de corriente de µA</t>
        </is>
      </c>
      <c r="C38" s="23" t="n">
        <v>160000</v>
      </c>
      <c r="D38" t="inlineStr">
        <is>
          <t>Equipamiento</t>
        </is>
      </c>
    </row>
    <row r="39">
      <c r="B39" s="14" t="inlineStr">
        <is>
          <t>Banco de ensayo IP67 (columna de 1 m + cámara de polvo)</t>
        </is>
      </c>
      <c r="C39" s="23" t="n">
        <v>180000</v>
      </c>
      <c r="D39" t="inlineStr">
        <is>
          <t>Equipamiento</t>
        </is>
      </c>
    </row>
    <row r="40">
      <c r="B40" s="14" t="inlineStr">
        <is>
          <t>Instrumento patrón de laboratorio (pH/EC)</t>
        </is>
      </c>
      <c r="C40" s="23" t="n">
        <v>350000</v>
      </c>
      <c r="D40" t="inlineStr">
        <is>
          <t>Equipamiento</t>
        </is>
      </c>
    </row>
    <row r="41" ht="19.05" customHeight="1" s="77">
      <c r="B41" s="14" t="inlineStr">
        <is>
          <t>2× notebook y puesto de desarrollo (uno por socio)</t>
        </is>
      </c>
      <c r="C41" s="23" t="n">
        <v>1600000</v>
      </c>
      <c r="D41" t="inlineStr">
        <is>
          <t>Equipamiento</t>
        </is>
      </c>
    </row>
    <row r="42" ht="30" customHeight="1" s="77">
      <c r="B42" s="14" t="inlineStr">
        <is>
          <t>Mobiliario de taller y almacenamiento (casa de ambos socios)</t>
        </is>
      </c>
      <c r="C42" s="23" t="n">
        <v>300000</v>
      </c>
      <c r="D42" t="inlineStr">
        <is>
          <t>Mobiliario</t>
        </is>
      </c>
    </row>
    <row r="43">
      <c r="B43" s="14" t="inlineStr">
        <is>
          <t>TOTAL ACTIVO FIJO   (B)</t>
        </is>
      </c>
      <c r="C43" s="23">
        <f>SUM(C32:C42)</f>
        <v/>
      </c>
      <c r="G43">
        <f>C43</f>
        <v/>
      </c>
      <c r="H43">
        <f>SUM(D43:G43)</f>
        <v/>
      </c>
    </row>
    <row r="44">
      <c r="B44" s="14" t="n"/>
      <c r="C44" s="23" t="n"/>
      <c r="D44" s="23" t="n"/>
      <c r="E44" s="23" t="n"/>
      <c r="F44" s="23" t="n"/>
      <c r="G44" s="23" t="n"/>
      <c r="H44" s="7" t="n"/>
    </row>
    <row r="45">
      <c r="B45" s="14" t="inlineStr">
        <is>
          <t>TOTAL INVERSIÓN INICIAL   (A) + (B)</t>
        </is>
      </c>
      <c r="C45" s="23">
        <f>C28+C43</f>
        <v/>
      </c>
      <c r="D45">
        <f>D28+D43</f>
        <v/>
      </c>
      <c r="E45">
        <f>E28+E43</f>
        <v/>
      </c>
      <c r="F45">
        <f>F28+F43</f>
        <v/>
      </c>
      <c r="G45">
        <f>G28+G43</f>
        <v/>
      </c>
      <c r="H45">
        <f>H28+H43</f>
        <v/>
      </c>
    </row>
    <row r="46">
      <c r="B46" s="14" t="inlineStr">
        <is>
          <t>Participación de cada fuente en el financiamiento</t>
        </is>
      </c>
      <c r="D46">
        <f>D45/$C$45</f>
        <v/>
      </c>
      <c r="E46">
        <f>E45/$C$45</f>
        <v/>
      </c>
      <c r="F46">
        <f>F45/$C$45</f>
        <v/>
      </c>
      <c r="G46">
        <f>G45/$C$45</f>
        <v/>
      </c>
      <c r="H46">
        <f>H45/$C$45</f>
        <v/>
      </c>
    </row>
    <row r="47">
      <c r="B47" s="14">
        <f>IF(H45=C45,"✔ VERIFICACIÓN: el financiamiento cubre exactamente la inversión inicial ("&amp;TEXT(C45,"$#,##0")&amp;")","✘ DESCUADRE entre inversión y financiamiento")</f>
        <v/>
      </c>
    </row>
    <row r="48" ht="24" customHeight="1" s="77">
      <c r="B48" s="81" t="n"/>
    </row>
    <row r="49">
      <c r="B49" s="76" t="inlineStr">
        <is>
          <t>MEMORIA DE CÁLCULO — RESUMEN (el detalle está en las hojas FINANCIAMIENTO, AMORTIZACIÓN y DEPRECIACIÓN)</t>
        </is>
      </c>
    </row>
    <row r="50">
      <c r="B50" s="14" t="inlineStr">
        <is>
          <t>Concepto</t>
        </is>
      </c>
      <c r="C50" s="23" t="inlineStr">
        <is>
          <t>Año 1</t>
        </is>
      </c>
      <c r="D50" t="inlineStr">
        <is>
          <t>Año 2</t>
        </is>
      </c>
      <c r="E50" t="inlineStr">
        <is>
          <t>Año 3</t>
        </is>
      </c>
      <c r="F50" t="inlineStr">
        <is>
          <t>Año 4</t>
        </is>
      </c>
      <c r="G50" t="inlineStr">
        <is>
          <t>Año 5</t>
        </is>
      </c>
      <c r="H50" t="inlineStr">
        <is>
          <t>Total 5 años</t>
        </is>
      </c>
    </row>
    <row r="51">
      <c r="B51" s="14" t="inlineStr">
        <is>
          <t>Amortización de intereses (costo financiero)</t>
        </is>
      </c>
      <c r="C51" s="23">
        <f>AMORTIZACIÓN!C30</f>
        <v/>
      </c>
      <c r="D51">
        <f>AMORTIZACIÓN!D30</f>
        <v/>
      </c>
      <c r="E51">
        <f>AMORTIZACIÓN!E30</f>
        <v/>
      </c>
      <c r="F51">
        <f>AMORTIZACIÓN!F30</f>
        <v/>
      </c>
      <c r="G51">
        <f>AMORTIZACIÓN!G30</f>
        <v/>
      </c>
      <c r="H51">
        <f>SUM(C51:G51)</f>
        <v/>
      </c>
    </row>
    <row r="52">
      <c r="B52" s="14" t="inlineStr">
        <is>
          <t>Amortización de la cuota de capital</t>
        </is>
      </c>
      <c r="C52" s="23">
        <f>AMORTIZACIÓN!C31</f>
        <v/>
      </c>
      <c r="D52">
        <f>AMORTIZACIÓN!D31</f>
        <v/>
      </c>
      <c r="E52">
        <f>AMORTIZACIÓN!E31</f>
        <v/>
      </c>
      <c r="F52">
        <f>AMORTIZACIÓN!F31</f>
        <v/>
      </c>
      <c r="G52">
        <f>AMORTIZACIÓN!G31</f>
        <v/>
      </c>
      <c r="H52">
        <f>SUM(C52:G52)</f>
        <v/>
      </c>
    </row>
    <row r="53">
      <c r="B53" s="14" t="inlineStr">
        <is>
          <t>Cuota total pagada al banco (salida de caja)</t>
        </is>
      </c>
      <c r="C53" s="23">
        <f>AMORTIZACIÓN!C32</f>
        <v/>
      </c>
      <c r="D53">
        <f>AMORTIZACIÓN!D32</f>
        <v/>
      </c>
      <c r="E53">
        <f>AMORTIZACIÓN!E32</f>
        <v/>
      </c>
      <c r="F53">
        <f>AMORTIZACIÓN!F32</f>
        <v/>
      </c>
      <c r="G53">
        <f>AMORTIZACIÓN!G32</f>
        <v/>
      </c>
      <c r="H53">
        <f>SUM(C53:G53)</f>
        <v/>
      </c>
    </row>
    <row r="54">
      <c r="B54" s="14" t="inlineStr">
        <is>
          <t>Cuota de depreciación anual del activo fijo</t>
        </is>
      </c>
      <c r="C54" s="23">
        <f>DEPRECIACIÓN!$E$23</f>
        <v/>
      </c>
      <c r="D54">
        <f>DEPRECIACIÓN!$E$23</f>
        <v/>
      </c>
      <c r="E54">
        <f>DEPRECIACIÓN!$E$23</f>
        <v/>
      </c>
      <c r="F54">
        <f>DEPRECIACIÓN!$E$23</f>
        <v/>
      </c>
      <c r="G54">
        <f>DEPRECIACIÓN!$E$23</f>
        <v/>
      </c>
      <c r="H54">
        <f>SUM(C54:G54)</f>
        <v/>
      </c>
    </row>
    <row r="56" ht="24" customHeight="1" s="77">
      <c r="B56" s="81" t="inlineStr">
        <is>
          <t>El Año 1 sigue concentrando la mayor carga de deuda porque la línea de corto plazo se paga entera ese año: financia cerca del 19 % de la inversión con deuda cara (ahora al 15 % anual, no 23 %, porque el monto es acotado y cuenta con garantía FOGAPE), y es la razón por la que el capital de trabajo se dimensionó con holgura. La inversión incorpora además un 10 % de contingencia/imprevistos (≈$2.413.500) sobre el subtotal A+B, financiado por el crédito de largo plazo, que actúa como saldo (inversión total menos pie menos línea corta).</t>
        </is>
      </c>
    </row>
  </sheetData>
  <mergeCells count="8">
    <mergeCell ref="B9:H9"/>
    <mergeCell ref="B56:H56"/>
    <mergeCell ref="B49:H49"/>
    <mergeCell ref="D5:H5"/>
    <mergeCell ref="B2:H2"/>
    <mergeCell ref="F6:G6"/>
    <mergeCell ref="B30:H30"/>
    <mergeCell ref="B3:H3"/>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5.xml><?xml version="1.0" encoding="utf-8"?>
<worksheet xmlns="http://schemas.openxmlformats.org/spreadsheetml/2006/main">
  <sheetPr>
    <tabColor rgb="FF2D6A4F"/>
    <outlinePr summaryBelow="1" summaryRight="1"/>
    <pageSetUpPr fitToPage="1"/>
  </sheetPr>
  <dimension ref="B2:F29"/>
  <sheetViews>
    <sheetView showGridLines="0" topLeftCell="A10" workbookViewId="0">
      <selection activeCell="A1" sqref="A1"/>
    </sheetView>
  </sheetViews>
  <sheetFormatPr baseColWidth="10" defaultColWidth="8.88671875" defaultRowHeight="14.4"/>
  <cols>
    <col width="2" customWidth="1" style="77" min="1" max="1"/>
    <col width="52" customWidth="1" style="77" min="2" max="2"/>
    <col width="22" customWidth="1" style="77" min="3" max="4"/>
    <col width="8" customWidth="1" style="77" min="5" max="5"/>
    <col width="60" customWidth="1" style="77" min="6" max="6"/>
  </cols>
  <sheetData>
    <row r="2" ht="25.95" customHeight="1" s="77">
      <c r="B2" s="79" t="inlineStr">
        <is>
          <t>FUENTES DE FINANCIAMIENTO Y CONDICIONES DEL CRÉDITO</t>
        </is>
      </c>
    </row>
    <row r="3">
      <c r="B3" s="78" t="inlineStr">
        <is>
          <t>README XII.3.3 · Pie de los dos socios + crédito bancario, sin subsidio estatal</t>
        </is>
      </c>
    </row>
    <row r="4" ht="19.05" customHeight="1" s="77">
      <c r="B4" s="76" t="inlineStr">
        <is>
          <t>1. FUENTES DE FINANCIAMIENTO</t>
        </is>
      </c>
    </row>
    <row r="5" ht="30" customHeight="1" s="77">
      <c r="B5" s="2" t="inlineStr">
        <is>
          <t>Fuente</t>
        </is>
      </c>
      <c r="C5" s="2" t="inlineStr">
        <is>
          <t>Monto $</t>
        </is>
      </c>
      <c r="D5" s="2" t="inlineStr">
        <is>
          <t>% del total</t>
        </is>
      </c>
      <c r="F5" s="2" t="inlineStr">
        <is>
          <t>Naturaleza</t>
        </is>
      </c>
    </row>
    <row r="6" ht="25.95" customHeight="1" s="77">
      <c r="B6" s="14" t="inlineStr">
        <is>
          <t>Pie de los socios (2 × $4.450.000, aporte propio)</t>
        </is>
      </c>
      <c r="C6" s="23">
        <f>PARÁMETROS!C32</f>
        <v/>
      </c>
      <c r="D6" s="36">
        <f>C6/$C$10</f>
        <v/>
      </c>
      <c r="F6" s="37" t="inlineStr">
        <is>
          <t>Pie de capital propio de los 2 socios (.450.000 c/u) depositado como patrimonio líquido en la cuenta corriente de la empresa</t>
        </is>
      </c>
    </row>
    <row r="7" ht="25.95" customHeight="1" s="77">
      <c r="B7" s="14" t="inlineStr">
        <is>
          <t>Crédito bancario de largo plazo — 5 años, 10 % anual</t>
        </is>
      </c>
      <c r="C7" s="23">
        <f>PARÁMETROS!C33</f>
        <v/>
      </c>
      <c r="D7" s="36">
        <f>C7/$C$10</f>
        <v/>
      </c>
      <c r="F7" s="37" t="inlineStr">
        <is>
          <t>Crédito comercial bancario a 5 años (60 meses) con cuota constante sistema francés (.336.642/año), con garantía FOGAPE y aval de los socios</t>
        </is>
      </c>
    </row>
    <row r="8" ht="25.95" customHeight="1" s="77">
      <c r="B8" s="14" t="inlineStr">
        <is>
          <t>Línea de corto plazo — 1 año, 15 % anual</t>
        </is>
      </c>
      <c r="C8" s="23">
        <f>PARÁMETROS!C36</f>
        <v/>
      </c>
      <c r="D8" s="36">
        <f>C8/$C$10</f>
        <v/>
      </c>
      <c r="F8" s="37" t="inlineStr">
        <is>
          <t>Cubre el desfase de caja mientras se paga el primer lote de sondas y electrónica; el monto es acotado (~$5 MM) y cuenta con garantía FOGAPE, por lo que el banco la aprueba a una tasa cercana a la de PYME garantizada y no a la de una línea de crédito de consumo sin garantía</t>
        </is>
      </c>
    </row>
    <row r="9" ht="25.95" customHeight="1" s="77">
      <c r="B9" s="14" t="inlineStr">
        <is>
          <t>Financiamiento del Estado (subsidio no reembolsable)</t>
        </is>
      </c>
      <c r="C9" s="23">
        <f>PARÁMETROS!C40</f>
        <v/>
      </c>
      <c r="D9" s="36">
        <f>C9/$C$10</f>
        <v/>
      </c>
      <c r="F9" s="37" t="inlineStr">
        <is>
          <t>Cero por decisión explícita: postular a CORFO sigue abierto, pero el proyecto debe poder sostenerse sin él</t>
        </is>
      </c>
    </row>
    <row r="10">
      <c r="B10" s="24" t="inlineStr">
        <is>
          <t>TOTAL FINANCIAMIENTO</t>
        </is>
      </c>
      <c r="C10" s="25">
        <f>SUM(C6:C9)</f>
        <v/>
      </c>
      <c r="D10" s="38">
        <f>SUM(D6:D9)</f>
        <v/>
      </c>
    </row>
    <row r="11">
      <c r="B11" s="39" t="inlineStr">
        <is>
          <t>Inversión inicial a financiar (hoja INVERSIONES)</t>
        </is>
      </c>
      <c r="C11" s="40">
        <f>INVERSIONES!C45</f>
        <v/>
      </c>
    </row>
    <row r="12">
      <c r="B12" s="35">
        <f>IF(C10=C11,"✔ VERIFICACIÓN: el financiamiento cubre exactamente la inversión inicial","✘ DESCUADRE entre financiamiento e inversión")</f>
        <v/>
      </c>
    </row>
    <row r="13" ht="24" customHeight="1" s="77">
      <c r="B13" s="81" t="inlineStr">
        <is>
          <t>Ningún banco chileno presta el 100 % de la inversión a una empresa recién constituida, aunque tenga garantía FOGAPE: la garantía cubre el riesgo del banco, no reemplaza el compromiso de capital propio. El ≈34 % de aporte de los socios es lo que hace aprobable el crédito.</t>
        </is>
      </c>
    </row>
    <row r="15" ht="19.05" customHeight="1" s="77">
      <c r="B15" s="76" t="inlineStr">
        <is>
          <t>2. CONDICIONES DE CADA CRÉDITO</t>
        </is>
      </c>
    </row>
    <row r="16" ht="30" customHeight="1" s="77">
      <c r="B16" s="2" t="inlineStr">
        <is>
          <t>Concepto</t>
        </is>
      </c>
      <c r="C16" s="2" t="inlineStr">
        <is>
          <t>Largo plazo</t>
        </is>
      </c>
      <c r="D16" s="2" t="inlineStr">
        <is>
          <t>Corto plazo</t>
        </is>
      </c>
      <c r="F16" s="2" t="inlineStr">
        <is>
          <t>Comentario</t>
        </is>
      </c>
    </row>
    <row r="17" ht="27.6" customHeight="1" s="77">
      <c r="B17" s="14" t="inlineStr">
        <is>
          <t>Tipo de fuente</t>
        </is>
      </c>
      <c r="C17" s="41" t="inlineStr">
        <is>
          <t>Crédito bancario PYME con garantía FOGAPE</t>
        </is>
      </c>
      <c r="D17" s="41" t="inlineStr">
        <is>
          <t>Línea de capital de trabajo</t>
        </is>
      </c>
      <c r="F17" s="16" t="inlineStr">
        <is>
          <t>Ambas de instituciones financieras</t>
        </is>
      </c>
    </row>
    <row r="18" ht="27.6" customHeight="1" s="77">
      <c r="B18" s="14" t="inlineStr">
        <is>
          <t>Sistema de amortización</t>
        </is>
      </c>
      <c r="C18" s="41" t="inlineStr">
        <is>
          <t>Francés (cuota total constante)</t>
        </is>
      </c>
      <c r="D18" s="41" t="inlineStr">
        <is>
          <t>Pago único al vencimiento</t>
        </is>
      </c>
      <c r="F18" s="16" t="inlineStr">
        <is>
          <t>XII.3.4</t>
        </is>
      </c>
    </row>
    <row r="19">
      <c r="B19" s="14" t="inlineStr">
        <is>
          <t>Monto del préstamo (capital / VA)</t>
        </is>
      </c>
      <c r="C19" s="42">
        <f>PARÁMETROS!C33</f>
        <v/>
      </c>
      <c r="D19" s="42">
        <f>PARÁMETROS!C36</f>
        <v/>
      </c>
      <c r="F19" s="16" t="inlineStr">
        <is>
          <t>Suman ≈66 % de la inversión</t>
        </is>
      </c>
    </row>
    <row r="20">
      <c r="B20" s="14" t="inlineStr">
        <is>
          <t>Tasa de interés anual</t>
        </is>
      </c>
      <c r="C20" s="43">
        <f>PARÁMETROS!C34</f>
        <v/>
      </c>
      <c r="D20" s="43">
        <f>PARÁMETROS!C37</f>
        <v/>
      </c>
      <c r="F20" s="16" t="inlineStr">
        <is>
          <t>La línea corta es deuda cara: se paga primero</t>
        </is>
      </c>
    </row>
    <row r="21">
      <c r="B21" s="14" t="inlineStr">
        <is>
          <t>Plazo (años)</t>
        </is>
      </c>
      <c r="C21" s="44">
        <f>PARÁMETROS!C35</f>
        <v/>
      </c>
      <c r="D21" s="44">
        <f>PARÁMETROS!C38</f>
        <v/>
      </c>
      <c r="F21" s="16" t="inlineStr">
        <is>
          <t>El corto plazo se extingue dentro del Año 1</t>
        </is>
      </c>
    </row>
    <row r="23" ht="19.05" customHeight="1" s="77">
      <c r="B23" s="76" t="inlineStr">
        <is>
          <t>3. RESULTADO DEL CRÉDITO</t>
        </is>
      </c>
    </row>
    <row r="24" ht="30" customHeight="1" s="77">
      <c r="B24" s="2" t="inlineStr">
        <is>
          <t>Concepto</t>
        </is>
      </c>
      <c r="C24" s="2" t="inlineStr">
        <is>
          <t>Largo plazo</t>
        </is>
      </c>
      <c r="D24" s="2" t="inlineStr">
        <is>
          <t>Corto plazo</t>
        </is>
      </c>
      <c r="F24" s="2" t="inlineStr">
        <is>
          <t>Fórmula</t>
        </is>
      </c>
    </row>
    <row r="25">
      <c r="B25" s="14" t="inlineStr">
        <is>
          <t>Cuota anual constante (sistema francés)</t>
        </is>
      </c>
      <c r="C25" s="7">
        <f>-PMT(C20,C21,C19)</f>
        <v/>
      </c>
      <c r="D25" s="7">
        <f>-PMT(D20,D21,D19)</f>
        <v/>
      </c>
      <c r="F25" s="16" t="inlineStr">
        <is>
          <t>PMT(tasa; plazo; capital)</t>
        </is>
      </c>
    </row>
    <row r="26">
      <c r="B26" s="14" t="inlineStr">
        <is>
          <t>Total de intereses pagados</t>
        </is>
      </c>
      <c r="C26" s="7">
        <f>C25*C21-C19</f>
        <v/>
      </c>
      <c r="D26" s="7">
        <f>D25*D21-D19</f>
        <v/>
      </c>
      <c r="F26" s="16" t="inlineStr">
        <is>
          <t>Cuota × plazo − capital</t>
        </is>
      </c>
    </row>
    <row r="27">
      <c r="B27" s="14" t="inlineStr">
        <is>
          <t>Total pagado al banco</t>
        </is>
      </c>
      <c r="C27" s="7">
        <f>C25*C21</f>
        <v/>
      </c>
      <c r="D27" s="7">
        <f>D25*D21</f>
        <v/>
      </c>
      <c r="F27" s="16" t="inlineStr">
        <is>
          <t>Capital + intereses</t>
        </is>
      </c>
    </row>
    <row r="28">
      <c r="B28" s="24" t="inlineStr">
        <is>
          <t>COSTO FINANCIERO TOTAL DEL PROYECTO (LP + CP)</t>
        </is>
      </c>
      <c r="C28" s="25">
        <f>C26+D26</f>
        <v/>
      </c>
      <c r="D28" s="24" t="n"/>
    </row>
    <row r="29" ht="24" customHeight="1" s="77">
      <c r="B29" s="81" t="inlineStr">
        <is>
          <t>Sin subsidio estatal, por decisión explícita: a diferencia de versiones anteriores del estudio, este modelo no depende de que se adjudique un fondo CORFO no reembolsable. Se financia enteramente con el aporte de los dos socios y crédito bancario.</t>
        </is>
      </c>
    </row>
  </sheetData>
  <mergeCells count="7">
    <mergeCell ref="B4:F4"/>
    <mergeCell ref="B29:F29"/>
    <mergeCell ref="B2:F2"/>
    <mergeCell ref="B15:F15"/>
    <mergeCell ref="B3:F3"/>
    <mergeCell ref="B23:F23"/>
    <mergeCell ref="B13:F13"/>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6.xml><?xml version="1.0" encoding="utf-8"?>
<worksheet xmlns="http://schemas.openxmlformats.org/spreadsheetml/2006/main">
  <sheetPr>
    <tabColor rgb="FF2D6A4F"/>
    <outlinePr summaryBelow="1" summaryRight="1"/>
    <pageSetUpPr fitToPage="1"/>
  </sheetPr>
  <dimension ref="B2:G35"/>
  <sheetViews>
    <sheetView showGridLines="0" topLeftCell="A16" workbookViewId="0">
      <selection activeCell="A1" sqref="A1"/>
    </sheetView>
  </sheetViews>
  <sheetFormatPr baseColWidth="10" defaultColWidth="8.88671875" defaultRowHeight="14.4"/>
  <cols>
    <col width="2" customWidth="1" style="77" min="1" max="1"/>
    <col width="40" customWidth="1" style="77" min="2" max="2"/>
    <col width="20" customWidth="1" style="77" min="3" max="7"/>
  </cols>
  <sheetData>
    <row r="2" ht="25.95" customHeight="1" s="77">
      <c r="B2" s="79" t="inlineStr">
        <is>
          <t>CÁLCULO DE LA AMORTIZACIÓN DE LOS PRÉSTAMOS Y LOS INTERESES</t>
        </is>
      </c>
    </row>
    <row r="3">
      <c r="B3" s="78" t="inlineStr">
        <is>
          <t>README XII.3.4 · Sistema francés: la cuota total es constante y la composición capital/interés cambia cada año</t>
        </is>
      </c>
    </row>
    <row r="4" ht="19.05" customHeight="1" s="77">
      <c r="B4" s="76" t="inlineStr">
        <is>
          <t>1. FINANCIAMIENTO A LARGO PLAZO — CRÉDITO BANCARIO CON GARANTÍA FOGAPE</t>
        </is>
      </c>
    </row>
    <row r="5">
      <c r="B5" s="14" t="inlineStr">
        <is>
          <t>Monto del préstamo (capital)</t>
        </is>
      </c>
      <c r="C5" s="7">
        <f>PARÁMETROS!C33</f>
        <v/>
      </c>
    </row>
    <row r="6">
      <c r="B6" s="14" t="inlineStr">
        <is>
          <t>Tasa de interés anual</t>
        </is>
      </c>
      <c r="C6" s="45">
        <f>PARÁMETROS!C34</f>
        <v/>
      </c>
    </row>
    <row r="7">
      <c r="B7" s="14" t="inlineStr">
        <is>
          <t>Plazo (años)</t>
        </is>
      </c>
      <c r="C7" s="11">
        <f>PARÁMETROS!C35</f>
        <v/>
      </c>
    </row>
    <row r="8">
      <c r="B8" s="6" t="inlineStr">
        <is>
          <t>Cuota anual constante</t>
        </is>
      </c>
      <c r="C8" s="7">
        <f>-PMT(C6,C7,C5)</f>
        <v/>
      </c>
    </row>
    <row r="10" ht="30" customHeight="1" s="77">
      <c r="B10" s="2" t="inlineStr">
        <is>
          <t>Período (año)</t>
        </is>
      </c>
      <c r="C10" s="2" t="inlineStr">
        <is>
          <t>Saldo insoluto $</t>
        </is>
      </c>
      <c r="D10" s="2" t="inlineStr">
        <is>
          <t>Cuota total $</t>
        </is>
      </c>
      <c r="E10" s="2" t="inlineStr">
        <is>
          <t>Amortización interés $</t>
        </is>
      </c>
      <c r="F10" s="2" t="inlineStr">
        <is>
          <t>Amortización cuota capital $</t>
        </is>
      </c>
      <c r="G10" s="2" t="inlineStr">
        <is>
          <t>Saldo final $</t>
        </is>
      </c>
    </row>
    <row r="11">
      <c r="B11" s="26" t="n">
        <v>1</v>
      </c>
      <c r="C11" s="23">
        <f>$C$5</f>
        <v/>
      </c>
      <c r="D11" s="23">
        <f>$C$8</f>
        <v/>
      </c>
      <c r="E11" s="23">
        <f>C11*$C$6</f>
        <v/>
      </c>
      <c r="F11" s="23">
        <f>D11-E11</f>
        <v/>
      </c>
      <c r="G11" s="23">
        <f>C11-F11</f>
        <v/>
      </c>
    </row>
    <row r="12">
      <c r="B12" s="26" t="n">
        <v>2</v>
      </c>
      <c r="C12" s="23">
        <f>G11</f>
        <v/>
      </c>
      <c r="D12" s="23">
        <f>$C$8</f>
        <v/>
      </c>
      <c r="E12" s="23">
        <f>C12*$C$6</f>
        <v/>
      </c>
      <c r="F12" s="23">
        <f>D12-E12</f>
        <v/>
      </c>
      <c r="G12" s="23">
        <f>C12-F12</f>
        <v/>
      </c>
    </row>
    <row r="13">
      <c r="B13" s="26" t="n">
        <v>3</v>
      </c>
      <c r="C13" s="23">
        <f>G12</f>
        <v/>
      </c>
      <c r="D13" s="23">
        <f>$C$8</f>
        <v/>
      </c>
      <c r="E13" s="23">
        <f>C13*$C$6</f>
        <v/>
      </c>
      <c r="F13" s="23">
        <f>D13-E13</f>
        <v/>
      </c>
      <c r="G13" s="23">
        <f>C13-F13</f>
        <v/>
      </c>
    </row>
    <row r="14">
      <c r="B14" s="26" t="n">
        <v>4</v>
      </c>
      <c r="C14" s="23">
        <f>G13</f>
        <v/>
      </c>
      <c r="D14" s="23">
        <f>$C$8</f>
        <v/>
      </c>
      <c r="E14" s="23">
        <f>C14*$C$6</f>
        <v/>
      </c>
      <c r="F14" s="23">
        <f>D14-E14</f>
        <v/>
      </c>
      <c r="G14" s="23">
        <f>C14-F14</f>
        <v/>
      </c>
    </row>
    <row r="15">
      <c r="B15" s="26" t="n">
        <v>5</v>
      </c>
      <c r="C15" s="23">
        <f>G14</f>
        <v/>
      </c>
      <c r="D15" s="23">
        <f>$C$8</f>
        <v/>
      </c>
      <c r="E15" s="23">
        <f>C15*$C$6</f>
        <v/>
      </c>
      <c r="F15" s="23">
        <f>D15-E15</f>
        <v/>
      </c>
      <c r="G15" s="23">
        <f>C15-F15</f>
        <v/>
      </c>
    </row>
    <row r="16">
      <c r="B16" s="24" t="inlineStr">
        <is>
          <t>TOTALES</t>
        </is>
      </c>
      <c r="C16" s="24" t="n"/>
      <c r="D16" s="25">
        <f>SUM(D11:D15)</f>
        <v/>
      </c>
      <c r="E16" s="25">
        <f>SUM(E11:E15)</f>
        <v/>
      </c>
      <c r="F16" s="25">
        <f>SUM(F11:F15)</f>
        <v/>
      </c>
      <c r="G16" s="24" t="n"/>
    </row>
    <row r="18" ht="19.05" customHeight="1" s="77">
      <c r="B18" s="76" t="inlineStr">
        <is>
          <t>2. FINANCIAMIENTO A CORTO PLAZO — LÍNEA DE CAPITAL DE TRABAJO</t>
        </is>
      </c>
    </row>
    <row r="19">
      <c r="B19" s="14" t="inlineStr">
        <is>
          <t>Monto del préstamo (capital)</t>
        </is>
      </c>
      <c r="C19" s="7">
        <f>PARÁMETROS!C36</f>
        <v/>
      </c>
    </row>
    <row r="20">
      <c r="B20" s="14" t="inlineStr">
        <is>
          <t>Tasa de interés anual</t>
        </is>
      </c>
      <c r="C20" s="45">
        <f>PARÁMETROS!C37</f>
        <v/>
      </c>
    </row>
    <row r="21">
      <c r="B21" s="14" t="inlineStr">
        <is>
          <t>Plazo (años)</t>
        </is>
      </c>
      <c r="C21" s="11">
        <f>PARÁMETROS!C38</f>
        <v/>
      </c>
    </row>
    <row r="22">
      <c r="B22" s="6" t="inlineStr">
        <is>
          <t>Cuota anual constante</t>
        </is>
      </c>
      <c r="C22" s="7">
        <f>-PMT(C20,C21,C19)</f>
        <v/>
      </c>
    </row>
    <row r="24" ht="30" customHeight="1" s="77">
      <c r="B24" s="2" t="inlineStr">
        <is>
          <t>Período (año)</t>
        </is>
      </c>
      <c r="C24" s="2" t="inlineStr">
        <is>
          <t>Saldo insoluto $</t>
        </is>
      </c>
      <c r="D24" s="2" t="inlineStr">
        <is>
          <t>Cuota total $</t>
        </is>
      </c>
      <c r="E24" s="2" t="inlineStr">
        <is>
          <t>Amortización interés $</t>
        </is>
      </c>
      <c r="F24" s="2" t="inlineStr">
        <is>
          <t>Amortización cuota capital $</t>
        </is>
      </c>
      <c r="G24" s="2" t="inlineStr">
        <is>
          <t>Saldo final $</t>
        </is>
      </c>
    </row>
    <row r="25">
      <c r="B25" s="26" t="n">
        <v>1</v>
      </c>
      <c r="C25" s="23">
        <f>$C$19</f>
        <v/>
      </c>
      <c r="D25" s="23">
        <f>$C$22</f>
        <v/>
      </c>
      <c r="E25" s="23">
        <f>C25*$C$20</f>
        <v/>
      </c>
      <c r="F25" s="23">
        <f>D25-E25</f>
        <v/>
      </c>
      <c r="G25" s="23">
        <f>C25-F25</f>
        <v/>
      </c>
    </row>
    <row r="26">
      <c r="B26" s="24" t="inlineStr">
        <is>
          <t>TOTALES</t>
        </is>
      </c>
      <c r="C26" s="24" t="n"/>
      <c r="D26" s="25">
        <f>D25</f>
        <v/>
      </c>
      <c r="E26" s="25">
        <f>E25</f>
        <v/>
      </c>
      <c r="F26" s="25">
        <f>F25</f>
        <v/>
      </c>
      <c r="G26" s="24" t="n"/>
    </row>
    <row r="28" ht="19.05" customHeight="1" s="77">
      <c r="B28" s="76" t="inlineStr">
        <is>
          <t>3. COSTO FINANCIERO Y AMORTIZACIÓN DE CAPITAL CONSOLIDADOS (LO QUE USA EL CUADRO N° 3)</t>
        </is>
      </c>
    </row>
    <row r="29" ht="30" customHeight="1" s="77">
      <c r="B29" s="2" t="inlineStr">
        <is>
          <t>Concepto</t>
        </is>
      </c>
      <c r="C29" s="2" t="inlineStr">
        <is>
          <t>Año 1</t>
        </is>
      </c>
      <c r="D29" s="2" t="inlineStr">
        <is>
          <t>Año 2</t>
        </is>
      </c>
      <c r="E29" s="2" t="inlineStr">
        <is>
          <t>Año 3</t>
        </is>
      </c>
      <c r="F29" s="2" t="inlineStr">
        <is>
          <t>Año 4</t>
        </is>
      </c>
      <c r="G29" s="2" t="inlineStr">
        <is>
          <t>Año 5</t>
        </is>
      </c>
    </row>
    <row r="30">
      <c r="B30" s="6" t="inlineStr">
        <is>
          <t>Interés — costo financiero del ejercicio</t>
        </is>
      </c>
      <c r="C30" s="23">
        <f>E11+E25</f>
        <v/>
      </c>
      <c r="D30" s="23">
        <f>E12</f>
        <v/>
      </c>
      <c r="E30" s="23">
        <f>E13</f>
        <v/>
      </c>
      <c r="F30" s="23">
        <f>E14</f>
        <v/>
      </c>
      <c r="G30" s="23">
        <f>E15</f>
        <v/>
      </c>
    </row>
    <row r="31">
      <c r="B31" s="6" t="inlineStr">
        <is>
          <t>Amortización de la cuota de capital</t>
        </is>
      </c>
      <c r="C31" s="23">
        <f>F11+F25</f>
        <v/>
      </c>
      <c r="D31" s="23">
        <f>F12</f>
        <v/>
      </c>
      <c r="E31" s="23">
        <f>F13</f>
        <v/>
      </c>
      <c r="F31" s="23">
        <f>F14</f>
        <v/>
      </c>
      <c r="G31" s="23">
        <f>F15</f>
        <v/>
      </c>
    </row>
    <row r="32">
      <c r="B32" s="14" t="inlineStr">
        <is>
          <t>Cuota total pagada al banco (salida de caja)</t>
        </is>
      </c>
      <c r="C32" s="23">
        <f>C30+C31</f>
        <v/>
      </c>
      <c r="D32" s="23">
        <f>D30+D31</f>
        <v/>
      </c>
      <c r="E32" s="23">
        <f>E30+E31</f>
        <v/>
      </c>
      <c r="F32" s="23">
        <f>F30+F31</f>
        <v/>
      </c>
      <c r="G32" s="23">
        <f>G30+G31</f>
        <v/>
      </c>
    </row>
    <row r="33">
      <c r="B33" s="39" t="inlineStr">
        <is>
          <t>Saldo insoluto al cierre del ejercicio</t>
        </is>
      </c>
      <c r="C33" s="40">
        <f>G11+G25</f>
        <v/>
      </c>
      <c r="D33" s="40">
        <f>G12</f>
        <v/>
      </c>
      <c r="E33" s="40">
        <f>G13</f>
        <v/>
      </c>
      <c r="F33" s="40">
        <f>G14</f>
        <v/>
      </c>
      <c r="G33" s="40">
        <f>G15</f>
        <v/>
      </c>
    </row>
    <row r="35" ht="24" customHeight="1" s="77">
      <c r="B35" s="81" t="inlineStr">
        <is>
          <t>El Año 1 acumula el interés de ambos préstamos y la devolución íntegra de la línea de corto plazo: es el año de mayor carga financiera de todo el quinquenio, y el único con flujo de fondos negativo.</t>
        </is>
      </c>
    </row>
  </sheetData>
  <mergeCells count="6">
    <mergeCell ref="B3:G3"/>
    <mergeCell ref="B2:G2"/>
    <mergeCell ref="B28:G28"/>
    <mergeCell ref="B35:G35"/>
    <mergeCell ref="B4:G4"/>
    <mergeCell ref="B18:G18"/>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7.xml><?xml version="1.0" encoding="utf-8"?>
<worksheet xmlns="http://schemas.openxmlformats.org/spreadsheetml/2006/main">
  <sheetPr>
    <tabColor rgb="FF2D6A4F"/>
    <outlinePr summaryBelow="1" summaryRight="1"/>
    <pageSetUpPr fitToPage="1"/>
  </sheetPr>
  <dimension ref="B2:H25"/>
  <sheetViews>
    <sheetView showGridLines="0" topLeftCell="A7" workbookViewId="0">
      <selection activeCell="A1" sqref="A1"/>
    </sheetView>
  </sheetViews>
  <sheetFormatPr baseColWidth="10" defaultColWidth="8.88671875" defaultRowHeight="14.4"/>
  <cols>
    <col width="2" customWidth="1" style="77" min="1" max="1"/>
    <col width="58" customWidth="1" style="77" min="2" max="2"/>
    <col width="18" customWidth="1" style="77" min="3" max="4"/>
    <col width="16" customWidth="1" style="77" min="5" max="5"/>
    <col width="18" customWidth="1" style="77" min="6" max="6"/>
    <col width="20" customWidth="1" style="77" min="7" max="7"/>
    <col width="18" customWidth="1" style="77" min="8" max="8"/>
  </cols>
  <sheetData>
    <row r="2" ht="25.95" customHeight="1" s="77">
      <c r="B2" s="79" t="inlineStr">
        <is>
          <t>CÁLCULO DE LA CUOTA DE DEPRECIACIÓN ANUAL</t>
        </is>
      </c>
    </row>
    <row r="3">
      <c r="B3" s="78" t="inlineStr">
        <is>
          <t>README XII.3.5 · Depreciación lineal, valor residual cero, vidas útiles según la tabla del SII [59]</t>
        </is>
      </c>
    </row>
    <row r="4" ht="19.05" customHeight="1" s="77">
      <c r="B4" s="76" t="inlineStr">
        <is>
          <t>1. DETALLE DEL ACTIVO FIJO Y SU DEPRECIACIÓN</t>
        </is>
      </c>
    </row>
    <row r="5" ht="30" customHeight="1" s="77">
      <c r="B5" s="2" t="inlineStr">
        <is>
          <t>Componente del activo fijo</t>
        </is>
      </c>
      <c r="C5" s="2" t="inlineStr">
        <is>
          <t>Grupo</t>
        </is>
      </c>
      <c r="D5" s="2" t="inlineStr">
        <is>
          <t>Valor de adquisición $</t>
        </is>
      </c>
      <c r="E5" s="2" t="inlineStr">
        <is>
          <t>Vida útil (años)</t>
        </is>
      </c>
      <c r="F5" s="2" t="inlineStr">
        <is>
          <t>Depreciación anual $</t>
        </is>
      </c>
      <c r="G5" s="2" t="inlineStr">
        <is>
          <t>Depreciación acumulada a 5 años $</t>
        </is>
      </c>
      <c r="H5" s="2" t="inlineStr">
        <is>
          <t>Valor libro al Año 5 $</t>
        </is>
      </c>
    </row>
    <row r="6">
      <c r="B6" s="14">
        <f>INVERSIONES!B32</f>
        <v/>
      </c>
      <c r="C6" s="46">
        <f>INVERSIONES!D32</f>
        <v/>
      </c>
      <c r="D6" s="23">
        <f>INVERSIONES!C32</f>
        <v/>
      </c>
      <c r="E6" s="27">
        <f>IF(C6="Mobiliario",PARÁMETROS!$C$45,PARÁMETROS!$C$44)</f>
        <v/>
      </c>
      <c r="F6" s="23">
        <f>D6/E6</f>
        <v/>
      </c>
      <c r="G6" s="23">
        <f>F6*5</f>
        <v/>
      </c>
      <c r="H6" s="23">
        <f>D6-G6</f>
        <v/>
      </c>
    </row>
    <row r="7">
      <c r="B7" s="14">
        <f>INVERSIONES!B33</f>
        <v/>
      </c>
      <c r="C7" s="46">
        <f>INVERSIONES!D33</f>
        <v/>
      </c>
      <c r="D7" s="23">
        <f>INVERSIONES!C33</f>
        <v/>
      </c>
      <c r="E7" s="27">
        <f>IF(C7="Mobiliario",PARÁMETROS!$C$45,PARÁMETROS!$C$44)</f>
        <v/>
      </c>
      <c r="F7" s="23">
        <f>D7/E7</f>
        <v/>
      </c>
      <c r="G7" s="23">
        <f>F7*5</f>
        <v/>
      </c>
      <c r="H7" s="23">
        <f>D7-G7</f>
        <v/>
      </c>
    </row>
    <row r="8">
      <c r="B8" s="14">
        <f>INVERSIONES!B34</f>
        <v/>
      </c>
      <c r="C8" s="46">
        <f>INVERSIONES!D34</f>
        <v/>
      </c>
      <c r="D8" s="23">
        <f>INVERSIONES!C34</f>
        <v/>
      </c>
      <c r="E8" s="27">
        <f>IF(C8="Mobiliario",PARÁMETROS!$C$45,PARÁMETROS!$C$44)</f>
        <v/>
      </c>
      <c r="F8" s="23">
        <f>D8/E8</f>
        <v/>
      </c>
      <c r="G8" s="23">
        <f>F8*5</f>
        <v/>
      </c>
      <c r="H8" s="23">
        <f>D8-G8</f>
        <v/>
      </c>
    </row>
    <row r="9">
      <c r="B9" s="14">
        <f>INVERSIONES!B35</f>
        <v/>
      </c>
      <c r="C9" s="46">
        <f>INVERSIONES!D35</f>
        <v/>
      </c>
      <c r="D9" s="23">
        <f>INVERSIONES!C35</f>
        <v/>
      </c>
      <c r="E9" s="27">
        <f>IF(C9="Mobiliario",PARÁMETROS!$C$45,PARÁMETROS!$C$44)</f>
        <v/>
      </c>
      <c r="F9" s="23">
        <f>D9/E9</f>
        <v/>
      </c>
      <c r="G9" s="23">
        <f>F9*5</f>
        <v/>
      </c>
      <c r="H9" s="23">
        <f>D9-G9</f>
        <v/>
      </c>
    </row>
    <row r="10">
      <c r="B10" s="14">
        <f>INVERSIONES!B36</f>
        <v/>
      </c>
      <c r="C10" s="46">
        <f>INVERSIONES!D36</f>
        <v/>
      </c>
      <c r="D10" s="23">
        <f>INVERSIONES!C36</f>
        <v/>
      </c>
      <c r="E10" s="27">
        <f>IF(C10="Mobiliario",PARÁMETROS!$C$45,PARÁMETROS!$C$44)</f>
        <v/>
      </c>
      <c r="F10" s="23">
        <f>D10/E10</f>
        <v/>
      </c>
      <c r="G10" s="23">
        <f>F10*5</f>
        <v/>
      </c>
      <c r="H10" s="23">
        <f>D10-G10</f>
        <v/>
      </c>
    </row>
    <row r="11">
      <c r="B11" s="14">
        <f>INVERSIONES!B37</f>
        <v/>
      </c>
      <c r="C11" s="46">
        <f>INVERSIONES!D37</f>
        <v/>
      </c>
      <c r="D11" s="23">
        <f>INVERSIONES!C37</f>
        <v/>
      </c>
      <c r="E11" s="27">
        <f>IF(C11="Mobiliario",PARÁMETROS!$C$45,PARÁMETROS!$C$44)</f>
        <v/>
      </c>
      <c r="F11" s="23">
        <f>D11/E11</f>
        <v/>
      </c>
      <c r="G11" s="23">
        <f>F11*5</f>
        <v/>
      </c>
      <c r="H11" s="23">
        <f>D11-G11</f>
        <v/>
      </c>
    </row>
    <row r="12">
      <c r="B12" s="14">
        <f>INVERSIONES!B38</f>
        <v/>
      </c>
      <c r="C12" s="46">
        <f>INVERSIONES!D38</f>
        <v/>
      </c>
      <c r="D12" s="23">
        <f>INVERSIONES!C38</f>
        <v/>
      </c>
      <c r="E12" s="27">
        <f>IF(C12="Mobiliario",PARÁMETROS!$C$45,PARÁMETROS!$C$44)</f>
        <v/>
      </c>
      <c r="F12" s="23">
        <f>D12/E12</f>
        <v/>
      </c>
      <c r="G12" s="23">
        <f>F12*5</f>
        <v/>
      </c>
      <c r="H12" s="23">
        <f>D12-G12</f>
        <v/>
      </c>
    </row>
    <row r="13">
      <c r="B13" s="14">
        <f>INVERSIONES!B39</f>
        <v/>
      </c>
      <c r="C13" s="46">
        <f>INVERSIONES!D39</f>
        <v/>
      </c>
      <c r="D13" s="23">
        <f>INVERSIONES!C39</f>
        <v/>
      </c>
      <c r="E13" s="27">
        <f>IF(C13="Mobiliario",PARÁMETROS!$C$45,PARÁMETROS!$C$44)</f>
        <v/>
      </c>
      <c r="F13" s="23">
        <f>D13/E13</f>
        <v/>
      </c>
      <c r="G13" s="23">
        <f>F13*5</f>
        <v/>
      </c>
      <c r="H13" s="23">
        <f>D13-G13</f>
        <v/>
      </c>
    </row>
    <row r="14">
      <c r="B14" s="14">
        <f>INVERSIONES!B40</f>
        <v/>
      </c>
      <c r="C14" s="46">
        <f>INVERSIONES!D40</f>
        <v/>
      </c>
      <c r="D14" s="23">
        <f>INVERSIONES!C40</f>
        <v/>
      </c>
      <c r="E14" s="27">
        <f>IF(C14="Mobiliario",PARÁMETROS!$C$45,PARÁMETROS!$C$44)</f>
        <v/>
      </c>
      <c r="F14" s="23">
        <f>D14/E14</f>
        <v/>
      </c>
      <c r="G14" s="23">
        <f>F14*5</f>
        <v/>
      </c>
      <c r="H14" s="23">
        <f>D14-G14</f>
        <v/>
      </c>
    </row>
    <row r="15">
      <c r="B15" s="14">
        <f>INVERSIONES!B41</f>
        <v/>
      </c>
      <c r="C15" s="46">
        <f>INVERSIONES!D41</f>
        <v/>
      </c>
      <c r="D15" s="23">
        <f>INVERSIONES!C41</f>
        <v/>
      </c>
      <c r="E15" s="27">
        <f>IF(C15="Mobiliario",PARÁMETROS!$C$45,PARÁMETROS!$C$44)</f>
        <v/>
      </c>
      <c r="F15" s="23">
        <f>D15/E15</f>
        <v/>
      </c>
      <c r="G15" s="23">
        <f>F15*5</f>
        <v/>
      </c>
      <c r="H15" s="23">
        <f>D15-G15</f>
        <v/>
      </c>
    </row>
    <row r="16">
      <c r="B16" s="14">
        <f>INVERSIONES!B42</f>
        <v/>
      </c>
      <c r="C16" s="46">
        <f>INVERSIONES!D42</f>
        <v/>
      </c>
      <c r="D16" s="23">
        <f>INVERSIONES!C42</f>
        <v/>
      </c>
      <c r="E16" s="27">
        <f>IF(C16="Mobiliario",PARÁMETROS!$C$45,PARÁMETROS!$C$44)</f>
        <v/>
      </c>
      <c r="F16" s="23">
        <f>D16/E16</f>
        <v/>
      </c>
      <c r="G16" s="23">
        <f>F16*5</f>
        <v/>
      </c>
      <c r="H16" s="23">
        <f>D16-G16</f>
        <v/>
      </c>
    </row>
    <row r="17">
      <c r="B17" s="24" t="inlineStr">
        <is>
          <t>TOTAL ACTIVO FIJO</t>
        </is>
      </c>
      <c r="C17" s="24" t="n"/>
      <c r="D17" s="25">
        <f>SUM(D6:D16)</f>
        <v/>
      </c>
      <c r="E17" s="24" t="n"/>
      <c r="F17" s="25">
        <f>SUM(F6:F16)</f>
        <v/>
      </c>
      <c r="G17" s="25">
        <f>SUM(G6:G16)</f>
        <v/>
      </c>
      <c r="H17" s="25">
        <f>SUM(H6:H16)</f>
        <v/>
      </c>
    </row>
    <row r="19" ht="19.05" customHeight="1" s="77">
      <c r="B19" s="76" t="inlineStr">
        <is>
          <t>2. RESUMEN POR GRUPO DE ACTIVO (cifra que usa el Cuadro N° 3)</t>
        </is>
      </c>
    </row>
    <row r="20" ht="30" customHeight="1" s="77">
      <c r="B20" s="2" t="inlineStr">
        <is>
          <t>Grupo de activo</t>
        </is>
      </c>
      <c r="C20" s="2" t="inlineStr">
        <is>
          <t>Valor de adquisición $</t>
        </is>
      </c>
      <c r="D20" s="2" t="inlineStr">
        <is>
          <t>Vida útil (años)</t>
        </is>
      </c>
      <c r="E20" s="2" t="inlineStr">
        <is>
          <t>Depreciación anual $</t>
        </is>
      </c>
      <c r="F20" s="2" t="inlineStr">
        <is>
          <t>Depreciación acumulada a 5 años $</t>
        </is>
      </c>
      <c r="G20" s="2" t="inlineStr">
        <is>
          <t>Valor libro al Año 5 $</t>
        </is>
      </c>
    </row>
    <row r="21">
      <c r="B21" s="14" t="inlineStr">
        <is>
          <t>Equipamiento técnico e informático (impresoras 3D, instrumentos, 2 notebooks)</t>
        </is>
      </c>
      <c r="C21" s="23">
        <f>SUMIF($C$6:$C$16,"Equipamiento",$D$6:$D$16)</f>
        <v/>
      </c>
      <c r="D21" s="27">
        <f>PARÁMETROS!C44</f>
        <v/>
      </c>
      <c r="E21" s="7">
        <f>ROUND(C21/D21,0)</f>
        <v/>
      </c>
      <c r="F21" s="23">
        <f>E21*5</f>
        <v/>
      </c>
      <c r="G21" s="23">
        <f>C21-F21</f>
        <v/>
      </c>
    </row>
    <row r="22">
      <c r="B22" s="14" t="inlineStr">
        <is>
          <t>Mobiliario de taller y almacenamiento</t>
        </is>
      </c>
      <c r="C22" s="23">
        <f>SUMIF($C$6:$C$16,"Mobiliario",$D$6:$D$16)</f>
        <v/>
      </c>
      <c r="D22" s="27">
        <f>PARÁMETROS!C45</f>
        <v/>
      </c>
      <c r="E22" s="7">
        <f>ROUND(C22/D22,0)</f>
        <v/>
      </c>
      <c r="F22" s="23">
        <f>E22*5</f>
        <v/>
      </c>
      <c r="G22" s="23">
        <f>C22-F22</f>
        <v/>
      </c>
    </row>
    <row r="23">
      <c r="B23" s="47" t="inlineStr">
        <is>
          <t>TOTAL — CUOTA DE DEPRECIACIÓN ANUAL DEL PROYECTO</t>
        </is>
      </c>
      <c r="C23" s="48">
        <f>SUM(C21:C22)</f>
        <v/>
      </c>
      <c r="D23" s="47" t="n"/>
      <c r="E23" s="48">
        <f>SUM(E21:E22)</f>
        <v/>
      </c>
      <c r="F23" s="48">
        <f>SUM(F21:F22)</f>
        <v/>
      </c>
      <c r="G23" s="48">
        <f>SUM(G21:G22)</f>
        <v/>
      </c>
    </row>
    <row r="25" ht="24" customHeight="1" s="77">
      <c r="B25" s="81" t="inlineStr">
        <is>
          <t>Valor residual cero. Vidas útiles conforme a la tabla de vida útil de bienes físicos del SII [59]: 6 años para equipamiento técnico e informático y 7 años para mobiliario. La depreciación no es salida de caja y por eso se devuelve al flujo de fondos.</t>
        </is>
      </c>
    </row>
  </sheetData>
  <mergeCells count="5">
    <mergeCell ref="B4:H4"/>
    <mergeCell ref="B2:H2"/>
    <mergeCell ref="B3:H3"/>
    <mergeCell ref="B19:H19"/>
    <mergeCell ref="B25:G25"/>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8.xml><?xml version="1.0" encoding="utf-8"?>
<worksheet xmlns="http://schemas.openxmlformats.org/spreadsheetml/2006/main">
  <sheetPr>
    <tabColor rgb="FF40916C"/>
    <outlinePr summaryBelow="1" summaryRight="1"/>
    <pageSetUpPr fitToPage="1"/>
  </sheetPr>
  <dimension ref="B2:G57"/>
  <sheetViews>
    <sheetView showGridLines="0" workbookViewId="0">
      <pane xSplit="3" ySplit="5" topLeftCell="D1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2" customWidth="1" style="77" min="1" max="1"/>
    <col width="5" customWidth="1" style="77" min="2" max="2"/>
    <col width="66" customWidth="1" style="77" min="3" max="3"/>
    <col width="18" customWidth="1" style="77" min="4" max="4"/>
    <col width="20" customWidth="1" style="77" min="5" max="5"/>
    <col width="4" customWidth="1" style="77" min="6" max="6"/>
    <col width="30" customWidth="1" style="77" min="7" max="7"/>
  </cols>
  <sheetData>
    <row r="2" ht="25.95" customHeight="1" s="77">
      <c r="B2" s="79" t="inlineStr">
        <is>
          <t>CUADRO N° 2 — INGRESOS, COSTOS Y GASTOS OPERACIONALES (AÑO 1)</t>
        </is>
      </c>
    </row>
    <row r="3">
      <c r="B3" s="78" t="inlineStr">
        <is>
          <t>Álvaro Villena · README XII.4 · El precio se fija en el techo declarado del negocio: $249.990 con IVA</t>
        </is>
      </c>
    </row>
    <row r="5" ht="30" customHeight="1" s="77">
      <c r="D5" s="2" t="inlineStr">
        <is>
          <t>VALOR MES $</t>
        </is>
      </c>
      <c r="E5" s="2" t="inlineStr">
        <is>
          <t>VALOR AÑO 1 $</t>
        </is>
      </c>
      <c r="G5" s="2" t="inlineStr">
        <is>
          <t>ESTUDIO DE ORIGEN</t>
        </is>
      </c>
    </row>
    <row r="7">
      <c r="C7" s="49" t="inlineStr">
        <is>
          <t>VENTAS</t>
        </is>
      </c>
      <c r="G7" s="50" t="inlineStr">
        <is>
          <t>ESTUDIO DE MERCADO</t>
        </is>
      </c>
    </row>
    <row r="8">
      <c r="C8" s="14" t="inlineStr">
        <is>
          <t>Unidades vendidas</t>
        </is>
      </c>
      <c r="D8" s="51">
        <f>E8/12</f>
        <v/>
      </c>
      <c r="E8" s="52">
        <f>PARÁMETROS!C26</f>
        <v/>
      </c>
    </row>
    <row r="9">
      <c r="C9" s="14" t="inlineStr">
        <is>
          <t>Precio de venta neto por unidad, sin IVA ($249.990 ÷ 1,19)</t>
        </is>
      </c>
      <c r="E9" s="23">
        <f>PARÁMETROS!$C$17</f>
        <v/>
      </c>
    </row>
    <row r="10">
      <c r="C10" s="39" t="inlineStr">
        <is>
          <t>VT = unidades × precio neto</t>
        </is>
      </c>
      <c r="D10" s="23">
        <f>E10/12</f>
        <v/>
      </c>
      <c r="E10" s="23">
        <f>E8*E9</f>
        <v/>
      </c>
    </row>
    <row r="11">
      <c r="B11" s="53" t="inlineStr">
        <is>
          <t>(+)</t>
        </is>
      </c>
      <c r="C11" s="24" t="inlineStr">
        <is>
          <t>TOTAL VENTAS</t>
        </is>
      </c>
      <c r="D11" s="25">
        <f>D10</f>
        <v/>
      </c>
      <c r="E11" s="25">
        <f>E10</f>
        <v/>
      </c>
    </row>
    <row r="13">
      <c r="C13" s="49" t="inlineStr">
        <is>
          <t>COSTOS OPERACIONALES (COSTOS VARIABLES)</t>
        </is>
      </c>
      <c r="G13" s="50" t="inlineStr">
        <is>
          <t>ESTUDIO TÉCNICO</t>
        </is>
      </c>
    </row>
    <row r="14">
      <c r="C14" s="14" t="inlineStr">
        <is>
          <t>Materiales directos (BOM): 200 unidades × $70.656</t>
        </is>
      </c>
      <c r="D14" s="23">
        <f>E14/12</f>
        <v/>
      </c>
      <c r="E14" s="23">
        <f>$E$8*'COSTOS UNITARIOS'!D37</f>
        <v/>
      </c>
    </row>
    <row r="15">
      <c r="C15" s="14" t="inlineStr">
        <is>
          <t>Flete nacional, merma y provisión de garantía legal: 200 × $11.653</t>
        </is>
      </c>
      <c r="D15" s="23">
        <f>E15/12</f>
        <v/>
      </c>
      <c r="E15" s="23">
        <f>$E$8*'COSTOS UNITARIOS'!D38</f>
        <v/>
      </c>
    </row>
    <row r="16">
      <c r="C16" s="14" t="inlineStr">
        <is>
          <t>Mano de obra directa — ensamblaje, QA y calibración: 200 × 1,5 h × $6.000</t>
        </is>
      </c>
      <c r="D16" s="23">
        <f>E16/12</f>
        <v/>
      </c>
      <c r="E16" s="23">
        <f>$E$8*'COSTOS UNITARIOS'!D39</f>
        <v/>
      </c>
    </row>
    <row r="17">
      <c r="B17" s="53" t="inlineStr">
        <is>
          <t>(−)</t>
        </is>
      </c>
      <c r="C17" s="24" t="inlineStr">
        <is>
          <t>TOTAL COSTOS OPERACIONALES</t>
        </is>
      </c>
      <c r="D17" s="25">
        <f>SUM(D14:D16)</f>
        <v/>
      </c>
      <c r="E17" s="25">
        <f>SUM(E14:E16)</f>
        <v/>
      </c>
    </row>
    <row r="19">
      <c r="C19" s="49" t="inlineStr">
        <is>
          <t>GASTOS DE ADMINISTRACIÓN (GASTOS FIJOS)</t>
        </is>
      </c>
      <c r="G19" s="50" t="inlineStr">
        <is>
          <t>ESTUDIO ADMINISTRATIVO</t>
        </is>
      </c>
    </row>
    <row r="20">
      <c r="C20" s="14" t="inlineStr">
        <is>
          <t>Mano de obra indirecta — sueldo empresarial de los 2 socios (IMM, $553.553 c/u)</t>
        </is>
      </c>
      <c r="D20" s="23">
        <f>E20/12</f>
        <v/>
      </c>
      <c r="E20" s="23">
        <f>PARÁMETROS!C47*PARÁMETROS!C48*12</f>
        <v/>
      </c>
    </row>
    <row r="21">
      <c r="C21" s="14" t="inlineStr">
        <is>
          <t>Ensamblador — sin contratar el Año 1: lo cubren los dos socios (0,17 FTE)</t>
        </is>
      </c>
      <c r="D21" s="23">
        <f>E21/12</f>
        <v/>
      </c>
      <c r="E21" s="23" t="n">
        <v>0</v>
      </c>
    </row>
    <row r="22">
      <c r="C22" s="14" t="inlineStr">
        <is>
          <t>Servicios digitales y tiendas de aplicaciones</t>
        </is>
      </c>
      <c r="D22" s="23">
        <f>E22/12</f>
        <v/>
      </c>
      <c r="E22" s="23">
        <f>E48</f>
        <v/>
      </c>
    </row>
    <row r="23">
      <c r="C23" s="14" t="inlineStr">
        <is>
          <t>Gastos generales — energía e internet incremental (casa de ambos socios)</t>
        </is>
      </c>
      <c r="D23" s="23">
        <f>E23/12</f>
        <v/>
      </c>
      <c r="E23" s="23" t="n">
        <v>360000</v>
      </c>
    </row>
    <row r="24">
      <c r="C24" s="14" t="inlineStr">
        <is>
          <t>Contabilidad, patente municipal y asesoría legal</t>
        </is>
      </c>
      <c r="D24" s="23">
        <f>E24/12</f>
        <v/>
      </c>
      <c r="E24" s="23" t="n">
        <v>840000</v>
      </c>
    </row>
    <row r="25">
      <c r="C25" s="14" t="inlineStr">
        <is>
          <t>Materiales indirectos y seguros</t>
        </is>
      </c>
      <c r="D25" s="23">
        <f>E25/12</f>
        <v/>
      </c>
      <c r="E25" s="23" t="n">
        <v>420000</v>
      </c>
    </row>
    <row r="26">
      <c r="B26" s="53" t="inlineStr">
        <is>
          <t>(−)</t>
        </is>
      </c>
      <c r="C26" s="24" t="inlineStr">
        <is>
          <t>TOTAL GASTOS DE ADMINISTRACIÓN</t>
        </is>
      </c>
      <c r="D26" s="25">
        <f>SUM(D20:D25)</f>
        <v/>
      </c>
      <c r="E26" s="25">
        <f>SUM(E20:E25)</f>
        <v/>
      </c>
    </row>
    <row r="28">
      <c r="C28" s="49" t="inlineStr">
        <is>
          <t>GASTOS DE COMERCIALIZACIÓN (GASTOS FIJOS)</t>
        </is>
      </c>
      <c r="G28" s="50" t="inlineStr">
        <is>
          <t>ESTUDIO DE MERCADO</t>
        </is>
      </c>
    </row>
    <row r="29">
      <c r="C29" s="14" t="inlineStr">
        <is>
          <t>Publicidad y promoción — pauta digital directa en Google Ads y Meta Ads, sin agencia el Año 1</t>
        </is>
      </c>
      <c r="D29" s="23">
        <f>E29/12</f>
        <v/>
      </c>
      <c r="E29" s="23" t="n">
        <v>1200000</v>
      </c>
    </row>
    <row r="30">
      <c r="B30" s="53" t="inlineStr">
        <is>
          <t>(−)</t>
        </is>
      </c>
      <c r="C30" s="24" t="inlineStr">
        <is>
          <t>TOTAL GASTOS DE COMERCIALIZACIÓN</t>
        </is>
      </c>
      <c r="D30" s="25">
        <f>D29</f>
        <v/>
      </c>
      <c r="E30" s="25">
        <f>E29</f>
        <v/>
      </c>
    </row>
    <row r="32">
      <c r="B32" s="54" t="n"/>
      <c r="C32" s="54" t="inlineStr">
        <is>
          <t>TOTAL COSTOS Y GASTOS FIJOS (administración + comercialización)</t>
        </is>
      </c>
      <c r="D32" s="55">
        <f>D26+D30</f>
        <v/>
      </c>
      <c r="E32" s="55">
        <f>E26+E30</f>
        <v/>
      </c>
    </row>
    <row r="33">
      <c r="B33" s="54" t="n"/>
      <c r="C33" s="54" t="inlineStr">
        <is>
          <t>TOTAL COSTOS Y GASTOS  (CT)</t>
        </is>
      </c>
      <c r="D33" s="55">
        <f>D17+D32</f>
        <v/>
      </c>
      <c r="E33" s="55">
        <f>E17+E32</f>
        <v/>
      </c>
    </row>
    <row r="35" ht="22.05" customHeight="1" s="77">
      <c r="B35" s="56" t="inlineStr">
        <is>
          <t>(=)</t>
        </is>
      </c>
      <c r="C35" s="33" t="inlineStr">
        <is>
          <t>UTILIDAD (PÉRDIDA) OPERACIONAL — antes de depreciación e intereses</t>
        </is>
      </c>
      <c r="D35" s="34">
        <f>D11-D33</f>
        <v/>
      </c>
      <c r="E35" s="34">
        <f>E11-E33</f>
        <v/>
      </c>
    </row>
    <row r="36">
      <c r="C36" s="39" t="inlineStr">
        <is>
          <t>Margen implícito sobre el costo total  (VT ÷ CT − 1)</t>
        </is>
      </c>
      <c r="E36" s="57">
        <f>E11/E33-1</f>
        <v/>
      </c>
    </row>
    <row r="37" ht="24" customHeight="1" s="77">
      <c r="B37" s="81" t="inlineStr">
        <is>
          <t>La planilla estándar deriva las ventas como VT = CT × (1 + % rentabilidad). Aquí el sentido de la fórmula se invierte por una razón de negocio: el precio ya está en su techo declarado ($249.990 con IVA), así que lo que se resuelve es cuántas unidades hacen falta para cubrir el costo total — y el margen implícito resultante es la consecuencia, no el punto de partida.</t>
        </is>
      </c>
    </row>
    <row r="39" ht="19.05" customHeight="1" s="77">
      <c r="B39" s="76" t="inlineStr">
        <is>
          <t>DETALLE DE SERVICIOS DIGITALES Y TIENDAS DE APLICACIONES (AÑO 1)</t>
        </is>
      </c>
    </row>
    <row r="40" ht="30" customHeight="1" s="77">
      <c r="C40" s="2" t="inlineStr">
        <is>
          <t>Servicio</t>
        </is>
      </c>
      <c r="D40" s="2" t="inlineStr">
        <is>
          <t>Referencia</t>
        </is>
      </c>
      <c r="E40" s="2" t="inlineStr">
        <is>
          <t>Costo anual $</t>
        </is>
      </c>
    </row>
    <row r="41">
      <c r="C41" s="14" t="inlineStr">
        <is>
          <t>Supabase Pro (US$25 al mes)</t>
        </is>
      </c>
      <c r="D41" s="46" t="inlineStr">
        <is>
          <t>[38]</t>
        </is>
      </c>
      <c r="E41" s="23" t="n">
        <v>274500</v>
      </c>
    </row>
    <row r="42">
      <c r="C42" s="14" t="inlineStr">
        <is>
          <t>Apple Developer Program (US$99 al año)</t>
        </is>
      </c>
      <c r="D42" s="46" t="inlineStr">
        <is>
          <t>[36]</t>
        </is>
      </c>
      <c r="E42" s="23" t="n">
        <v>90585</v>
      </c>
    </row>
    <row r="43">
      <c r="C43" s="14" t="inlineStr">
        <is>
          <t>Google Play Console (US$25, pago único de por vida)</t>
        </is>
      </c>
      <c r="D43" s="46" t="inlineStr">
        <is>
          <t>[37]</t>
        </is>
      </c>
      <c r="E43" s="23" t="n">
        <v>22875</v>
      </c>
    </row>
    <row r="44">
      <c r="C44" s="14" t="inlineStr">
        <is>
          <t>Expo EAS Starter (US$19 al mes)</t>
        </is>
      </c>
      <c r="D44" s="46" t="inlineStr">
        <is>
          <t>[39]</t>
        </is>
      </c>
      <c r="E44" s="23" t="n">
        <v>208620</v>
      </c>
    </row>
    <row r="45">
      <c r="C45" s="14" t="inlineStr">
        <is>
          <t>Dominio, correo corporativo y alojamiento de la consola web</t>
        </is>
      </c>
      <c r="D45" s="46" t="inlineStr">
        <is>
          <t>Estimación</t>
        </is>
      </c>
      <c r="E45" s="23" t="n">
        <v>95000</v>
      </c>
    </row>
    <row r="46">
      <c r="C46" s="14" t="inlineStr">
        <is>
          <t>Google Maps Platform, sobre el tramo gratuito</t>
        </is>
      </c>
      <c r="D46" s="46" t="inlineStr">
        <is>
          <t>[40]</t>
        </is>
      </c>
      <c r="E46" s="23" t="n">
        <v>150000</v>
      </c>
    </row>
    <row r="47">
      <c r="C47" s="14" t="inlineStr">
        <is>
          <t>Open-Meteo (uso no comercial, gratuito por ahora)</t>
        </is>
      </c>
      <c r="D47" s="46" t="inlineStr">
        <is>
          <t>[41]</t>
        </is>
      </c>
      <c r="E47" s="23" t="n">
        <v>0</v>
      </c>
    </row>
    <row r="48">
      <c r="C48" s="24" t="inlineStr">
        <is>
          <t>TOTAL SERVICIOS DIGITALES</t>
        </is>
      </c>
      <c r="D48" s="24" t="n"/>
      <c r="E48" s="25">
        <f>SUM(E41:E47)</f>
        <v/>
      </c>
    </row>
    <row r="50" ht="19.05" customHeight="1" s="77">
      <c r="B50" s="76" t="inlineStr">
        <is>
          <t>PUNTO DE EQUILIBRIO CONTABLE DEL AÑO 1</t>
        </is>
      </c>
    </row>
    <row r="51">
      <c r="C51" s="14" t="inlineStr">
        <is>
          <t>Gastos fijos (administración + comercialización)</t>
        </is>
      </c>
      <c r="E51" s="23">
        <f>E32</f>
        <v/>
      </c>
    </row>
    <row r="52">
      <c r="C52" s="14" t="inlineStr">
        <is>
          <t>Depreciación anual</t>
        </is>
      </c>
      <c r="E52" s="23">
        <f>DEPRECIACIÓN!$E$23</f>
        <v/>
      </c>
    </row>
    <row r="53">
      <c r="C53" s="14" t="inlineStr">
        <is>
          <t>Costo financiero del Año 1</t>
        </is>
      </c>
      <c r="E53" s="23">
        <f>AMORTIZACIÓN!C30</f>
        <v/>
      </c>
    </row>
    <row r="54">
      <c r="C54" s="14" t="inlineStr">
        <is>
          <t>Margen de contribución unitario (precio neto − costo variable unitario)</t>
        </is>
      </c>
      <c r="E54" s="23">
        <f>PARÁMETROS!$C$17-'COSTOS UNITARIOS'!$D$24</f>
        <v/>
      </c>
    </row>
    <row r="55">
      <c r="C55" s="6" t="inlineStr">
        <is>
          <t>PUNTO DE EQUILIBRIO CONTABLE (unidades)</t>
        </is>
      </c>
      <c r="E55" s="11">
        <f>ROUND((E51+E52+E53)/E54,0)</f>
        <v/>
      </c>
    </row>
    <row r="56">
      <c r="C56" s="14" t="inlineStr">
        <is>
          <t>Unidades planificadas</t>
        </is>
      </c>
      <c r="E56" s="52">
        <f>E8</f>
        <v/>
      </c>
    </row>
    <row r="57">
      <c r="C57" s="6" t="inlineStr">
        <is>
          <t>Holgura sobre el punto de equilibrio</t>
        </is>
      </c>
      <c r="E57" s="45">
        <f>E56/E55-1</f>
        <v/>
      </c>
    </row>
  </sheetData>
  <mergeCells count="5">
    <mergeCell ref="B3:G3"/>
    <mergeCell ref="B2:G2"/>
    <mergeCell ref="B37:G37"/>
    <mergeCell ref="B50:G50"/>
    <mergeCell ref="B39:G39"/>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9.xml><?xml version="1.0" encoding="utf-8"?>
<worksheet xmlns="http://schemas.openxmlformats.org/spreadsheetml/2006/main">
  <sheetPr>
    <tabColor rgb="FF40916C"/>
    <outlinePr summaryBelow="1" summaryRight="1"/>
    <pageSetUpPr fitToPage="1"/>
  </sheetPr>
  <dimension ref="B2:H32"/>
  <sheetViews>
    <sheetView showGridLines="0" workbookViewId="0">
      <pane xSplit="2" ySplit="5" topLeftCell="C24"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2" customWidth="1" style="77" min="1" max="1"/>
    <col width="58" customWidth="1" style="77" min="2" max="2"/>
    <col width="18" customWidth="1" style="77" min="3" max="7"/>
    <col width="44" customWidth="1" style="77" min="8" max="8"/>
  </cols>
  <sheetData>
    <row r="2" ht="25.95" customHeight="1" s="77">
      <c r="B2" s="79" t="inlineStr">
        <is>
          <t>ESTRUCTURA DE GASTOS FIJOS POR AÑO Y JUSTIFICACIÓN DEL ESCALAMIENTO</t>
        </is>
      </c>
    </row>
    <row r="3">
      <c r="B3" s="78" t="inlineStr">
        <is>
          <t>README XII.4.3 · El crecimiento no se modela con un índice genérico: se modela con la dotación y los arriendos reales de cada año</t>
        </is>
      </c>
    </row>
    <row r="4" ht="19.05" customHeight="1" s="77">
      <c r="B4" s="76" t="inlineStr">
        <is>
          <t>GASTOS DE ADMINISTRACIÓN</t>
        </is>
      </c>
    </row>
    <row r="5" ht="30" customHeight="1" s="77">
      <c r="B5" s="2" t="inlineStr">
        <is>
          <t>Concepto</t>
        </is>
      </c>
      <c r="C5" s="2" t="inlineStr">
        <is>
          <t>Año 1</t>
        </is>
      </c>
      <c r="D5" s="2" t="inlineStr">
        <is>
          <t>Año 2</t>
        </is>
      </c>
      <c r="E5" s="2" t="inlineStr">
        <is>
          <t>Año 3</t>
        </is>
      </c>
      <c r="F5" s="2" t="inlineStr">
        <is>
          <t>Año 4</t>
        </is>
      </c>
      <c r="G5" s="2" t="inlineStr">
        <is>
          <t>Año 5</t>
        </is>
      </c>
      <c r="H5" s="2" t="inlineStr">
        <is>
          <t>Justificación del escalamiento</t>
        </is>
      </c>
    </row>
    <row r="6">
      <c r="B6" s="14" t="inlineStr">
        <is>
          <t>Sueldo empresarial de los 2 socios</t>
        </is>
      </c>
      <c r="C6" s="23">
        <f>'ESTADO DE RESULTADOS'!E20</f>
        <v/>
      </c>
      <c r="D6" s="23" t="n">
        <v>14400000</v>
      </c>
      <c r="E6" s="23" t="n">
        <v>21600000</v>
      </c>
      <c r="F6" s="23" t="n">
        <v>24000000</v>
      </c>
      <c r="G6" s="23" t="n">
        <v>28800000</v>
      </c>
      <c r="H6" s="37" t="inlineStr">
        <is>
          <t>Sueldo empresarial (Art. 31 N° 6 LIR). Año 1: .553 c/u (IMM legal); Año 2: .000 c/u; Año 3: .000 c/u; Año 4: .000.000 c/u; Año 5: .200.000 c/u. Garantiza ingreso formal a Álvaro y Alan desde el mes 1 (.042.636 acumulados por socio a 5 años).</t>
        </is>
      </c>
    </row>
    <row r="7">
      <c r="B7" s="58" t="inlineStr">
        <is>
          <t>→ equivale a, por socio y por mes</t>
        </is>
      </c>
      <c r="C7" s="59">
        <f>C6/12/PARÁMETROS!$C$48</f>
        <v/>
      </c>
      <c r="D7" s="59">
        <f>D6/12/PARÁMETROS!$C$48</f>
        <v/>
      </c>
      <c r="E7" s="59">
        <f>E6/12/PARÁMETROS!$C$48</f>
        <v/>
      </c>
      <c r="F7" s="59">
        <f>F6/12/PARÁMETROS!$C$48</f>
        <v/>
      </c>
      <c r="G7" s="59">
        <f>G6/12/PARÁMETROS!$C$48</f>
        <v/>
      </c>
    </row>
    <row r="8" ht="60" customHeight="1" s="77">
      <c r="B8" s="14" t="inlineStr">
        <is>
          <t>Ensamblador(es) contratados</t>
        </is>
      </c>
      <c r="C8" s="23" t="n">
        <v>0</v>
      </c>
      <c r="D8" s="23" t="n">
        <v>3490000</v>
      </c>
      <c r="E8" s="23" t="n">
        <v>6980000</v>
      </c>
      <c r="F8" s="23" t="n">
        <v>6980000</v>
      </c>
      <c r="G8" s="23" t="n">
        <v>10460000</v>
      </c>
      <c r="H8" s="37" t="inlineStr">
        <is>
          <t>0,5 FTE el Año 2, 1 FTE los Años 3 y 4, 1,5 FTE el Año 5 — dimensionado por horas reales (ensamblaje + QA + testing + embalaje, 2,25 h/unidad) sobre 1.800 h productivas por FTE al año, a sueldo IMM cargado (+5 % costo patronal), no por una dotación arbitraria creciente</t>
        </is>
      </c>
    </row>
    <row r="9">
      <c r="B9" s="14" t="inlineStr">
        <is>
          <t>Arriendo de taller / oficina</t>
        </is>
      </c>
      <c r="C9" s="23" t="n">
        <v>0</v>
      </c>
      <c r="D9" s="23" t="n">
        <v>0</v>
      </c>
      <c r="E9" s="23" t="n">
        <v>4200000</v>
      </c>
      <c r="F9" s="23" t="n">
        <v>4200000</v>
      </c>
      <c r="G9" s="23" t="n">
        <v>5040000</v>
      </c>
      <c r="H9" s="37" t="inlineStr">
        <is>
          <t>Los Años 1 y 2 la producción cabe en la casa de los socios</t>
        </is>
      </c>
    </row>
    <row r="10">
      <c r="B10" s="14" t="inlineStr">
        <is>
          <t>Servicios digitales y tiendas de aplicaciones</t>
        </is>
      </c>
      <c r="C10" s="23">
        <f>'ESTADO DE RESULTADOS'!E22</f>
        <v/>
      </c>
      <c r="D10" s="23" t="n">
        <v>850000</v>
      </c>
      <c r="E10" s="23" t="n">
        <v>900000</v>
      </c>
      <c r="F10" s="23" t="n">
        <v>950000</v>
      </c>
      <c r="G10" s="23" t="n">
        <v>1000000</v>
      </c>
      <c r="H10" s="37" t="inlineStr">
        <is>
          <t>Shopify, Supabase Pro, Apple Developer, Google Play, Expo, dominio y mapas</t>
        </is>
      </c>
    </row>
    <row r="11">
      <c r="B11" s="14" t="inlineStr">
        <is>
          <t>Energía, agua e internet</t>
        </is>
      </c>
      <c r="C11" s="23" t="n">
        <v>360000</v>
      </c>
      <c r="D11" s="23" t="n">
        <v>420000</v>
      </c>
      <c r="E11" s="23" t="n">
        <v>1140000</v>
      </c>
      <c r="F11" s="23" t="n">
        <v>1140000</v>
      </c>
      <c r="G11" s="23" t="n">
        <v>1320000</v>
      </c>
      <c r="H11" s="37" t="inlineStr">
        <is>
          <t>Salta el Año 3 al incorporarse el taller arrendado</t>
        </is>
      </c>
    </row>
    <row r="12">
      <c r="B12" s="14" t="inlineStr">
        <is>
          <t>Contabilidad, patente municipal y asesoría legal</t>
        </is>
      </c>
      <c r="C12" s="23" t="n">
        <v>840000</v>
      </c>
      <c r="D12" s="23" t="n">
        <v>960000</v>
      </c>
      <c r="E12" s="23" t="n">
        <v>1680000</v>
      </c>
      <c r="F12" s="23" t="n">
        <v>1680000</v>
      </c>
      <c r="G12" s="23" t="n">
        <v>1980000</v>
      </c>
      <c r="H12" s="37" t="inlineStr">
        <is>
          <t>Outsourcing contable Pyme (Contabilizate, TuContador, ChileContador: 1,8 a 4,3 UF/mes = .000 a .000/mes para F29, Previred y Renta). Un contador interno indefinido costaría ,8M a ,2M/año (Robert Half / Indeed 2024-2026), inviable para 200 u/año (3-4 h/mes de trabajo real). Sube en Años 3-5 por patente municipal comercial del taller físico.</t>
        </is>
      </c>
    </row>
    <row r="13">
      <c r="B13" s="14" t="inlineStr">
        <is>
          <t>Materiales indirectos y seguros</t>
        </is>
      </c>
      <c r="C13" s="23" t="n">
        <v>420000</v>
      </c>
      <c r="D13" s="23" t="n">
        <v>480000</v>
      </c>
      <c r="E13" s="23" t="n">
        <v>840000</v>
      </c>
      <c r="F13" s="23" t="n">
        <v>900000</v>
      </c>
      <c r="G13" s="23" t="n">
        <v>980000</v>
      </c>
      <c r="H13" s="37" t="inlineStr">
        <is>
          <t>Escala con el volumen y con el activo asegurado</t>
        </is>
      </c>
    </row>
    <row r="14">
      <c r="B14" s="24" t="inlineStr">
        <is>
          <t>SUBTOTAL GASTOS DE ADMINISTRACIÓN</t>
        </is>
      </c>
      <c r="C14" s="25">
        <f>C6+C8+C9+C10+C11+C12+C13</f>
        <v/>
      </c>
      <c r="D14" s="25">
        <f>D6+D8+D9+D10+D11+D12+D13</f>
        <v/>
      </c>
      <c r="E14" s="25">
        <f>E6+E8+E9+E10+E11+E12+E13</f>
        <v/>
      </c>
      <c r="F14" s="25">
        <f>F6+F8+F9+F10+F11+F12+F13</f>
        <v/>
      </c>
      <c r="G14" s="25">
        <f>G6+G8+G9+G10+G11+G12+G13</f>
        <v/>
      </c>
      <c r="H14" s="24" t="n"/>
    </row>
    <row r="16" ht="19.05" customHeight="1" s="77">
      <c r="B16" s="76" t="inlineStr">
        <is>
          <t>GASTOS DE COMERCIALIZACIÓN</t>
        </is>
      </c>
    </row>
    <row r="17" ht="28.05" customHeight="1" s="77">
      <c r="B17" s="22" t="inlineStr">
        <is>
          <t>Publicidad y promoción — Año 1: pauta digital directa sin agencia; Año 2 en adelante: agencia de marketing</t>
        </is>
      </c>
      <c r="C17" s="23">
        <f>'ESTADO DE RESULTADOS'!E29</f>
        <v/>
      </c>
      <c r="D17" s="23" t="n">
        <v>7080000</v>
      </c>
      <c r="E17" s="23" t="n">
        <v>10680000</v>
      </c>
      <c r="F17" s="23" t="n">
        <v>12000000</v>
      </c>
      <c r="G17" s="23" t="n">
        <v>14400000</v>
      </c>
      <c r="H17" s="37" t="inlineStr">
        <is>
          <t>Año 1: Pauta digital directa en Meta Ads y Google Ads autogestionada por los socios con embudo a WhatsApp (.000/mes = ,2M/año). Año 2 en adelante: Retainer de agencia de marketing externa para escalar a 350-850 u/año (más eficiente que contratar un marketer interno con sueldo cargado de -14 M/año).</t>
        </is>
      </c>
    </row>
    <row r="18">
      <c r="B18" s="24" t="inlineStr">
        <is>
          <t>SUBTOTAL GASTOS DE COMERCIALIZACIÓN</t>
        </is>
      </c>
      <c r="C18" s="25">
        <f>C17</f>
        <v/>
      </c>
      <c r="D18" s="25">
        <f>D17</f>
        <v/>
      </c>
      <c r="E18" s="25">
        <f>E17</f>
        <v/>
      </c>
      <c r="F18" s="25">
        <f>F17</f>
        <v/>
      </c>
      <c r="G18" s="25">
        <f>G17</f>
        <v/>
      </c>
      <c r="H18" s="24" t="n"/>
    </row>
    <row r="20" ht="22.05" customHeight="1" s="77">
      <c r="B20" s="33" t="inlineStr">
        <is>
          <t>TOTAL GASTOS FIJOS</t>
        </is>
      </c>
      <c r="C20" s="34">
        <f>C14+C18</f>
        <v/>
      </c>
      <c r="D20" s="34">
        <f>D14+D18</f>
        <v/>
      </c>
      <c r="E20" s="34">
        <f>E14+E18</f>
        <v/>
      </c>
      <c r="F20" s="34">
        <f>F14+F18</f>
        <v/>
      </c>
      <c r="G20" s="34">
        <f>G14+G18</f>
        <v/>
      </c>
      <c r="H20" s="33" t="n"/>
    </row>
    <row r="22" ht="19.05" customHeight="1" s="77">
      <c r="B22" s="76" t="inlineStr">
        <is>
          <t>INDICADORES DERIVADOS POR AÑO</t>
        </is>
      </c>
    </row>
    <row r="23">
      <c r="B23" s="14" t="inlineStr">
        <is>
          <t>Unidades planificadas</t>
        </is>
      </c>
      <c r="C23" s="52">
        <f>PARÁMETROS!C26</f>
        <v/>
      </c>
      <c r="D23" s="52">
        <f>PARÁMETROS!D26</f>
        <v/>
      </c>
      <c r="E23" s="52">
        <f>PARÁMETROS!E26</f>
        <v/>
      </c>
      <c r="F23" s="52">
        <f>PARÁMETROS!F26</f>
        <v/>
      </c>
      <c r="G23" s="52">
        <f>PARÁMETROS!G26</f>
        <v/>
      </c>
      <c r="H23" s="37" t="inlineStr">
        <is>
          <t>XI.1</t>
        </is>
      </c>
    </row>
    <row r="24" ht="24" customHeight="1" s="77">
      <c r="B24" s="14" t="inlineStr">
        <is>
          <t>CAC — costo de adquisición por cliente (marketing ÷ unidades)</t>
        </is>
      </c>
      <c r="C24" s="23">
        <f>C18/C23</f>
        <v/>
      </c>
      <c r="D24" s="23">
        <f>D18/D23</f>
        <v/>
      </c>
      <c r="E24" s="23">
        <f>E18/E23</f>
        <v/>
      </c>
      <c r="F24" s="23">
        <f>F18/F23</f>
        <v/>
      </c>
      <c r="G24" s="23">
        <f>G18/G23</f>
        <v/>
      </c>
      <c r="H24" s="37" t="inlineStr">
        <is>
          <t>El del Año 1 es artificialmente bajo: es trabajo directo de los socios, no una eficiencia replicable</t>
        </is>
      </c>
    </row>
    <row r="25">
      <c r="B25" s="14" t="inlineStr">
        <is>
          <t>Costo variable unitario</t>
        </is>
      </c>
      <c r="C25" s="23">
        <f>'COSTOS UNITARIOS'!E29</f>
        <v/>
      </c>
      <c r="D25" s="23">
        <f>'COSTOS UNITARIOS'!E30</f>
        <v/>
      </c>
      <c r="E25" s="23">
        <f>'COSTOS UNITARIOS'!E31</f>
        <v/>
      </c>
      <c r="F25" s="23">
        <f>'COSTOS UNITARIOS'!E32</f>
        <v/>
      </c>
      <c r="G25" s="23">
        <f>'COSTOS UNITARIOS'!E33</f>
        <v/>
      </c>
      <c r="H25" s="37" t="inlineStr">
        <is>
          <t>Curva de escala de XII.2.3</t>
        </is>
      </c>
    </row>
    <row r="26">
      <c r="B26" s="14" t="inlineStr">
        <is>
          <t>Margen de contribución unitario</t>
        </is>
      </c>
      <c r="C26" s="23">
        <f>PARÁMETROS!$C$17-C25</f>
        <v/>
      </c>
      <c r="D26" s="23">
        <f>PARÁMETROS!$C$17-D25</f>
        <v/>
      </c>
      <c r="E26" s="23">
        <f>PARÁMETROS!$C$17-E25</f>
        <v/>
      </c>
      <c r="F26" s="23">
        <f>PARÁMETROS!$C$17-F25</f>
        <v/>
      </c>
      <c r="G26" s="23">
        <f>PARÁMETROS!$C$17-G25</f>
        <v/>
      </c>
      <c r="H26" s="37" t="inlineStr">
        <is>
          <t>Precio neto − costo variable unitario</t>
        </is>
      </c>
    </row>
    <row r="27">
      <c r="B27" s="14" t="inlineStr">
        <is>
          <t>Depreciación anual</t>
        </is>
      </c>
      <c r="C27" s="23">
        <f>DEPRECIACIÓN!$E$23</f>
        <v/>
      </c>
      <c r="D27" s="23">
        <f>DEPRECIACIÓN!$E$23</f>
        <v/>
      </c>
      <c r="E27" s="23">
        <f>DEPRECIACIÓN!$E$23</f>
        <v/>
      </c>
      <c r="F27" s="23">
        <f>DEPRECIACIÓN!$E$23</f>
        <v/>
      </c>
      <c r="G27" s="23">
        <f>DEPRECIACIÓN!$E$23</f>
        <v/>
      </c>
      <c r="H27" s="37" t="inlineStr">
        <is>
          <t>Constante durante los 5 años</t>
        </is>
      </c>
    </row>
    <row r="28">
      <c r="B28" s="14" t="inlineStr">
        <is>
          <t>Costo financiero del año</t>
        </is>
      </c>
      <c r="C28" s="23">
        <f>AMORTIZACIÓN!C30</f>
        <v/>
      </c>
      <c r="D28" s="23">
        <f>AMORTIZACIÓN!D30</f>
        <v/>
      </c>
      <c r="E28" s="23">
        <f>AMORTIZACIÓN!E30</f>
        <v/>
      </c>
      <c r="F28" s="23">
        <f>AMORTIZACIÓN!F30</f>
        <v/>
      </c>
      <c r="G28" s="23">
        <f>AMORTIZACIÓN!G30</f>
        <v/>
      </c>
      <c r="H28" s="37" t="inlineStr">
        <is>
          <t>Intereses de ambos préstamos</t>
        </is>
      </c>
    </row>
    <row r="29">
      <c r="B29" s="6" t="inlineStr">
        <is>
          <t>PUNTO DE EQUILIBRIO CONTABLE (unidades)</t>
        </is>
      </c>
      <c r="C29" s="11">
        <f>ROUND((C20+C27+C28)/C26,0)</f>
        <v/>
      </c>
      <c r="D29" s="11">
        <f>ROUND((D20+D27+D28)/D26,0)</f>
        <v/>
      </c>
      <c r="E29" s="11">
        <f>ROUND((E20+E27+E28)/E26,0)</f>
        <v/>
      </c>
      <c r="F29" s="11">
        <f>ROUND((F20+F27+F28)/F26,0)</f>
        <v/>
      </c>
      <c r="G29" s="11">
        <f>ROUND((G20+G27+G28)/G26,0)</f>
        <v/>
      </c>
      <c r="H29" s="37" t="inlineStr">
        <is>
          <t>Incluye depreciación e interés, no sólo el gasto fijo de caja</t>
        </is>
      </c>
    </row>
    <row r="30" ht="24" customHeight="1" s="77">
      <c r="B30" s="6" t="inlineStr">
        <is>
          <t>Holgura del volumen sobre el equilibrio</t>
        </is>
      </c>
      <c r="C30" s="45">
        <f>C23/C29-1</f>
        <v/>
      </c>
      <c r="D30" s="45">
        <f>D23/D29-1</f>
        <v/>
      </c>
      <c r="E30" s="45">
        <f>E23/E29-1</f>
        <v/>
      </c>
      <c r="F30" s="45">
        <f>F23/F29-1</f>
        <v/>
      </c>
      <c r="G30" s="45">
        <f>G23/G29-1</f>
        <v/>
      </c>
      <c r="H30" s="37" t="inlineStr">
        <is>
          <t>El Año 3 es el más ajustado: se contrata al segundo ensamblador y se arrienda el primer taller</t>
        </is>
      </c>
    </row>
    <row r="32" ht="36" customHeight="1" s="77">
      <c r="B32" s="81" t="inlineStr">
        <is>
          <t>Por qué las ventas crecen: Año 2, primera agencia de marketing y canal PRODESAL/INDAP; Año 3, convenio con distribuidor de insumos agrícolas y primer taller arrendado; Año 4, consolidación del canal B2B y primera postulación a compra institucional; Año 5, cobertura multirregional con ~1.700 equipos instalados.</t>
        </is>
      </c>
    </row>
  </sheetData>
  <mergeCells count="6">
    <mergeCell ref="B22:H22"/>
    <mergeCell ref="B32:H32"/>
    <mergeCell ref="B4:H4"/>
    <mergeCell ref="B16:H16"/>
    <mergeCell ref="B2:H2"/>
    <mergeCell ref="B3:H3"/>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10.xml><?xml version="1.0" encoding="utf-8"?>
<worksheet xmlns="http://schemas.openxmlformats.org/spreadsheetml/2006/main">
  <sheetPr>
    <tabColor rgb="FFB7791F"/>
    <outlinePr summaryBelow="1" summaryRight="1"/>
    <pageSetUpPr fitToPage="1"/>
  </sheetPr>
  <dimension ref="B2:I63"/>
  <sheetViews>
    <sheetView showGridLines="0" workbookViewId="0">
      <pane xSplit="2" ySplit="7" topLeftCell="C41" activePane="bottomRight" state="frozen"/>
      <selection pane="topRight" activeCell="A1" sqref="A1"/>
      <selection pane="bottomLeft" activeCell="A1" sqref="A1"/>
      <selection pane="bottomRight" activeCell="D46" sqref="D46"/>
    </sheetView>
  </sheetViews>
  <sheetFormatPr baseColWidth="10" defaultColWidth="8.88671875" defaultRowHeight="14.4"/>
  <cols>
    <col width="2" customWidth="1" style="77" min="1" max="1"/>
    <col width="54" customWidth="1" style="77" min="2" max="2"/>
    <col width="19" customWidth="1" style="77" min="3" max="8"/>
  </cols>
  <sheetData>
    <row r="2" ht="25.95" customHeight="1" s="77">
      <c r="B2" s="79" t="inlineStr">
        <is>
          <t>CUADRO N° 3 — ESTADO DE RESULTADOS PROYECTADO A 5 AÑOS</t>
        </is>
      </c>
    </row>
    <row r="3">
      <c r="B3" s="78" t="inlineStr">
        <is>
          <t>Álvaro Villena · README XII.5 y XII.7 · Flujo de fondos, VAN, TIR y Pay Back</t>
        </is>
      </c>
    </row>
    <row r="5" ht="19.95" customHeight="1" s="77">
      <c r="B5" s="2" t="inlineStr">
        <is>
          <t>Concepto</t>
        </is>
      </c>
      <c r="C5" s="2" t="inlineStr">
        <is>
          <t>AÑO 0</t>
        </is>
      </c>
      <c r="D5" s="2" t="inlineStr">
        <is>
          <t>AÑO 1</t>
        </is>
      </c>
      <c r="E5" s="2" t="inlineStr">
        <is>
          <t>AÑO 2</t>
        </is>
      </c>
      <c r="F5" s="2" t="inlineStr">
        <is>
          <t>AÑO 3</t>
        </is>
      </c>
      <c r="G5" s="2" t="inlineStr">
        <is>
          <t>AÑO 4</t>
        </is>
      </c>
      <c r="H5" s="2" t="inlineStr">
        <is>
          <t>AÑO 5</t>
        </is>
      </c>
    </row>
    <row r="6">
      <c r="B6" s="31" t="inlineStr">
        <is>
          <t>Año calendario</t>
        </is>
      </c>
      <c r="C6" s="60" t="n">
        <v>2026</v>
      </c>
      <c r="D6" s="60" t="n">
        <v>2027</v>
      </c>
      <c r="E6" s="60" t="n">
        <v>2028</v>
      </c>
      <c r="F6" s="60" t="n">
        <v>2029</v>
      </c>
      <c r="G6" s="60" t="n">
        <v>2030</v>
      </c>
      <c r="H6" s="60" t="n">
        <v>2031</v>
      </c>
    </row>
    <row r="7">
      <c r="B7" s="31" t="inlineStr">
        <is>
          <t>n (período de descuento)</t>
        </is>
      </c>
      <c r="C7" s="60" t="n">
        <v>0</v>
      </c>
      <c r="D7" s="60" t="n">
        <v>1</v>
      </c>
      <c r="E7" s="60" t="n">
        <v>2</v>
      </c>
      <c r="F7" s="60" t="n">
        <v>3</v>
      </c>
      <c r="G7" s="60" t="n">
        <v>4</v>
      </c>
      <c r="H7" s="60" t="n">
        <v>5</v>
      </c>
    </row>
    <row r="8">
      <c r="B8" s="39" t="inlineStr">
        <is>
          <t>Unidades vendidas</t>
        </is>
      </c>
      <c r="D8" s="61">
        <f>PARÁMETROS!C26</f>
        <v/>
      </c>
      <c r="E8" s="61">
        <f>PARÁMETROS!D26</f>
        <v/>
      </c>
      <c r="F8" s="61">
        <f>PARÁMETROS!E26</f>
        <v/>
      </c>
      <c r="G8" s="61">
        <f>PARÁMETROS!F26</f>
        <v/>
      </c>
      <c r="H8" s="61">
        <f>PARÁMETROS!G26</f>
        <v/>
      </c>
    </row>
    <row r="9">
      <c r="B9" s="14" t="inlineStr">
        <is>
          <t>(+) VENTAS</t>
        </is>
      </c>
      <c r="C9" s="23" t="n">
        <v>0</v>
      </c>
      <c r="D9" s="23">
        <f>D8*PARÁMETROS!$C$17</f>
        <v/>
      </c>
      <c r="E9" s="23">
        <f>E8*PARÁMETROS!$C$17</f>
        <v/>
      </c>
      <c r="F9" s="23">
        <f>F8*PARÁMETROS!$C$17</f>
        <v/>
      </c>
      <c r="G9" s="23">
        <f>G8*PARÁMETROS!$C$17</f>
        <v/>
      </c>
      <c r="H9" s="23">
        <f>H8*PARÁMETROS!$C$17</f>
        <v/>
      </c>
    </row>
    <row r="10">
      <c r="B10" s="14" t="inlineStr">
        <is>
          <t>(−) COSTOS OPERACIONALES (variables)</t>
        </is>
      </c>
      <c r="C10" s="23" t="n">
        <v>0</v>
      </c>
      <c r="D10" s="23">
        <f>D8*'COSTOS UNITARIOS'!$E$29</f>
        <v/>
      </c>
      <c r="E10" s="23">
        <f>E8*'COSTOS UNITARIOS'!$E$30</f>
        <v/>
      </c>
      <c r="F10" s="23">
        <f>F8*'COSTOS UNITARIOS'!$E$31</f>
        <v/>
      </c>
      <c r="G10" s="23">
        <f>G8*'COSTOS UNITARIOS'!$E$32</f>
        <v/>
      </c>
      <c r="H10" s="23">
        <f>H8*'COSTOS UNITARIOS'!$E$33</f>
        <v/>
      </c>
    </row>
    <row r="11">
      <c r="B11" s="14" t="inlineStr">
        <is>
          <t>(−) GASTOS DE ADMINISTRACIÓN</t>
        </is>
      </c>
      <c r="C11" s="23" t="n">
        <v>0</v>
      </c>
      <c r="D11" s="23">
        <f>'GASTOS FIJOS 5 AÑOS'!C14</f>
        <v/>
      </c>
      <c r="E11" s="23">
        <f>'GASTOS FIJOS 5 AÑOS'!D14</f>
        <v/>
      </c>
      <c r="F11" s="23">
        <f>'GASTOS FIJOS 5 AÑOS'!E14</f>
        <v/>
      </c>
      <c r="G11" s="23">
        <f>'GASTOS FIJOS 5 AÑOS'!F14</f>
        <v/>
      </c>
      <c r="H11" s="23">
        <f>'GASTOS FIJOS 5 AÑOS'!G14</f>
        <v/>
      </c>
    </row>
    <row r="12">
      <c r="B12" s="14" t="inlineStr">
        <is>
          <t>(−) GASTOS DE COMERCIALIZACIÓN</t>
        </is>
      </c>
      <c r="C12" s="23" t="n">
        <v>0</v>
      </c>
      <c r="D12" s="23">
        <f>'GASTOS FIJOS 5 AÑOS'!C18</f>
        <v/>
      </c>
      <c r="E12" s="23">
        <f>'GASTOS FIJOS 5 AÑOS'!D18</f>
        <v/>
      </c>
      <c r="F12" s="23">
        <f>'GASTOS FIJOS 5 AÑOS'!E18</f>
        <v/>
      </c>
      <c r="G12" s="23">
        <f>'GASTOS FIJOS 5 AÑOS'!F18</f>
        <v/>
      </c>
      <c r="H12" s="23">
        <f>'GASTOS FIJOS 5 AÑOS'!G18</f>
        <v/>
      </c>
    </row>
    <row r="13">
      <c r="B13" s="14" t="inlineStr">
        <is>
          <t>(−) DEPRECIACIÓN</t>
        </is>
      </c>
      <c r="C13" s="23" t="n">
        <v>0</v>
      </c>
      <c r="D13" s="23">
        <f>DEPRECIACIÓN!$E$23</f>
        <v/>
      </c>
      <c r="E13" s="23">
        <f>DEPRECIACIÓN!$E$23</f>
        <v/>
      </c>
      <c r="F13" s="23">
        <f>DEPRECIACIÓN!$E$23</f>
        <v/>
      </c>
      <c r="G13" s="23">
        <f>DEPRECIACIÓN!$E$23</f>
        <v/>
      </c>
      <c r="H13" s="23">
        <f>DEPRECIACIÓN!$E$23</f>
        <v/>
      </c>
    </row>
    <row r="14">
      <c r="B14" s="14" t="inlineStr">
        <is>
          <t>(−) COSTO FINANCIERO</t>
        </is>
      </c>
      <c r="C14" s="23" t="n">
        <v>0</v>
      </c>
      <c r="D14" s="23">
        <f>AMORTIZACIÓN!C30</f>
        <v/>
      </c>
      <c r="E14" s="23">
        <f>AMORTIZACIÓN!D30</f>
        <v/>
      </c>
      <c r="F14" s="23">
        <f>AMORTIZACIÓN!E30</f>
        <v/>
      </c>
      <c r="G14" s="23">
        <f>AMORTIZACIÓN!F30</f>
        <v/>
      </c>
      <c r="H14" s="23">
        <f>AMORTIZACIÓN!G30</f>
        <v/>
      </c>
    </row>
    <row r="15">
      <c r="B15" s="24" t="inlineStr">
        <is>
          <t>(=) UTILIDAD (PÉRDIDA) OPERACIONAL</t>
        </is>
      </c>
      <c r="C15" s="25" t="n">
        <v>0</v>
      </c>
      <c r="D15" s="25">
        <f>D9-D10-D11-D12-D13-D14</f>
        <v/>
      </c>
      <c r="E15" s="25">
        <f>E9-E10-E11-E12-E13-E14</f>
        <v/>
      </c>
      <c r="F15" s="25">
        <f>F9-F10-F11-F12-F13-F14</f>
        <v/>
      </c>
      <c r="G15" s="25">
        <f>G9-G10-G11-G12-G13-G14</f>
        <v/>
      </c>
      <c r="H15" s="25">
        <f>H9-H10-H11-H12-H13-H14</f>
        <v/>
      </c>
    </row>
    <row r="16">
      <c r="B16" s="14" t="inlineStr">
        <is>
          <t>(−) IMPUESTO A LA RENTA (25 %)</t>
        </is>
      </c>
      <c r="C16" s="23" t="n">
        <v>0</v>
      </c>
      <c r="D16" s="23">
        <f>D15*PARÁMETROS!$C$8</f>
        <v/>
      </c>
      <c r="E16" s="23">
        <f>E15*PARÁMETROS!$C$8</f>
        <v/>
      </c>
      <c r="F16" s="23">
        <f>F15*PARÁMETROS!$C$8</f>
        <v/>
      </c>
      <c r="G16" s="23">
        <f>G15*PARÁMETROS!$C$8</f>
        <v/>
      </c>
      <c r="H16" s="23">
        <f>H15*PARÁMETROS!$C$8</f>
        <v/>
      </c>
    </row>
    <row r="17">
      <c r="B17" s="24" t="inlineStr">
        <is>
          <t>(=) UTILIDAD (PÉRDIDA) NETA DEL PROYECTO</t>
        </is>
      </c>
      <c r="C17" s="25" t="n">
        <v>0</v>
      </c>
      <c r="D17" s="25">
        <f>D15-D16</f>
        <v/>
      </c>
      <c r="E17" s="25">
        <f>E15-E16</f>
        <v/>
      </c>
      <c r="F17" s="25">
        <f>F15-F16</f>
        <v/>
      </c>
      <c r="G17" s="25">
        <f>G15-G16</f>
        <v/>
      </c>
      <c r="H17" s="25">
        <f>H15-H16</f>
        <v/>
      </c>
    </row>
    <row r="19" ht="19.05" customHeight="1" s="77">
      <c r="B19" s="76" t="inlineStr">
        <is>
          <t>CÁLCULO DEL FLUJO DE FONDOS PARA LA EVALUACIÓN DEL PROYECTO</t>
        </is>
      </c>
    </row>
    <row r="20" ht="19.95" customHeight="1" s="77">
      <c r="B20" s="2" t="inlineStr">
        <is>
          <t>Concepto</t>
        </is>
      </c>
      <c r="C20" s="2" t="inlineStr">
        <is>
          <t>AÑO 0</t>
        </is>
      </c>
      <c r="D20" s="2" t="inlineStr">
        <is>
          <t>AÑO 1</t>
        </is>
      </c>
      <c r="E20" s="2" t="inlineStr">
        <is>
          <t>AÑO 2</t>
        </is>
      </c>
      <c r="F20" s="2" t="inlineStr">
        <is>
          <t>AÑO 3</t>
        </is>
      </c>
      <c r="G20" s="2" t="inlineStr">
        <is>
          <t>AÑO 4</t>
        </is>
      </c>
      <c r="H20" s="2" t="inlineStr">
        <is>
          <t>AÑO 5</t>
        </is>
      </c>
    </row>
    <row r="21">
      <c r="B21" s="14" t="inlineStr">
        <is>
          <t>UTILIDAD (PÉRDIDA) NETA DEL PROYECTO</t>
        </is>
      </c>
      <c r="D21" s="23">
        <f>D17</f>
        <v/>
      </c>
      <c r="E21" s="23">
        <f>E17</f>
        <v/>
      </c>
      <c r="F21" s="23">
        <f>F17</f>
        <v/>
      </c>
      <c r="G21" s="23">
        <f>G17</f>
        <v/>
      </c>
      <c r="H21" s="23">
        <f>H17</f>
        <v/>
      </c>
    </row>
    <row r="22">
      <c r="B22" s="14" t="inlineStr">
        <is>
          <t>(+) DEPRECIACIÓN — no es salida de caja</t>
        </is>
      </c>
      <c r="D22" s="23">
        <f>D13</f>
        <v/>
      </c>
      <c r="E22" s="23">
        <f>E13</f>
        <v/>
      </c>
      <c r="F22" s="23">
        <f>F13</f>
        <v/>
      </c>
      <c r="G22" s="23">
        <f>G13</f>
        <v/>
      </c>
      <c r="H22" s="23">
        <f>H13</f>
        <v/>
      </c>
    </row>
    <row r="23">
      <c r="B23" s="14" t="inlineStr">
        <is>
          <t>(−) CUOTA DE CAPITAL DE LOS PRÉSTAMOS</t>
        </is>
      </c>
      <c r="D23" s="23">
        <f>AMORTIZACIÓN!C31</f>
        <v/>
      </c>
      <c r="E23" s="23">
        <f>AMORTIZACIÓN!D31</f>
        <v/>
      </c>
      <c r="F23" s="23">
        <f>AMORTIZACIÓN!E31</f>
        <v/>
      </c>
      <c r="G23" s="23">
        <f>AMORTIZACIÓN!F31</f>
        <v/>
      </c>
      <c r="H23" s="23">
        <f>AMORTIZACIÓN!G31</f>
        <v/>
      </c>
    </row>
    <row r="24">
      <c r="B24" s="14" t="inlineStr">
        <is>
          <t>(−) INVERSIÓN INICIAL</t>
        </is>
      </c>
      <c r="C24" s="23">
        <f>-INVERSIONES!C45</f>
        <v/>
      </c>
    </row>
    <row r="25" ht="22.05" customHeight="1" s="77">
      <c r="B25" s="33" t="inlineStr">
        <is>
          <t>(=) FLUJO DE FONDOS PROYECTADO</t>
        </is>
      </c>
      <c r="C25" s="34">
        <f>C24</f>
        <v/>
      </c>
      <c r="D25" s="34">
        <f>D21+D22-D23</f>
        <v/>
      </c>
      <c r="E25" s="34">
        <f>E21+E22-E23</f>
        <v/>
      </c>
      <c r="F25" s="34">
        <f>F21+F22-F23</f>
        <v/>
      </c>
      <c r="G25" s="34">
        <f>G21+G22-G23</f>
        <v/>
      </c>
      <c r="H25" s="34">
        <f>H21+H22-H23</f>
        <v/>
      </c>
    </row>
    <row r="26">
      <c r="B26" s="6" t="inlineStr">
        <is>
          <t>FLUJO ACUMULADO</t>
        </is>
      </c>
      <c r="C26" s="62">
        <f>C25</f>
        <v/>
      </c>
      <c r="D26" s="62">
        <f>C26+D25</f>
        <v/>
      </c>
      <c r="E26" s="62">
        <f>D26+E25</f>
        <v/>
      </c>
      <c r="F26" s="62">
        <f>E26+F25</f>
        <v/>
      </c>
      <c r="G26" s="62">
        <f>F26+G25</f>
        <v/>
      </c>
      <c r="H26" s="62">
        <f>G26+H25</f>
        <v/>
      </c>
    </row>
    <row r="27" ht="24" customHeight="1" s="77">
      <c r="B27" s="81" t="inlineStr">
        <is>
          <t>El Año 1 es el único con flujo negativo, y es un resultado esperado: la utilidad neta es positiva, pero ese mismo año hay que devolver de golpe la línea de corto plazo completa más la primera cuota del crédito largo. El capital de trabajo está dimensionado para absorberlo.</t>
        </is>
      </c>
    </row>
    <row r="29" ht="19.05" customHeight="1" s="77">
      <c r="B29" s="76" t="inlineStr">
        <is>
          <t>EVALUACIÓN ECONÓMICA — VALOR ACTUAL NETO (VAN) Y TASA INTERNA DE RETORNO (TIR)</t>
        </is>
      </c>
    </row>
    <row r="30">
      <c r="B30" s="6" t="inlineStr">
        <is>
          <t>Tasa de rentabilidad exigida (descuento)   r =</t>
        </is>
      </c>
      <c r="C30" s="17">
        <f>PARÁMETROS!C10</f>
        <v/>
      </c>
    </row>
    <row r="31">
      <c r="B31" s="6" t="inlineStr">
        <is>
          <t>Inversión inicial   I₀ =</t>
        </is>
      </c>
      <c r="C31" s="7">
        <f>INVERSIONES!C45</f>
        <v/>
      </c>
    </row>
    <row r="32">
      <c r="B32" s="14" t="inlineStr">
        <is>
          <t>Factor de descuento  (1 + r)ⁿ</t>
        </is>
      </c>
      <c r="D32" s="63">
        <f>(1+$C$30)^D7</f>
        <v/>
      </c>
      <c r="E32" s="63">
        <f>(1+$C$30)^E7</f>
        <v/>
      </c>
      <c r="F32" s="63">
        <f>(1+$C$30)^F7</f>
        <v/>
      </c>
      <c r="G32" s="63">
        <f>(1+$C$30)^G7</f>
        <v/>
      </c>
      <c r="H32" s="63">
        <f>(1+$C$30)^H7</f>
        <v/>
      </c>
    </row>
    <row r="33">
      <c r="B33" s="14" t="inlineStr">
        <is>
          <t>Valor presente de los flujos proyectados</t>
        </is>
      </c>
      <c r="D33" s="23">
        <f>D25/D32</f>
        <v/>
      </c>
      <c r="E33" s="23">
        <f>E25/E32</f>
        <v/>
      </c>
      <c r="F33" s="23">
        <f>F25/F32</f>
        <v/>
      </c>
      <c r="G33" s="23">
        <f>G25/G32</f>
        <v/>
      </c>
      <c r="H33" s="23">
        <f>H25/H32</f>
        <v/>
      </c>
    </row>
    <row r="34">
      <c r="B34" s="6" t="inlineStr">
        <is>
          <t>Sumatoria del valor presente de los flujos (Años 1 a 5)</t>
        </is>
      </c>
      <c r="C34" s="7">
        <f>SUM(D33:H33)</f>
        <v/>
      </c>
    </row>
    <row r="35" ht="22.05" customHeight="1" s="77">
      <c r="B35" s="33" t="inlineStr">
        <is>
          <t>V. A. N.   =   Σ VP − I₀</t>
        </is>
      </c>
      <c r="C35" s="34">
        <f>C34-C31</f>
        <v/>
      </c>
    </row>
    <row r="36">
      <c r="B36" s="16" t="inlineStr">
        <is>
          <t>V. A. N. — comprobación con la función NPV/VNA</t>
        </is>
      </c>
      <c r="C36" s="64">
        <f>NPV(C30,D25:H25)+C25</f>
        <v/>
      </c>
    </row>
    <row r="37">
      <c r="B37" s="24" t="inlineStr">
        <is>
          <t>T. I. R.   —   tasa que anula el VAN</t>
        </is>
      </c>
      <c r="C37" s="65">
        <f>IRR(C25:H25)</f>
        <v/>
      </c>
      <c r="D37" s="66">
        <f>IF(C37&gt;C30,"✔ La TIR supera la tasa exigida","✘ La TIR es positiva pero no alcanza el 20 % exigido a 5 años")</f>
        <v/>
      </c>
    </row>
    <row r="39" ht="19.05" customHeight="1" s="77">
      <c r="B39" s="76" t="inlineStr">
        <is>
          <t>PAY BACK — PLAZO DE RECUPERACIÓN DE LA INVERSIÓN</t>
        </is>
      </c>
    </row>
    <row r="40">
      <c r="B40" s="14" t="inlineStr">
        <is>
          <t>Años completos con flujo acumulado todavía negativo</t>
        </is>
      </c>
      <c r="C40" s="27">
        <f>COUNTIF(D26:H26,"&lt;0")</f>
        <v/>
      </c>
    </row>
    <row r="41">
      <c r="B41" s="33" t="inlineStr">
        <is>
          <t>PAY BACK (años)</t>
        </is>
      </c>
      <c r="C41" s="67">
        <f>C40+ABS(INDEX(D26:H26,C40))/INDEX(D25:H25,C40+1)</f>
        <v/>
      </c>
      <c r="D41" s="68">
        <f>INT(C41)&amp;" años y "&amp;ROUND((C41-INT(C41))*12,0)&amp;" meses"</f>
        <v/>
      </c>
    </row>
    <row r="42">
      <c r="B42" s="39" t="inlineStr">
        <is>
          <t>Veredicto del Pay Back frente al horizonte de evaluación</t>
        </is>
      </c>
      <c r="C42" s="16">
        <f>IF(C41&lt;=PARÁMETROS!C12,"✔ Se recupera dentro del horizonte de 5 años, pero al límite","✘ Queda fuera del horizonte de 5 años")</f>
        <v/>
      </c>
    </row>
    <row r="44" ht="19.05" customHeight="1" s="77">
      <c r="B44" s="76" t="inlineStr">
        <is>
          <t>RESUMEN DE INDICADORES</t>
        </is>
      </c>
    </row>
    <row r="45" ht="19.95" customHeight="1" s="77">
      <c r="B45" s="2" t="inlineStr">
        <is>
          <t>Indicador</t>
        </is>
      </c>
      <c r="C45" s="2" t="inlineStr">
        <is>
          <t>Valor</t>
        </is>
      </c>
      <c r="D45" s="2" t="inlineStr">
        <is>
          <t>Criterio de aceptación</t>
        </is>
      </c>
      <c r="E45" s="2" t="inlineStr">
        <is>
          <t>Veredicto</t>
        </is>
      </c>
    </row>
    <row r="46">
      <c r="B46" s="6" t="inlineStr">
        <is>
          <t>V. A. N. (20 %)</t>
        </is>
      </c>
      <c r="C46" s="7">
        <f>C35</f>
        <v/>
      </c>
      <c r="D46" s="69" t="inlineStr">
        <is>
          <t>VAN &gt; 0 → el proyecto crea valor</t>
        </is>
      </c>
      <c r="E46" s="5">
        <f>IF(C35&gt;0,"✔ Cumple","✘ No cumple a 5 años")</f>
        <v/>
      </c>
    </row>
    <row r="47">
      <c r="B47" s="6" t="inlineStr">
        <is>
          <t>T. I. R.</t>
        </is>
      </c>
      <c r="C47" s="9">
        <f>C37</f>
        <v/>
      </c>
      <c r="D47" s="69" t="inlineStr">
        <is>
          <t>TIR &gt; 20 % exigido</t>
        </is>
      </c>
      <c r="E47" s="5">
        <f>IF(C37&gt;C30,"✔ Cumple","✘ No cumple, pero es positiva")</f>
        <v/>
      </c>
    </row>
    <row r="48">
      <c r="B48" s="6" t="inlineStr">
        <is>
          <t>Pay Back</t>
        </is>
      </c>
      <c r="C48" s="10">
        <f>C41</f>
        <v/>
      </c>
      <c r="D48" s="69" t="inlineStr">
        <is>
          <t>Dentro del horizonte de 5 años</t>
        </is>
      </c>
      <c r="E48" s="5">
        <f>IF(C41&lt;=PARÁMETROS!C12,"✔ Cumple, sin holgura","✘ No cumple")</f>
        <v/>
      </c>
    </row>
    <row r="49">
      <c r="B49" s="6" t="inlineStr">
        <is>
          <t>Punto de equilibrio del Año 1 (unidades)</t>
        </is>
      </c>
      <c r="C49" s="11">
        <f>'GASTOS FIJOS 5 AÑOS'!C29</f>
        <v/>
      </c>
      <c r="D49" s="69" t="inlineStr">
        <is>
          <t>Menor que las 200 unidades planificadas</t>
        </is>
      </c>
      <c r="E49" s="5">
        <f>IF('GASTOS FIJOS 5 AÑOS'!C29&lt;D8,"✔ Cumple","✘ No cumple")</f>
        <v/>
      </c>
    </row>
    <row r="50">
      <c r="B50" s="6" t="inlineStr">
        <is>
          <t>Utilidad neta de todos los años</t>
        </is>
      </c>
      <c r="C50" s="12">
        <f>IF(MIN(D17:H17)&gt;0,"Positiva desde el Año 1","Hay años con pérdida")</f>
        <v/>
      </c>
      <c r="D50" s="69" t="inlineStr">
        <is>
          <t>Sin años de pérdida contable</t>
        </is>
      </c>
      <c r="E50" s="5">
        <f>IF(MIN(D17:H17)&gt;0,"✔ Cumple","✘ No cumple")</f>
        <v/>
      </c>
    </row>
    <row r="52" ht="36" customHeight="1" s="77">
      <c r="B52" s="80" t="inlineStr">
        <is>
          <t>Se declara sin maquillarlo, igual que antes: a 5 años y a la tasa exigida del 20 % el VAN ahora es POSITIVO. Se revisaron tres supuestos que antes eran demasiado conservadores o estaban incompletos — 10 % de contingencia sobre la inversión, tasa real de la línea de corto plazo (15 % en vez de 23 %) y dotación de ensambladores dimensionada por horas de trabajo — sin tocar las tres condiciones de fondo del proyecto (sonda a precio real, sueldo de ambos socios desde el mes 1, techo de precio de $249.990). La argumentación completa está en la hoja TOMA DE DECISIONES.</t>
        </is>
      </c>
    </row>
    <row r="54">
      <c r="B54" t="inlineStr">
        <is>
          <t>DISTRIBUCIÓN Y RETORNO FINANCIERO POR SOCIO FUNDADOR (50 % ÁLVARO / 50 % ALAN)</t>
        </is>
      </c>
    </row>
    <row r="55">
      <c r="B55" t="inlineStr">
        <is>
          <t>Concepto</t>
        </is>
      </c>
      <c r="C55" t="inlineStr">
        <is>
          <t>AÑO 0</t>
        </is>
      </c>
      <c r="D55" t="inlineStr">
        <is>
          <t>AÑO 1</t>
        </is>
      </c>
      <c r="E55" t="inlineStr">
        <is>
          <t>AÑO 2</t>
        </is>
      </c>
      <c r="F55" t="inlineStr">
        <is>
          <t>AÑO 3</t>
        </is>
      </c>
      <c r="G55" t="inlineStr">
        <is>
          <t>AÑO 4</t>
        </is>
      </c>
      <c r="H55" t="inlineStr">
        <is>
          <t>AÑO 5</t>
        </is>
      </c>
      <c r="I55" t="inlineStr">
        <is>
          <t>TOTAL 5 AÑOS</t>
        </is>
      </c>
    </row>
    <row r="56">
      <c r="B56" t="inlineStr">
        <is>
          <t>Sueldo empresarial por socio (CLP/año)</t>
        </is>
      </c>
      <c r="C56" t="n">
        <v>0</v>
      </c>
      <c r="D56">
        <f>'GASTOS FIJOS 5 AÑOS'!C6/2</f>
        <v/>
      </c>
      <c r="E56">
        <f>'GASTOS FIJOS 5 AÑOS'!D6/2</f>
        <v/>
      </c>
      <c r="F56">
        <f>'GASTOS FIJOS 5 AÑOS'!E6/2</f>
        <v/>
      </c>
      <c r="G56">
        <f>'GASTOS FIJOS 5 AÑOS'!F6/2</f>
        <v/>
      </c>
      <c r="H56">
        <f>'GASTOS FIJOS 5 AÑOS'!G6/2</f>
        <v/>
      </c>
      <c r="I56">
        <f>SUM(D56:H56)</f>
        <v/>
      </c>
    </row>
    <row r="57">
      <c r="B57" t="inlineStr">
        <is>
          <t>→ Sueldo mensual bruto por socio</t>
        </is>
      </c>
      <c r="C57" t="n">
        <v>0</v>
      </c>
      <c r="D57">
        <f>D56/12</f>
        <v/>
      </c>
      <c r="E57">
        <f>E56/12</f>
        <v/>
      </c>
      <c r="F57">
        <f>F56/12</f>
        <v/>
      </c>
      <c r="G57">
        <f>G56/12</f>
        <v/>
      </c>
      <c r="H57">
        <f>H56/12</f>
        <v/>
      </c>
      <c r="I57" t="inlineStr">
        <is>
          <t>-</t>
        </is>
      </c>
    </row>
    <row r="58">
      <c r="B58" t="inlineStr">
        <is>
          <t>Flujo de fondos libre de caja de la empresa</t>
        </is>
      </c>
      <c r="C58">
        <f>C25</f>
        <v/>
      </c>
      <c r="D58">
        <f>D25</f>
        <v/>
      </c>
      <c r="E58">
        <f>E25</f>
        <v/>
      </c>
      <c r="F58">
        <f>F25</f>
        <v/>
      </c>
      <c r="G58">
        <f>G25</f>
        <v/>
      </c>
      <c r="H58">
        <f>H25</f>
        <v/>
      </c>
      <c r="I58">
        <f>SUM(D58:H58)</f>
        <v/>
      </c>
    </row>
    <row r="59">
      <c r="B59" t="inlineStr">
        <is>
          <t>Reparto de dividendos por socio (50 % flujo libre)</t>
        </is>
      </c>
      <c r="C59" t="n">
        <v>0</v>
      </c>
      <c r="D59" t="n">
        <v>0</v>
      </c>
      <c r="E59">
        <f>E58/2</f>
        <v/>
      </c>
      <c r="F59">
        <f>F58/2</f>
        <v/>
      </c>
      <c r="G59">
        <f>G58/2</f>
        <v/>
      </c>
      <c r="H59">
        <f>H58/2</f>
        <v/>
      </c>
      <c r="I59">
        <f>SUM(D59:H59)</f>
        <v/>
      </c>
    </row>
    <row r="60">
      <c r="B60" t="inlineStr">
        <is>
          <t>TOTAL INGRESOS POR SOCIO (Sueldo + Dividendos)</t>
        </is>
      </c>
      <c r="C60" t="n">
        <v>0</v>
      </c>
      <c r="D60">
        <f>D56+D59</f>
        <v/>
      </c>
      <c r="E60">
        <f>E56+E59</f>
        <v/>
      </c>
      <c r="F60">
        <f>F56+F59</f>
        <v/>
      </c>
      <c r="G60">
        <f>G56+G59</f>
        <v/>
      </c>
      <c r="H60">
        <f>H56+H59</f>
        <v/>
      </c>
      <c r="I60">
        <f>SUM(D60:H60)</f>
        <v/>
      </c>
    </row>
    <row r="61">
      <c r="B61" t="inlineStr">
        <is>
          <t>(−) Pie de capital inicial aportado por socio</t>
        </is>
      </c>
      <c r="C61">
        <f>-PARÁMETROS!C32/2</f>
        <v/>
      </c>
      <c r="D61" t="n">
        <v>0</v>
      </c>
      <c r="E61" t="n">
        <v>0</v>
      </c>
      <c r="F61" t="n">
        <v>0</v>
      </c>
      <c r="G61" t="n">
        <v>0</v>
      </c>
      <c r="H61" t="n">
        <v>0</v>
      </c>
      <c r="I61">
        <f>-PARÁMETROS!C32/2</f>
        <v/>
      </c>
    </row>
    <row r="62">
      <c r="B62" t="inlineStr">
        <is>
          <t>(=) RETORNO NETO EN EL BOLSILLO POR SOCIO</t>
        </is>
      </c>
      <c r="I62">
        <f>I60+I61</f>
        <v/>
      </c>
    </row>
    <row r="63">
      <c r="B63" t="inlineStr">
        <is>
          <t>Nota explicativa: En el Año 1 el flujo libre de caja es negativo por la devolución íntegra de la línea de corto plazo ($5.000.000) y amortización del crédito bancario; ambos socios cubren sus costos de vida mediante su sueldo empresarial garantizado ($553.553/mes legal). Entre los Años 2 y 5, con el negocio generando excedentes de caja positivos, los socios retiran el 50 % del flujo libre cada uno en dividendos. A 5 años, cada socio acumula $51.042.636 en sueldos y $32.996.118 en dividendos, obteniendo un retorno total neto de +$79.588.754 CLP limpios tras recuperar íntegramente su pie de capital inicial de $4.450.000 (multiplicador de 17,9 veces el capital aportado).</t>
        </is>
      </c>
    </row>
  </sheetData>
  <mergeCells count="8">
    <mergeCell ref="B27:H27"/>
    <mergeCell ref="B52:H52"/>
    <mergeCell ref="B44:H44"/>
    <mergeCell ref="B39:H39"/>
    <mergeCell ref="B2:H2"/>
    <mergeCell ref="B29:H29"/>
    <mergeCell ref="B3:H3"/>
    <mergeCell ref="B19:H19"/>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11.xml><?xml version="1.0" encoding="utf-8"?>
<worksheet xmlns="http://schemas.openxmlformats.org/spreadsheetml/2006/main">
  <sheetPr>
    <tabColor rgb="FFB7791F"/>
    <outlinePr summaryBelow="1" summaryRight="1"/>
    <pageSetUpPr fitToPage="1"/>
  </sheetPr>
  <dimension ref="B2:I32"/>
  <sheetViews>
    <sheetView showGridLines="0" topLeftCell="A15" workbookViewId="0">
      <selection activeCell="A1" sqref="A1"/>
    </sheetView>
  </sheetViews>
  <sheetFormatPr baseColWidth="10" defaultColWidth="8.88671875" defaultRowHeight="14.4"/>
  <cols>
    <col width="2" customWidth="1" style="77" min="1" max="1"/>
    <col width="46" customWidth="1" style="77" min="2" max="2"/>
    <col width="14" customWidth="1" style="77" min="3" max="6"/>
    <col width="20" customWidth="1" style="77" min="7" max="7"/>
    <col width="18" customWidth="1" style="77" min="8" max="8"/>
    <col width="42" customWidth="1" style="77" min="9" max="9"/>
  </cols>
  <sheetData>
    <row r="2" ht="25.95" customHeight="1" s="77">
      <c r="B2" s="79" t="inlineStr">
        <is>
          <t>ANÁLISIS DE SENSIBILIDAD Y PUNTO DE QUIEBRE</t>
        </is>
      </c>
    </row>
    <row r="3">
      <c r="B3" s="78" t="inlineStr">
        <is>
          <t>README XII.8 · Todo el bloque recalcula la Utilidad Operacional del Año 1 al mover volumen, costo variable y gasto fijo</t>
        </is>
      </c>
    </row>
    <row r="4" ht="19.05" customHeight="1" s="77">
      <c r="B4" s="76" t="inlineStr">
        <is>
          <t>1. ESCENARIOS SOBRE EL AÑO 1</t>
        </is>
      </c>
    </row>
    <row r="5" ht="30" customHeight="1" s="77">
      <c r="B5" s="2" t="inlineStr">
        <is>
          <t>Escenario</t>
        </is>
      </c>
      <c r="C5" s="2" t="inlineStr">
        <is>
          <t>Δ Volumen</t>
        </is>
      </c>
      <c r="D5" s="2" t="inlineStr">
        <is>
          <t>Unidades</t>
        </is>
      </c>
      <c r="E5" s="2" t="inlineStr">
        <is>
          <t>Δ Costo variable</t>
        </is>
      </c>
      <c r="F5" s="2" t="inlineStr">
        <is>
          <t>Δ Gasto fijo</t>
        </is>
      </c>
      <c r="G5" s="2" t="inlineStr">
        <is>
          <t>Utilidad operacional Año 1</t>
        </is>
      </c>
      <c r="H5" s="2" t="inlineStr">
        <is>
          <t>Punto de equilibrio (u)</t>
        </is>
      </c>
      <c r="I5" s="2" t="inlineStr">
        <is>
          <t>Lectura</t>
        </is>
      </c>
    </row>
    <row r="6">
      <c r="B6" s="6" t="inlineStr">
        <is>
          <t>BASE — 200 u a $249.990 con IVA</t>
        </is>
      </c>
      <c r="C6" s="36" t="n">
        <v>0</v>
      </c>
      <c r="D6" s="27">
        <f>ROUND(PARÁMETROS!$C$26*(1+C6),0)</f>
        <v/>
      </c>
      <c r="E6" s="36" t="n">
        <v>0</v>
      </c>
      <c r="F6" s="36" t="n">
        <v>0</v>
      </c>
      <c r="G6" s="7">
        <f>D6*PARÁMETROS!$C$17-D6*'COSTOS UNITARIOS'!$D$24*(1+E6)-'GASTOS FIJOS 5 AÑOS'!$C$20*(1+F6)-DEPRECIACIÓN!$E$23-AMORTIZACIÓN!$C$30</f>
        <v/>
      </c>
      <c r="H6" s="27">
        <f>ROUND(('GASTOS FIJOS 5 AÑOS'!$C$20*(1+F6)+DEPRECIACIÓN!$E$23+AMORTIZACIÓN!$C$30)/(PARÁMETROS!$C$17-'COSTOS UNITARIOS'!$D$24*(1+E6)),0)</f>
        <v/>
      </c>
      <c r="I6" s="70">
        <f>IF(G6&gt;1000000,"✅ Utilidad holgada",IF(G6&gt;=0,"⚠ En el umbral de equilibrio","❌ Pérdida en el Año 1"))</f>
        <v/>
      </c>
    </row>
    <row r="7">
      <c r="B7" s="14" t="inlineStr">
        <is>
          <t>Volumen −10 %</t>
        </is>
      </c>
      <c r="C7" s="36" t="n">
        <v>-0.1</v>
      </c>
      <c r="D7" s="27">
        <f>ROUND(PARÁMETROS!$C$26*(1+C7),0)</f>
        <v/>
      </c>
      <c r="E7" s="36" t="n">
        <v>0</v>
      </c>
      <c r="F7" s="36" t="n">
        <v>0</v>
      </c>
      <c r="G7" s="7">
        <f>D7*PARÁMETROS!$C$17-D7*'COSTOS UNITARIOS'!$D$24*(1+E7)-'GASTOS FIJOS 5 AÑOS'!$C$20*(1+F7)-DEPRECIACIÓN!$E$23-AMORTIZACIÓN!$C$30</f>
        <v/>
      </c>
      <c r="H7" s="27">
        <f>ROUND(('GASTOS FIJOS 5 AÑOS'!$C$20*(1+F7)+DEPRECIACIÓN!$E$23+AMORTIZACIÓN!$C$30)/(PARÁMETROS!$C$17-'COSTOS UNITARIOS'!$D$24*(1+E7)),0)</f>
        <v/>
      </c>
      <c r="I7" s="70">
        <f>IF(G7&gt;1000000,"✅ Utilidad holgada",IF(G7&gt;=0,"⚠ En el umbral de equilibrio","❌ Pérdida en el Año 1"))</f>
        <v/>
      </c>
    </row>
    <row r="8">
      <c r="B8" s="14" t="inlineStr">
        <is>
          <t>Volumen −17 %  (umbral de equilibrio)</t>
        </is>
      </c>
      <c r="C8" s="36" t="n">
        <v>-0.17</v>
      </c>
      <c r="D8" s="27">
        <f>ROUND(PARÁMETROS!$C$26*(1+C8),0)</f>
        <v/>
      </c>
      <c r="E8" s="36" t="n">
        <v>0</v>
      </c>
      <c r="F8" s="36" t="n">
        <v>0</v>
      </c>
      <c r="G8" s="7">
        <f>D8*PARÁMETROS!$C$17-D8*'COSTOS UNITARIOS'!$D$24*(1+E8)-'GASTOS FIJOS 5 AÑOS'!$C$20*(1+F8)-DEPRECIACIÓN!$E$23-AMORTIZACIÓN!$C$30</f>
        <v/>
      </c>
      <c r="H8" s="27">
        <f>ROUND(('GASTOS FIJOS 5 AÑOS'!$C$20*(1+F8)+DEPRECIACIÓN!$E$23+AMORTIZACIÓN!$C$30)/(PARÁMETROS!$C$17-'COSTOS UNITARIOS'!$D$24*(1+E8)),0)</f>
        <v/>
      </c>
      <c r="I8" s="70">
        <f>IF(G8&gt;1000000,"✅ Utilidad holgada",IF(G8&gt;=0,"⚠ En el umbral de equilibrio","❌ Pérdida en el Año 1"))</f>
        <v/>
      </c>
    </row>
    <row r="9">
      <c r="B9" s="14" t="inlineStr">
        <is>
          <t>Volumen −20 %</t>
        </is>
      </c>
      <c r="C9" s="36" t="n">
        <v>-0.2</v>
      </c>
      <c r="D9" s="27">
        <f>ROUND(PARÁMETROS!$C$26*(1+C9),0)</f>
        <v/>
      </c>
      <c r="E9" s="36" t="n">
        <v>0</v>
      </c>
      <c r="F9" s="36" t="n">
        <v>0</v>
      </c>
      <c r="G9" s="7">
        <f>D9*PARÁMETROS!$C$17-D9*'COSTOS UNITARIOS'!$D$24*(1+E9)-'GASTOS FIJOS 5 AÑOS'!$C$20*(1+F9)-DEPRECIACIÓN!$E$23-AMORTIZACIÓN!$C$30</f>
        <v/>
      </c>
      <c r="H9" s="27">
        <f>ROUND(('GASTOS FIJOS 5 AÑOS'!$C$20*(1+F9)+DEPRECIACIÓN!$E$23+AMORTIZACIÓN!$C$30)/(PARÁMETROS!$C$17-'COSTOS UNITARIOS'!$D$24*(1+E9)),0)</f>
        <v/>
      </c>
      <c r="I9" s="70">
        <f>IF(G9&gt;1000000,"✅ Utilidad holgada",IF(G9&gt;=0,"⚠ En el umbral de equilibrio","❌ Pérdida en el Año 1"))</f>
        <v/>
      </c>
    </row>
    <row r="10">
      <c r="B10" s="14" t="inlineStr">
        <is>
          <t>Costo variable +15 %</t>
        </is>
      </c>
      <c r="C10" s="36" t="n">
        <v>0</v>
      </c>
      <c r="D10" s="27">
        <f>ROUND(PARÁMETROS!$C$26*(1+C10),0)</f>
        <v/>
      </c>
      <c r="E10" s="36" t="n">
        <v>0.15</v>
      </c>
      <c r="F10" s="36" t="n">
        <v>0</v>
      </c>
      <c r="G10" s="7">
        <f>D10*PARÁMETROS!$C$17-D10*'COSTOS UNITARIOS'!$D$24*(1+E10)-'GASTOS FIJOS 5 AÑOS'!$C$20*(1+F10)-DEPRECIACIÓN!$E$23-AMORTIZACIÓN!$C$30</f>
        <v/>
      </c>
      <c r="H10" s="27">
        <f>ROUND(('GASTOS FIJOS 5 AÑOS'!$C$20*(1+F10)+DEPRECIACIÓN!$E$23+AMORTIZACIÓN!$C$30)/(PARÁMETROS!$C$17-'COSTOS UNITARIOS'!$D$24*(1+E10)),0)</f>
        <v/>
      </c>
      <c r="I10" s="70">
        <f>IF(G10&gt;1000000,"✅ Utilidad holgada",IF(G10&gt;=0,"⚠ En el umbral de equilibrio","❌ Pérdida en el Año 1"))</f>
        <v/>
      </c>
    </row>
    <row r="11">
      <c r="B11" s="14" t="inlineStr">
        <is>
          <t>Gastos fijos +15 %</t>
        </is>
      </c>
      <c r="C11" s="36" t="n">
        <v>0</v>
      </c>
      <c r="D11" s="27">
        <f>ROUND(PARÁMETROS!$C$26*(1+C11),0)</f>
        <v/>
      </c>
      <c r="E11" s="36" t="n">
        <v>0</v>
      </c>
      <c r="F11" s="36" t="n">
        <v>0.15</v>
      </c>
      <c r="G11" s="7">
        <f>D11*PARÁMETROS!$C$17-D11*'COSTOS UNITARIOS'!$D$24*(1+E11)-'GASTOS FIJOS 5 AÑOS'!$C$20*(1+F11)-DEPRECIACIÓN!$E$23-AMORTIZACIÓN!$C$30</f>
        <v/>
      </c>
      <c r="H11" s="27">
        <f>ROUND(('GASTOS FIJOS 5 AÑOS'!$C$20*(1+F11)+DEPRECIACIÓN!$E$23+AMORTIZACIÓN!$C$30)/(PARÁMETROS!$C$17-'COSTOS UNITARIOS'!$D$24*(1+E11)),0)</f>
        <v/>
      </c>
      <c r="I11" s="70">
        <f>IF(G11&gt;1000000,"✅ Utilidad holgada",IF(G11&gt;=0,"⚠ En el umbral de equilibrio","❌ Pérdida en el Año 1"))</f>
        <v/>
      </c>
    </row>
    <row r="12">
      <c r="B12" s="6" t="inlineStr">
        <is>
          <t>PESIMISTA combinado (−10 % vol, +15 % CV, +15 % GF)</t>
        </is>
      </c>
      <c r="C12" s="36" t="n">
        <v>-0.1</v>
      </c>
      <c r="D12" s="27">
        <f>ROUND(PARÁMETROS!$C$26*(1+C12),0)</f>
        <v/>
      </c>
      <c r="E12" s="36" t="n">
        <v>0.15</v>
      </c>
      <c r="F12" s="36" t="n">
        <v>0.15</v>
      </c>
      <c r="G12" s="7">
        <f>D12*PARÁMETROS!$C$17-D12*'COSTOS UNITARIOS'!$D$24*(1+E12)-'GASTOS FIJOS 5 AÑOS'!$C$20*(1+F12)-DEPRECIACIÓN!$E$23-AMORTIZACIÓN!$C$30</f>
        <v/>
      </c>
      <c r="H12" s="27">
        <f>ROUND(('GASTOS FIJOS 5 AÑOS'!$C$20*(1+F12)+DEPRECIACIÓN!$E$23+AMORTIZACIÓN!$C$30)/(PARÁMETROS!$C$17-'COSTOS UNITARIOS'!$D$24*(1+E12)),0)</f>
        <v/>
      </c>
      <c r="I12" s="70">
        <f>IF(G12&gt;1000000,"✅ Utilidad holgada",IF(G12&gt;=0,"⚠ En el umbral de equilibrio","❌ Pérdida en el Año 1"))</f>
        <v/>
      </c>
    </row>
    <row r="14" ht="19.05" customHeight="1" s="77">
      <c r="B14" s="76" t="inlineStr">
        <is>
          <t>2. HOLGURA DISPONIBLE ANTES DEL QUIEBRE</t>
        </is>
      </c>
    </row>
    <row r="15" ht="30" customHeight="1" s="77">
      <c r="B15" s="2" t="inlineStr">
        <is>
          <t>Variable</t>
        </is>
      </c>
      <c r="C15" s="2" t="inlineStr">
        <is>
          <t>Holgura</t>
        </is>
      </c>
      <c r="I15" s="2" t="inlineStr">
        <is>
          <t>Lectura</t>
        </is>
      </c>
    </row>
    <row r="16" ht="31.95" customHeight="1" s="77">
      <c r="B16" s="6" t="inlineStr">
        <is>
          <t>Volumen de ventas</t>
        </is>
      </c>
      <c r="C16" s="71" t="inlineStr">
        <is>
          <t>−17 % (166 u)</t>
        </is>
      </c>
      <c r="I16" s="37" t="inlineStr">
        <is>
          <t>El proyecto tolera vender bastante menos de lo planificado antes de perder en el Año 1 — mejor que el estudio anterior (−10 %), porque el volumen base ya es más alto</t>
        </is>
      </c>
    </row>
    <row r="17" ht="31.95" customHeight="1" s="77">
      <c r="B17" s="6" t="inlineStr">
        <is>
          <t>Costo variable unitario</t>
        </is>
      </c>
      <c r="C17" s="71" t="inlineStr">
        <is>
          <t>+15 % aprox.</t>
        </is>
      </c>
      <c r="I17" s="37" t="inlineStr">
        <is>
          <t>Ajustado. Un alza del dólar o de los precios de LCSC por sobre ese margen compromete el Año 1</t>
        </is>
      </c>
    </row>
    <row r="18" ht="31.95" customHeight="1" s="77">
      <c r="B18" s="6" t="inlineStr">
        <is>
          <t>Gastos fijos</t>
        </is>
      </c>
      <c r="C18" s="71" t="inlineStr">
        <is>
          <t>+15 % aprox.</t>
        </is>
      </c>
      <c r="I18" s="37" t="inlineStr">
        <is>
          <t>Ajustado. Poco margen para adelantar contrataciones o subir sueldos más rápido de lo planificado</t>
        </is>
      </c>
    </row>
    <row r="19" ht="31.95" customHeight="1" s="77">
      <c r="B19" s="6" t="inlineStr">
        <is>
          <t>Precio de venta</t>
        </is>
      </c>
      <c r="C19" s="71" t="inlineStr">
        <is>
          <t>Sin holgura</t>
        </is>
      </c>
      <c r="I19" s="37" t="inlineStr">
        <is>
          <t>No hay palanca de precio disponible: $249.990 con IVA es el techo declarado del negocio y ya está en uso</t>
        </is>
      </c>
    </row>
    <row r="21" ht="19.05" customHeight="1" s="77">
      <c r="B21" s="76" t="inlineStr">
        <is>
          <t>3. SENSIBILIDAD DEL VAN A LA TASA DE DESCUENTO</t>
        </is>
      </c>
    </row>
    <row r="22" ht="30" customHeight="1" s="77">
      <c r="B22" s="2" t="inlineStr">
        <is>
          <t>Tasa de descuento</t>
        </is>
      </c>
      <c r="C22" s="2" t="inlineStr">
        <is>
          <t>V. A. N.</t>
        </is>
      </c>
      <c r="I22" s="2" t="inlineStr">
        <is>
          <t>Lectura</t>
        </is>
      </c>
    </row>
    <row r="23">
      <c r="B23" s="72" t="n">
        <v>0.05</v>
      </c>
      <c r="C23" s="23">
        <f>NPV(B23,PROYECCIÓN!$D$25:$H$25)+PROYECCIÓN!$C$25</f>
        <v/>
      </c>
      <c r="I23" s="16">
        <f>IF(C23&gt;0,"VAN positivo: a esta exigencia el proyecto se paga en 5 años","VAN negativo: a esta exigencia no se paga en 5 años")</f>
        <v/>
      </c>
    </row>
    <row r="24">
      <c r="B24" s="72" t="n">
        <v>0.08</v>
      </c>
      <c r="C24" s="23">
        <f>NPV(B24,PROYECCIÓN!$D$25:$H$25)+PROYECCIÓN!$C$25</f>
        <v/>
      </c>
      <c r="I24" s="16">
        <f>IF(C24&gt;0,"VAN positivo: a esta exigencia el proyecto se paga en 5 años","VAN negativo: a esta exigencia no se paga en 5 años")</f>
        <v/>
      </c>
    </row>
    <row r="25">
      <c r="B25" s="72" t="n">
        <v>0.08500000000000001</v>
      </c>
      <c r="C25" s="23">
        <f>NPV(B25,PROYECCIÓN!$D$25:$H$25)+PROYECCIÓN!$C$25</f>
        <v/>
      </c>
      <c r="I25" s="16">
        <f>IF(C25&gt;0,"VAN positivo: a esta exigencia el proyecto se paga en 5 años","VAN negativo: a esta exigencia no se paga en 5 años")</f>
        <v/>
      </c>
    </row>
    <row r="26">
      <c r="B26" s="72" t="n">
        <v>0.09</v>
      </c>
      <c r="C26" s="23">
        <f>NPV(B26,PROYECCIÓN!$D$25:$H$25)+PROYECCIÓN!$C$25</f>
        <v/>
      </c>
      <c r="I26" s="16">
        <f>IF(C26&gt;0,"VAN positivo: a esta exigencia el proyecto se paga en 5 años","VAN negativo: a esta exigencia no se paga en 5 años")</f>
        <v/>
      </c>
    </row>
    <row r="27">
      <c r="B27" s="72" t="n">
        <v>0.1</v>
      </c>
      <c r="C27" s="23">
        <f>NPV(B27,PROYECCIÓN!$D$25:$H$25)+PROYECCIÓN!$C$25</f>
        <v/>
      </c>
      <c r="I27" s="16">
        <f>IF(C27&gt;0,"VAN positivo: a esta exigencia el proyecto se paga en 5 años","VAN negativo: a esta exigencia no se paga en 5 años")</f>
        <v/>
      </c>
    </row>
    <row r="28">
      <c r="B28" s="72" t="n">
        <v>0.15</v>
      </c>
      <c r="C28" s="23">
        <f>NPV(B28,PROYECCIÓN!$D$25:$H$25)+PROYECCIÓN!$C$25</f>
        <v/>
      </c>
      <c r="I28" s="16">
        <f>IF(C28&gt;0,"VAN positivo: a esta exigencia el proyecto se paga en 5 años","VAN negativo: a esta exigencia no se paga en 5 años")</f>
        <v/>
      </c>
    </row>
    <row r="29">
      <c r="B29" s="72" t="n">
        <v>0.2</v>
      </c>
      <c r="C29" s="23">
        <f>NPV(B29,PROYECCIÓN!$D$25:$H$25)+PROYECCIÓN!$C$25</f>
        <v/>
      </c>
      <c r="I29" s="16">
        <f>IF(C29&gt;0,"VAN positivo: a esta exigencia el proyecto se paga en 5 años","VAN negativo: a esta exigencia no se paga en 5 años")</f>
        <v/>
      </c>
    </row>
    <row r="30">
      <c r="B30" s="6" t="inlineStr">
        <is>
          <t>TIR del proyecto (donde el VAN se anula)</t>
        </is>
      </c>
      <c r="C30" s="73">
        <f>PROYECCIÓN!C37</f>
        <v/>
      </c>
    </row>
    <row r="32" ht="24" customHeight="1" s="77">
      <c r="B32" s="81" t="inlineStr">
        <is>
          <t>Conclusión: el escenario base tolera peor los desvíos de costo o de gasto fijo que el estudio anterior, pero tolera mejor los desvíos de volumen porque el volumen base subió. La diferencia clave es que ya no queda margen de precio: la única palanca de ajuste real frente a un mal Año 1 es el volumen, y de ahí que toda la estrategia comercial del Año 1 esté orientada a protegerlo.</t>
        </is>
      </c>
    </row>
  </sheetData>
  <mergeCells count="6">
    <mergeCell ref="B21:I21"/>
    <mergeCell ref="B2:I2"/>
    <mergeCell ref="B3:I3"/>
    <mergeCell ref="B14:I14"/>
    <mergeCell ref="B32:I32"/>
    <mergeCell ref="B4:I4"/>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12.xml><?xml version="1.0" encoding="utf-8"?>
<worksheet xmlns="http://schemas.openxmlformats.org/spreadsheetml/2006/main">
  <sheetPr>
    <tabColor rgb="FF8B2E2E"/>
    <outlinePr summaryBelow="1" summaryRight="1"/>
    <pageSetUpPr fitToPage="1"/>
  </sheetPr>
  <dimension ref="B2:H19"/>
  <sheetViews>
    <sheetView showGridLines="0" topLeftCell="A7" workbookViewId="0">
      <selection activeCell="A1" sqref="A1"/>
    </sheetView>
  </sheetViews>
  <sheetFormatPr baseColWidth="10" defaultColWidth="8.88671875" defaultRowHeight="14.4"/>
  <cols>
    <col width="2" customWidth="1" style="77" min="1" max="1"/>
    <col width="62" customWidth="1" style="77" min="2" max="2"/>
    <col width="22" customWidth="1" style="77" min="3" max="8"/>
  </cols>
  <sheetData>
    <row r="2" ht="25.95" customHeight="1" s="77">
      <c r="B2" s="79" t="inlineStr">
        <is>
          <t>TOMA DE DECISIONES DEL PROYECTO</t>
        </is>
      </c>
    </row>
    <row r="3">
      <c r="B3" s="78" t="inlineStr">
        <is>
          <t>Álvaro Villena · README XII.10 · Decisión fundamentada en el VAN y la TIR, y decisión fundamentada en el Pay Back</t>
        </is>
      </c>
    </row>
    <row r="5" ht="19.05" customHeight="1" s="77">
      <c r="B5" s="76" t="inlineStr">
        <is>
          <t>RESPUESTA 1 — DECISIÓN EN BASE AL VAN Y A LA TIR</t>
        </is>
      </c>
    </row>
    <row r="6" ht="409.6" customHeight="1" s="77">
      <c r="B6" s="85" t="inlineStr">
        <is>
          <t>RESPUESTA 1 — TOMA DE DECISIONES EN BASE AL VAN Y A LA TIR
DECISIÓN: SE ACEPTA EL PROYECTO. CUMPLE EL CRITERIO ESTÁNDAR DE 5 AÑOS Y 20 %.
El Valor Actual Neto calculado con la tasa de rentabilidad exigida del 20 % es POSITIVO: $2.588.182. La TIR real del proyecto es de aproximadamente 22,7 %, superando la tasa exigida del 20 %. Bajo el criterio estricto de la planilla estándar de evaluación —VAN &gt; 0 y TIR &gt; 20 % a cinco años— este proyecto SE ACEPTA sin necesidad de apelar a un horizonte más largo.
Este resultado es distinto del de la versión anterior del modelo (VAN negativo, −$8.143.581) porque se revisaron tres supuestos que antes eran demasiado conservadores o estaban incompletos, no porque se haya suavizado ninguna de las tres condiciones de fondo (sonda a precio real, sueldo de ambos socios desde el mes 1, techo de precio de $249.990):
1) Se incorporó un 10 % de contingencia/imprevistos sobre la inversión inicial (+$2.413.500) y se desglosaron uno a uno los gastos reales de constituir la empresa (INAPI, patente municipal, firma electrónica, honorarios contables de puesta en marcha), lo que en realidad ENCARECE la inversión inicial a $26.548.500. Este cambio por sí solo empeora el VAN: es más prudente, no más optimista.
2) Se revisó la tasa de la línea de corto plazo de 23 % a 15 % anual: el monto del crédito (~$5.000.000) es pequeño y el proyecto ya tiene garantía FOGAPE en el crédito de largo plazo, por lo que un banco no tendría motivo para negarla ni cobrarla como una línea de consumo sin garantía. Esto reduce el costo financiero de todos los años.
3) Se redimensionó la dotación de ensambladores contratados según las horas reales de trabajo (ensamblaje + QA + testing + embalaje, 2,25 h/unidad sobre 1.800 h productivas por FTE al año), en vez de una dotación creciente sin ese respaldo. El resultado es 0,5 FTE el Año 2, 1 FTE los Años 3 y 4, y 1,5 FTE el Año 5 — bastante menos que el escenario anterior (1, 2, 3 y 4 personas) y un ahorro acumulado de gasto fijo relevante en el quinquenio.
El efecto neto de las tres correcciones es positivo: el ahorro en gasto fijo (ensambladores) y en costo financiero (tasa corta) supera con holgura el mayor desembolso inicial de la contingencia y de los gastos de constitución desglosados.
La utilidad neta es POSITIVA todos los años, sin excepción, desde el Año 1: crece de $2.985.381 a $32.714.084 entre el Año 1 y el Año 5. El único año con flujo de caja negativo —el Año 1— lo sigue siendo, por la misma razón que antes: ese año se devuelve íntegra la línea de corto plazo, desembolso que el capital de trabajo está dimensionado para absorber.
Se deja expresamente registrado que este resultado depende de que la tasa de la línea de corto plazo se confirme en terreno (cotizar con 2-3 bancos PYME antes de firmar) y de que la reducción de dotación de ensambladores sea efectivamente viable en la operación; ambos supuestos son razonables pero no están garantizados hasta la ejecución real.</t>
        </is>
      </c>
      <c r="C6" s="86" t="n"/>
      <c r="D6" s="86" t="n"/>
      <c r="E6" s="84" t="n"/>
    </row>
    <row r="8" ht="19.05" customHeight="1" s="77">
      <c r="B8" s="76" t="inlineStr">
        <is>
          <t>RESPUESTA 2 — DECISIÓN EN BASE AL PAY BACK</t>
        </is>
      </c>
    </row>
    <row r="9" ht="330" customHeight="1" s="77">
      <c r="B9" s="85" t="inlineStr">
        <is>
          <t>RESPUESTA 2 — TOMA DE DECISIONES EN BASE AL PAY BACK
DECISIÓN: SE ACEPTA, CON HOLGURA RAZONABLE.
El período de recuperación de la inversión es de 3,71 años —tres años y nueve meses— sobre un horizonte de evaluación de cinco años. El flujo acumulado parte en −$26.548.500 el Año 0, sigue negativo durante los Años 1 a 3 y cruza a positivo dentro del Año 4, cerrando el quinquenio en $36.168.514.
CRITERIO DE DECISIÓN: mientras menor sea el plazo de recuperación, menor es el riesgo y más líquido es el proyecto. Un Pay Back de 3,71 años cae dentro del horizonte exigido y con más margen que en la versión anterior del modelo (que recuperaba recién en 4,42 años, casi al límite del quinquenio).
El Año 1 es el único con flujo de fondos negativo (−$3.275.221) y eso no es una señal de alarma: la utilidad neta de ese año es positiva ($2.985.381), y el flujo se vuelve negativo únicamente porque hay que pagar de golpe $7.071.792 de capital (línea de corto plazo completa más la primera cuota del crédito de largo plazo, ahora algo mayor porque el crédito de largo plazo también financia la contingencia). El capital de trabajo de la inversión inicial está dimensionado para absorber ese desembolso.
CONCLUSIÓN: el Pay Back confirma la decisión tomada en base al VAN y la TIR. La evaluación a 5 años y 20 % —la vara más exigente que este proyecto puede pasar— ya no se pasa al límite, sino con margen: los tres ajustes (contingencia real, tasa de línea corta revisada y dotación de ensambladores dimensionada por horas) mueven el proyecto de 'se acepta condicionado a un horizonte más largo' a 'se acepta bajo el criterio estándar de la planilla'.</t>
        </is>
      </c>
      <c r="C9" s="86" t="n"/>
      <c r="D9" s="86" t="n"/>
      <c r="E9" s="84" t="n"/>
    </row>
    <row r="11" ht="19.05" customHeight="1" s="77">
      <c r="B11" s="76" t="inlineStr">
        <is>
          <t>DECISIÓN CONJUNTA — RESUMEN DE CRITERIOS</t>
        </is>
      </c>
    </row>
    <row r="12" ht="19.95" customHeight="1" s="77">
      <c r="B12" s="2" t="inlineStr">
        <is>
          <t>Criterio</t>
        </is>
      </c>
      <c r="C12" s="2" t="inlineStr">
        <is>
          <t>Resultado</t>
        </is>
      </c>
      <c r="D12" s="2" t="inlineStr">
        <is>
          <t>Umbral (5 años, 20 %)</t>
        </is>
      </c>
      <c r="E12" s="2" t="inlineStr">
        <is>
          <t>Decisión</t>
        </is>
      </c>
    </row>
    <row r="13">
      <c r="B13" s="6" t="inlineStr">
        <is>
          <t>V. A. N. (20 %)</t>
        </is>
      </c>
      <c r="C13" s="7">
        <f>PROYECCIÓN!C35</f>
        <v/>
      </c>
      <c r="D13" s="71" t="inlineStr">
        <is>
          <t>&gt; 0</t>
        </is>
      </c>
      <c r="E13" s="5">
        <f>IF(PROYECCIÓN!C35&gt;0,"✔ Cumple","✘ No cumple")</f>
        <v/>
      </c>
    </row>
    <row r="14">
      <c r="B14" s="6" t="inlineStr">
        <is>
          <t>T. I. R.</t>
        </is>
      </c>
      <c r="C14" s="9">
        <f>PROYECCIÓN!C37</f>
        <v/>
      </c>
      <c r="D14" s="71" t="inlineStr">
        <is>
          <t>&gt; 20 %</t>
        </is>
      </c>
      <c r="E14" s="5">
        <f>IF(PROYECCIÓN!C37&gt;PROYECCIÓN!C30,"✔ Cumple","✘ No cumple, pero es positiva")</f>
        <v/>
      </c>
    </row>
    <row r="15">
      <c r="B15" s="6" t="inlineStr">
        <is>
          <t>Pay Back</t>
        </is>
      </c>
      <c r="C15" s="10">
        <f>PROYECCIÓN!C41</f>
        <v/>
      </c>
      <c r="D15" s="71" t="inlineStr">
        <is>
          <t>≤ 5 años</t>
        </is>
      </c>
      <c r="E15" s="5">
        <f>IF(PROYECCIÓN!C41&lt;=5,"✔ Cumple, sin holgura","✘ No cumple")</f>
        <v/>
      </c>
    </row>
    <row r="16">
      <c r="B16" s="6" t="inlineStr">
        <is>
          <t>Utilidad neta de todos los años</t>
        </is>
      </c>
      <c r="C16" s="12">
        <f>IF(MIN(PROYECCIÓN!D17:H17)&gt;0,"Positiva","Con pérdidas")</f>
        <v/>
      </c>
      <c r="D16" s="71" t="inlineStr">
        <is>
          <t>Sin pérdidas</t>
        </is>
      </c>
      <c r="E16" s="5">
        <f>IF(MIN(PROYECCIÓN!D17:H17)&gt;0,"✔ Cumple","✘ No cumple")</f>
        <v/>
      </c>
    </row>
    <row r="17">
      <c r="B17" s="6" t="inlineStr">
        <is>
          <t>Punto de equilibrio del Año 1</t>
        </is>
      </c>
      <c r="C17" s="11">
        <f>'GASTOS FIJOS 5 AÑOS'!C29</f>
        <v/>
      </c>
      <c r="D17" s="71" t="inlineStr">
        <is>
          <t>&lt; 200 u planificadas</t>
        </is>
      </c>
      <c r="E17" s="5">
        <f>IF('GASTOS FIJOS 5 AÑOS'!C29&lt;'GASTOS FIJOS 5 AÑOS'!C23,"✔ Cumple","✘ No cumple")</f>
        <v/>
      </c>
    </row>
    <row r="19" ht="36" customHeight="1" s="77">
      <c r="B19" s="81" t="inlineStr">
        <is>
          <t>Los cinco criterios de evaluación se cumplen: VAN positivo, TIR sobre el 20 % exigido, Pay Back dentro del horizonte, utilidad neta positiva todos los años y punto de equilibrio del Año 1 por debajo de las 200 unidades planificadas. La recomendación de este estudio es aceptar el proyecto bajo el criterio estándar de 5 años y 20 %, con dos condiciones de verificación real antes de firmar: (1) confirmar con 2-3 bancos que la línea de corto plazo efectivamente se puede obtener cerca del 15 % anual con garantía FOGAPE, y (2) validar operativamente que la dotación reducida de ensambladores (0,5 a 1,5 FTE según el año) es suficiente en la práctica.</t>
        </is>
      </c>
    </row>
  </sheetData>
  <mergeCells count="8">
    <mergeCell ref="B9:E9"/>
    <mergeCell ref="B8:E8"/>
    <mergeCell ref="B6:E6"/>
    <mergeCell ref="B2:H2"/>
    <mergeCell ref="B11:E11"/>
    <mergeCell ref="B19:E19"/>
    <mergeCell ref="B5:E5"/>
    <mergeCell ref="B3:H3"/>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xl/worksheets/sheet13.xml><?xml version="1.0" encoding="utf-8"?>
<worksheet xmlns="http://schemas.openxmlformats.org/spreadsheetml/2006/main">
  <sheetPr>
    <tabColor rgb="FF808080"/>
    <outlinePr summaryBelow="1" summaryRight="1"/>
    <pageSetUpPr fitToPage="1"/>
  </sheetPr>
  <dimension ref="B2:F21"/>
  <sheetViews>
    <sheetView showGridLines="0" tabSelected="1" workbookViewId="0">
      <selection activeCell="A1" sqref="A1"/>
    </sheetView>
  </sheetViews>
  <sheetFormatPr baseColWidth="10" defaultColWidth="8.88671875" defaultRowHeight="14.4"/>
  <cols>
    <col width="2" customWidth="1" style="77" min="1" max="1"/>
    <col width="10" customWidth="1" style="77" min="2" max="2"/>
    <col width="50" customWidth="1" style="77" min="3" max="3"/>
    <col width="40" customWidth="1" style="77" min="4" max="6"/>
  </cols>
  <sheetData>
    <row r="2" ht="25.95" customHeight="1" s="77">
      <c r="B2" s="79" t="inlineStr">
        <is>
          <t>RÚBRICA — EVALUACIÓN ECONÓMICA DEL PROYECTO FINAL</t>
        </is>
      </c>
    </row>
    <row r="3">
      <c r="B3" s="78" t="inlineStr">
        <is>
          <t>Preparación y Evaluación de Proyectos · ES3 Evaluación económica del proyecto final</t>
        </is>
      </c>
    </row>
    <row r="5" ht="24" customHeight="1" s="77">
      <c r="B5" s="2" t="inlineStr">
        <is>
          <t>PUNTOS</t>
        </is>
      </c>
      <c r="C5" s="2" t="inlineStr">
        <is>
          <t>MUY BUENO 100 %</t>
        </is>
      </c>
      <c r="D5" s="2" t="inlineStr">
        <is>
          <t>BUENO 60 %</t>
        </is>
      </c>
      <c r="E5" s="2" t="inlineStr">
        <is>
          <t>REGULAR 50 %</t>
        </is>
      </c>
      <c r="F5" s="2" t="inlineStr">
        <is>
          <t>INSUFICIENTE 10 %</t>
        </is>
      </c>
    </row>
    <row r="6" ht="58.05" customHeight="1" s="77">
      <c r="B6" s="53" t="n">
        <v>20</v>
      </c>
      <c r="C6" s="4" t="inlineStr">
        <is>
          <t>Presenta la INVERSIÓN INICIAL del proyecto bien clasificada, con las fuentes de financiamiento. Cálculo de la DEPRECIACIÓN ANUAL y de la AMORTIZACIÓN del capital y los intereses.</t>
        </is>
      </c>
      <c r="D6" s="4" t="inlineStr">
        <is>
          <t>Presenta de acuerdo a la planilla Excel solicitada, completo, pero con errores de clasificación y de cálculo.</t>
        </is>
      </c>
      <c r="E6" s="4" t="inlineStr">
        <is>
          <t>Se presenta de acuerdo a la planilla Excel solicitada, incompleto y mal clasificado, con muchos errores de cálculo.</t>
        </is>
      </c>
      <c r="F6" s="4" t="inlineStr">
        <is>
          <t>No utiliza la planilla Excel solicitada; errores de clasificación y de cálculo. Incompleta.</t>
        </is>
      </c>
    </row>
    <row r="7">
      <c r="C7" s="74" t="n">
        <v>20</v>
      </c>
      <c r="D7" s="74" t="n">
        <v>12</v>
      </c>
      <c r="E7" s="74" t="n">
        <v>10</v>
      </c>
      <c r="F7" s="74" t="n">
        <v>2</v>
      </c>
    </row>
    <row r="8" ht="58.05" customHeight="1" s="77">
      <c r="B8" s="53" t="n">
        <v>20</v>
      </c>
      <c r="C8" s="4" t="inlineStr">
        <is>
          <t>Presenta el ESTADO DE RESULTADOS con los conceptos bien clasificados y bien calculados.</t>
        </is>
      </c>
      <c r="D8" s="4" t="inlineStr">
        <is>
          <t>Presenta de acuerdo a la planilla Excel solicitada, completo, pero con errores de clasificación y de cálculo.</t>
        </is>
      </c>
      <c r="E8" s="4" t="inlineStr">
        <is>
          <t>Se presenta de acuerdo a la planilla Excel solicitada, incompleto y mal clasificado, con muchos errores de cálculo.</t>
        </is>
      </c>
      <c r="F8" s="4" t="inlineStr">
        <is>
          <t>No utiliza la planilla Excel solicitada; errores de clasificación y de cálculo. Incompleta.</t>
        </is>
      </c>
    </row>
    <row r="9">
      <c r="C9" s="74" t="n">
        <v>20</v>
      </c>
      <c r="D9" s="74" t="n">
        <v>12</v>
      </c>
      <c r="E9" s="74" t="n">
        <v>10</v>
      </c>
      <c r="F9" s="74" t="n">
        <v>2</v>
      </c>
    </row>
    <row r="10" ht="58.05" customHeight="1" s="77">
      <c r="B10" s="53" t="n">
        <v>20</v>
      </c>
      <c r="C10" s="4" t="inlineStr">
        <is>
          <t>Presenta el Excel de PROYECCIÓN A CINCO AÑOS, completa, bien clasificada y sin errores de cálculo.</t>
        </is>
      </c>
      <c r="D10" s="4" t="inlineStr">
        <is>
          <t>Presenta de acuerdo a la planilla Excel solicitada, completo, pero con errores de clasificación y de cálculo.</t>
        </is>
      </c>
      <c r="E10" s="4" t="inlineStr">
        <is>
          <t>Se presenta de acuerdo a la planilla Excel solicitada, incompleto y mal clasificado, con muchos errores de cálculo.</t>
        </is>
      </c>
      <c r="F10" s="4" t="inlineStr">
        <is>
          <t>No utiliza la planilla Excel solicitada; errores de clasificación y de cálculo. Incompleta.</t>
        </is>
      </c>
    </row>
    <row r="11">
      <c r="C11" s="74" t="n">
        <v>20</v>
      </c>
      <c r="D11" s="74" t="n">
        <v>12</v>
      </c>
      <c r="E11" s="74" t="n">
        <v>10</v>
      </c>
      <c r="F11" s="74" t="n">
        <v>2</v>
      </c>
    </row>
    <row r="12" ht="58.05" customHeight="1" s="77">
      <c r="B12" s="53" t="n">
        <v>10</v>
      </c>
      <c r="C12" s="4" t="inlineStr">
        <is>
          <t>Calcula el VAN y el PAY BACK sin errores de cálculo.</t>
        </is>
      </c>
      <c r="D12" s="4" t="inlineStr">
        <is>
          <t>Presenta errores de cálculo por clasificaciones y cifras. Presenta VAN y Pay Back.</t>
        </is>
      </c>
      <c r="E12" s="4" t="inlineStr">
        <is>
          <t>Presenta errores de cálculo. No presenta uno de los instrumentos de evaluación económica.</t>
        </is>
      </c>
      <c r="F12" s="4" t="inlineStr">
        <is>
          <t>Presenta errores de cálculo. No presenta dos de los instrumentos de evaluación económica.</t>
        </is>
      </c>
    </row>
    <row r="13">
      <c r="C13" s="74" t="n">
        <v>10</v>
      </c>
      <c r="D13" s="74" t="n">
        <v>6</v>
      </c>
      <c r="E13" s="74" t="n">
        <v>5</v>
      </c>
      <c r="F13" s="74" t="n">
        <v>1</v>
      </c>
    </row>
    <row r="14" ht="58.05" customHeight="1" s="77">
      <c r="B14" s="53" t="n">
        <v>30</v>
      </c>
      <c r="C14" s="4" t="inlineStr">
        <is>
          <t>TOMA DE DECISIONES del proyecto: 1) en base al VAN y 2) en base al Pay Back. Completa y con argumentos robustos y sólidos, justificando la respuesta.</t>
        </is>
      </c>
      <c r="D14" s="4" t="inlineStr">
        <is>
          <t>La toma de decisiones se presenta completa, pero con argumentos débiles.</t>
        </is>
      </c>
      <c r="E14" s="4" t="inlineStr">
        <is>
          <t>La toma de decisiones se presenta corta e incompleta, con argumentos débiles y sin justificación.</t>
        </is>
      </c>
      <c r="F14" s="4" t="inlineStr">
        <is>
          <t>Toma de decisiones incompleta, sin detalle y débil.</t>
        </is>
      </c>
    </row>
    <row r="15">
      <c r="C15" s="74" t="n">
        <v>30</v>
      </c>
      <c r="D15" s="74" t="n">
        <v>18</v>
      </c>
      <c r="E15" s="74" t="n">
        <v>15</v>
      </c>
      <c r="F15" s="74" t="n">
        <v>3</v>
      </c>
    </row>
    <row r="16">
      <c r="B16" s="53">
        <f>SUM(B6,B8,B10,B12,B14)</f>
        <v/>
      </c>
      <c r="C16" s="53">
        <f>SUM(C7,C9,C11,C13,C15)</f>
        <v/>
      </c>
      <c r="D16" s="53">
        <f>SUM(D7,D9,D11,D13,D15)</f>
        <v/>
      </c>
      <c r="E16" s="53">
        <f>SUM(E7,E9,E11,E13,E15)</f>
        <v/>
      </c>
      <c r="F16" s="53">
        <f>SUM(F7,F9,F11,F13,F15)</f>
        <v/>
      </c>
    </row>
    <row r="18">
      <c r="C18" s="49" t="inlineStr">
        <is>
          <t>INSTRUCCIONES DE ENTREGA</t>
        </is>
      </c>
    </row>
    <row r="19">
      <c r="C19" s="75" t="inlineStr">
        <is>
          <t>•  Todo se entrega en la planilla Excel de respuestas subida al AAI.</t>
        </is>
      </c>
    </row>
    <row r="20">
      <c r="C20" s="75" t="inlineStr">
        <is>
          <t>•  Todos los cálculos se deben hacer dentro de la planilla Excel de respuestas.</t>
        </is>
      </c>
    </row>
    <row r="21">
      <c r="C21" s="75" t="inlineStr">
        <is>
          <t>•  El Excel de respuestas se presenta con el nombre de todos los integrantes del equipo de trabajo.</t>
        </is>
      </c>
    </row>
  </sheetData>
  <mergeCells count="2">
    <mergeCell ref="B2:F2"/>
    <mergeCell ref="B3:F3"/>
  </mergeCells>
  <pageMargins left="0.75" right="0.75" top="1" bottom="1" header="0.5" footer="0.5"/>
  <pageSetup orientation="landscape" fitToHeight="0"/>
  <headerFooter>
    <oddHeader>&amp;LTerraSense — Evaluación económica del proyecto</oddHeader>
    <oddFooter>&amp;RPágina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2026-08-31T18:56:15Z</dcterms:created>
  <dcterms:modified xmlns:dcterms="http://purl.org/dc/terms/" xmlns:xsi="http://www.w3.org/2001/XMLSchema-instance" xsi:type="dcterms:W3CDTF">2026-09-04T15:22:58Z</dcterms:modified>
  <cp:lastModifiedBy>Alvarinho Do Santos</cp:lastModifiedBy>
</cp:coreProperties>
</file>