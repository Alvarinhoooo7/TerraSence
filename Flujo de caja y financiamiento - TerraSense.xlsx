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EME" sheetId="1" r:id="rId1"/>
    <sheet name="Supuestos" sheetId="2" r:id="rId2"/>
    <sheet name="BOM" sheetId="3" r:id="rId3"/>
    <sheet name="Origen y usos" sheetId="4" r:id="rId4"/>
    <sheet name="Base_mensual" sheetId="5" r:id="rId5"/>
    <sheet name="Base_anual" sheetId="6" r:id="rId6"/>
    <sheet name="Estres_mensual" sheetId="7" r:id="rId7"/>
    <sheet name="Estres_anual" sheetId="8" r:id="rId8"/>
    <sheet name="Crecimiento_mensual" sheetId="9" r:id="rId9"/>
    <sheet name="Crecimiento_anual" sheetId="10" r:id="rId10"/>
    <sheet name="Comparacion deuda" sheetId="11" r:id="rId11"/>
    <sheet name="Sensibilidades" sheetId="12" r:id="rId12"/>
  </sheets>
  <definedNames>
    <definedName name="_xlnm._FilterDatabase" localSheetId="5" hidden="1">Base_anual!$A$1:$AO$16</definedName>
    <definedName name="_xlnm._FilterDatabase" localSheetId="4" hidden="1">Base_mensual!$A$1:$AK$181</definedName>
    <definedName name="_xlnm._FilterDatabase" localSheetId="9" hidden="1">Crecimiento_anual!$A$1:$AO$16</definedName>
    <definedName name="_xlnm._FilterDatabase" localSheetId="8" hidden="1">Crecimiento_mensual!$A$1:$AK$181</definedName>
    <definedName name="_xlnm._FilterDatabase" localSheetId="7" hidden="1">Estres_anual!$A$1:$AO$16</definedName>
    <definedName name="_xlnm._FilterDatabase" localSheetId="6" hidden="1">Estres_mensual!$A$1:$AK$181</definedName>
  </definedNames>
  <calcPr calcId="124519" fullCalcOnLoad="1"/>
</workbook>
</file>

<file path=xl/sharedStrings.xml><?xml version="1.0" encoding="utf-8"?>
<sst xmlns="http://schemas.openxmlformats.org/spreadsheetml/2006/main" count="376" uniqueCount="180">
  <si>
    <t>TerraSense: CLP nominales; año 1 = 2027. Aporte socios 9 millones. Precio con IVA.</t>
  </si>
  <si>
    <t>Fuente única: finanzas/supuestos.json. Regenerar con python finanzas/modelo.py.</t>
  </si>
  <si>
    <t>Las hojas son resultados del modelo Python, no simulador interactivo completo. Fórmulas concilian totales y caja con caché.</t>
  </si>
  <si>
    <t>Base: 200/350/500/650/850 ventas; desde año 6 crecimiento 5% hipotético, no valor terminal automático.</t>
  </si>
  <si>
    <t>Estrés: 65% ventas, mismo marketing. Crecimiento: 150% ventas y marketing; personal e inventario se recalculan.</t>
  </si>
  <si>
    <t>Crédito 12% efectivo anual es supuesto, no oferta. 2% de apertura/timbres/seguros es reserva por cotizar; no CAE.</t>
  </si>
  <si>
    <t>5/10/15 años comparados con MISMO principal. 15 años no se presume elegible FOGAPE.</t>
  </si>
  <si>
    <t>Reserva: 3 meses de fijos y cuota +10% de desembolso inicial. Incluida en caja, no gasto ni suma doble.</t>
  </si>
  <si>
    <t>Sueldos socios son costo laboral, nunca retorno al capital. 35% sobre sueldo es presupuesto, no tasa legal única.</t>
  </si>
  <si>
    <t>Sin MOD variable: ensamblaje final incluido en nómina. 2.25 h/unidad, 1400 h productivas/FTE/año.</t>
  </si>
  <si>
    <t>Contador externo desde mes 1. Agencia condicional desde objetivo 650/año. No obligaciones legales por año.</t>
  </si>
  <si>
    <t>IVA: crédito compras con factura se usa desde mes siguiente; inversión/servicios iniciales sin recuperación: prudente.</t>
  </si>
  <si>
    <t>Impuesto estimado caja Pro Pyme con pérdidas; se inmoviliza al cierre anual. No reproduce F29/PPM/abril; no usar para declarar.</t>
  </si>
  <si>
    <t>FCFF antes de financiamiento con impuesto sin intereses; FCFE después de deuda. No mezclar para VAN.</t>
  </si>
  <si>
    <t>VAN proyecto incluye desembolso inicial y reserva inicial como capital comprometido; sin liquidación/rescate terminal.</t>
  </si>
  <si>
    <t>No hay dividendos automáticos. FCFE es generación de caja, no depósito al socio. VAN de socios no se presenta sin política de salida.</t>
  </si>
  <si>
    <t>Ventas cobradas mismo mes, sin crédito a clientes ni mayoristas. Comisiones 5% sobre precio bruto presupuestadas.</t>
  </si>
  <si>
    <t>Validar SKU, IVA facturado, plazos de importación, CAC, contratación, impuestos y crédito antes de comprometer dinero.</t>
  </si>
  <si>
    <t>Consulte docs/MODELO_ECONOMICO.md y docs/PLAN_VALIDACION.md para fuentes, límites y tareas físicas pendientes.</t>
  </si>
  <si>
    <t>Parámetro</t>
  </si>
  <si>
    <t>Valor / lista</t>
  </si>
  <si>
    <t>fecha_revision</t>
  </si>
  <si>
    <t>2026-09-04</t>
  </si>
  <si>
    <t>inicio</t>
  </si>
  <si>
    <t>horizonte</t>
  </si>
  <si>
    <t>aporte_socios</t>
  </si>
  <si>
    <t>precio_iva</t>
  </si>
  <si>
    <t>iva</t>
  </si>
  <si>
    <t>inflacion</t>
  </si>
  <si>
    <t>tasa_credito_efectiva_anual</t>
  </si>
  <si>
    <t>plazo_base</t>
  </si>
  <si>
    <t>gastos_credito_fraccion</t>
  </si>
  <si>
    <t>tasa_descuento_proyecto</t>
  </si>
  <si>
    <t>tasa_descuento_socios</t>
  </si>
  <si>
    <t>ventas_base</t>
  </si>
  <si>
    <t>[200, 350, 500, 650, 850]</t>
  </si>
  <si>
    <t>crecimiento_despues_5</t>
  </si>
  <si>
    <t>pesos_mensuales</t>
  </si>
  <si>
    <t>[4, 6, 8, 10, 12, 14, 16, 20, 22, 26, 28, 34]</t>
  </si>
  <si>
    <t>ventas_estres_factor</t>
  </si>
  <si>
    <t>ventas_crecimiento_factor</t>
  </si>
  <si>
    <t>marketing_venta_objetivo</t>
  </si>
  <si>
    <t>comision_sobre_bruto</t>
  </si>
  <si>
    <t>envio_neto</t>
  </si>
  <si>
    <t>merma_fraccion_bom</t>
  </si>
  <si>
    <t>garantia_fraccion_bom</t>
  </si>
  <si>
    <t>inventario_meses</t>
  </si>
  <si>
    <t>lote_compra</t>
  </si>
  <si>
    <t>reserva_meses</t>
  </si>
  <si>
    <t>contingencia_inicial</t>
  </si>
  <si>
    <t>activos_iniciales_netos</t>
  </si>
  <si>
    <t>desarrollo_validacion_neto</t>
  </si>
  <si>
    <t>formalizacion_neto</t>
  </si>
  <si>
    <t>sueldo_bruto_socio</t>
  </si>
  <si>
    <t>sueldos_socios_base_por_anio</t>
  </si>
  <si>
    <t>[600000, 700000, 850000, 1000000, 1200000]</t>
  </si>
  <si>
    <t>sobrecosto_laboral_presupuesto</t>
  </si>
  <si>
    <t>sueldo_bruto_tecnico</t>
  </si>
  <si>
    <t>sueldo_bruto_soporte</t>
  </si>
  <si>
    <t>horas_unidad</t>
  </si>
  <si>
    <t>horas_soporte_equipo_anio</t>
  </si>
  <si>
    <t>horas_comerciales_por_venta</t>
  </si>
  <si>
    <t>horas_fundadores_produccion</t>
  </si>
  <si>
    <t>horas_fundadores_soporte</t>
  </si>
  <si>
    <t>horas_productivas_fte</t>
  </si>
  <si>
    <t>contador_mensual</t>
  </si>
  <si>
    <t>contador_incremento_fte</t>
  </si>
  <si>
    <t>servicios_digitales_mensual</t>
  </si>
  <si>
    <t>servicios_por_equipo_activo_anio</t>
  </si>
  <si>
    <t>taller_servicios_mensual</t>
  </si>
  <si>
    <t>administracion_seguros_mensual</t>
  </si>
  <si>
    <t>agencia_desde_ventas_anuales</t>
  </si>
  <si>
    <t>agencia_mensual</t>
  </si>
  <si>
    <t>reinversion_activos_cada_3_anios</t>
  </si>
  <si>
    <t>bom</t>
  </si>
  <si>
    <t>[["Sonda RS485 7-en-1 (SKU pendiente de ficha)", 1, 48000, "Presupuesto neto puesto en taller; cotizar SKU y voltaje"], ["Placa de desarrollo ESP32-WROOM-32", 1, 6722.689075630252, "WROOM-32 confirmado por socios; referencia AFEL 8000 IVA incluido, variante de placa por confirmar"], ["PCB combinada USB-C carga + boost", 1, 900, "Precio confirmado por socios; sin crédito IVA hasta tener factura"], ["LiPo 2000 mAh protegida", 1, 4500, "Presupuesto neto; cotizar dimensiones, descarga y protección"], ["SP3485 transceptor RS485 3.3 V", 1, 900, "Presupuesto neto; definir IC o módulo, no ambos"], ["Conector JST batería 3 pines con contraparte/cable", 1, 450, "Conector de batería confirmado, no módulo; pinout/tercer pin por verificar"], ["Pulsador", 1, 250, "Presupuesto neto"], ["LED SMD", 3, 40, "Presupuesto; cantidad provisional"], ["Pasivos, protección y terminación RS485", 1, 1200, "Lote por equipo; revisar esquema/ESD"], ["PCB portadora y montaje externo SMD", 1, 2500, "No incluye ensamblaje final, ya en personal"], ["Carcasa, prensa estopa, fijaciones y sellado", 1, 4500, "Prototipo; no acredita IP67"], ["Cableado y conectores internos adicionales", 1, 700, "Presupuesto neto"], ["Embalaje, manual y etiqueta", 1, 2000, "Presupuesto neto"], ["Flete de insumos y contingencia importación", 1, 2500, "Reserva de costo neto adicional; no repetir IVA recuperable"]]</t>
  </si>
  <si>
    <t>Componente</t>
  </si>
  <si>
    <t>Cantidad</t>
  </si>
  <si>
    <t>Neto unitario CLP</t>
  </si>
  <si>
    <t>Subtotal CLP</t>
  </si>
  <si>
    <t>Evidencia / pendiente</t>
  </si>
  <si>
    <t>Sonda RS485 7-en-1 (SKU pendiente de ficha)</t>
  </si>
  <si>
    <t>Presupuesto neto puesto en taller; cotizar SKU y voltaje</t>
  </si>
  <si>
    <t>Placa de desarrollo ESP32-WROOM-32</t>
  </si>
  <si>
    <t>WROOM-32 confirmado por socios; referencia AFEL 8000 IVA incluido, variante de placa por confirmar</t>
  </si>
  <si>
    <t>PCB combinada USB-C carga + boost</t>
  </si>
  <si>
    <t>Precio confirmado por socios; sin crédito IVA hasta tener factura</t>
  </si>
  <si>
    <t>LiPo 2000 mAh protegida</t>
  </si>
  <si>
    <t>Presupuesto neto; cotizar dimensiones, descarga y protección</t>
  </si>
  <si>
    <t>SP3485 transceptor RS485 3.3 V</t>
  </si>
  <si>
    <t>Presupuesto neto; definir IC o módulo, no ambos</t>
  </si>
  <si>
    <t>Conector JST batería 3 pines con contraparte/cable</t>
  </si>
  <si>
    <t>Conector de batería confirmado, no módulo; pinout/tercer pin por verificar</t>
  </si>
  <si>
    <t>Pulsador</t>
  </si>
  <si>
    <t>Presupuesto neto</t>
  </si>
  <si>
    <t>LED SMD</t>
  </si>
  <si>
    <t>Presupuesto; cantidad provisional</t>
  </si>
  <si>
    <t>Pasivos, protección y terminación RS485</t>
  </si>
  <si>
    <t>Lote por equipo; revisar esquema/ESD</t>
  </si>
  <si>
    <t>PCB portadora y montaje externo SMD</t>
  </si>
  <si>
    <t>No incluye ensamblaje final, ya en personal</t>
  </si>
  <si>
    <t>Carcasa, prensa estopa, fijaciones y sellado</t>
  </si>
  <si>
    <t>Prototipo; no acredita IP67</t>
  </si>
  <si>
    <t>Cableado y conectores internos adicionales</t>
  </si>
  <si>
    <t>Embalaje, manual y etiqueta</t>
  </si>
  <si>
    <t>Flete de insumos y contingencia importación</t>
  </si>
  <si>
    <t>Reserva de costo neto adicional; no repetir IVA recuperable</t>
  </si>
  <si>
    <t>TOTAL BOM NETO</t>
  </si>
  <si>
    <t>Aporte socios</t>
  </si>
  <si>
    <t>Crédito bruto</t>
  </si>
  <si>
    <t>Activos/desarrollo/formalización con IVA prudencial</t>
  </si>
  <si>
    <t>Inventario inicial con IVA prudencial</t>
  </si>
  <si>
    <t>Gastos de apertura presupuestados</t>
  </si>
  <si>
    <t>Caja inicial (incluye reserva)</t>
  </si>
  <si>
    <t>Reserva inicial objetivo</t>
  </si>
  <si>
    <t>mes</t>
  </si>
  <si>
    <t>anio</t>
  </si>
  <si>
    <t>unidades</t>
  </si>
  <si>
    <t>precio_bruto</t>
  </si>
  <si>
    <t>ventas_brutas</t>
  </si>
  <si>
    <t>ventas_netas</t>
  </si>
  <si>
    <t>compras_unidades</t>
  </si>
  <si>
    <t>compras_netas</t>
  </si>
  <si>
    <t>stock_unidades</t>
  </si>
  <si>
    <t>inventario_neto</t>
  </si>
  <si>
    <t>costo_vendido</t>
  </si>
  <si>
    <t>variables</t>
  </si>
  <si>
    <t>nomina</t>
  </si>
  <si>
    <t>tecnicos_fte</t>
  </si>
  <si>
    <t>soporte_fte</t>
  </si>
  <si>
    <t>contador</t>
  </si>
  <si>
    <t>digital</t>
  </si>
  <si>
    <t>agencia</t>
  </si>
  <si>
    <t>administracion</t>
  </si>
  <si>
    <t>marketing</t>
  </si>
  <si>
    <t>fijos</t>
  </si>
  <si>
    <t>ebitda</t>
  </si>
  <si>
    <t>interes</t>
  </si>
  <si>
    <t>amortizacion</t>
  </si>
  <si>
    <t>servicio_deuda</t>
  </si>
  <si>
    <t>saldo_deuda</t>
  </si>
  <si>
    <t>capex</t>
  </si>
  <si>
    <t>impuesto_reservado</t>
  </si>
  <si>
    <t>impuesto_proyecto</t>
  </si>
  <si>
    <t>iva_inmovilizado</t>
  </si>
  <si>
    <t>credito_iva</t>
  </si>
  <si>
    <t>fcff</t>
  </si>
  <si>
    <t>fcfe</t>
  </si>
  <si>
    <t>caja</t>
  </si>
  <si>
    <t>reserva</t>
  </si>
  <si>
    <t>caja_libre</t>
  </si>
  <si>
    <t>tasa_impuesto</t>
  </si>
  <si>
    <t>dscr</t>
  </si>
  <si>
    <t>min_caja_libre</t>
  </si>
  <si>
    <t>equilibrio_operativo</t>
  </si>
  <si>
    <t>equilibrio_con_deuda</t>
  </si>
  <si>
    <t>Alternativa</t>
  </si>
  <si>
    <t>Principal</t>
  </si>
  <si>
    <t>Cuota mensual tramo</t>
  </si>
  <si>
    <t>Interés total</t>
  </si>
  <si>
    <t>Deuda al año 5</t>
  </si>
  <si>
    <t>Servicio año 1</t>
  </si>
  <si>
    <t>Mín caja libre 24m</t>
  </si>
  <si>
    <t>DSCR año 1</t>
  </si>
  <si>
    <t>Crédito mínimo que sostiene la reserva a ese plazo</t>
  </si>
  <si>
    <t>5 años</t>
  </si>
  <si>
    <t>10 años</t>
  </si>
  <si>
    <t>15 años</t>
  </si>
  <si>
    <t>5 años + bullet 5M</t>
  </si>
  <si>
    <t>DSCR: caja operativa luego de impuesto, reinversión, inventario e IVA / servicio deuda; no EBITDA solo.</t>
  </si>
  <si>
    <t>Caso</t>
  </si>
  <si>
    <t>Unidades año 1</t>
  </si>
  <si>
    <t>EBITDA año 1</t>
  </si>
  <si>
    <t>VAN proyecto 5 años 20%</t>
  </si>
  <si>
    <t>Base</t>
  </si>
  <si>
    <t>Precio anterior</t>
  </si>
  <si>
    <t>Precio 299990</t>
  </si>
  <si>
    <t>Precio 329990</t>
  </si>
  <si>
    <t>Ventas -35%, mismo marketing</t>
  </si>
  <si>
    <t>Tasa 18%</t>
  </si>
</sst>
</file>

<file path=xl/styles.xml><?xml version="1.0" encoding="utf-8"?>
<styleSheet xmlns="http://schemas.openxmlformats.org/spreadsheetml/2006/main">
  <numFmts count="2">
    <numFmt numFmtId="164" formatCode="#,##0;[Red]-#,##0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4B4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9"/>
  <sheetViews>
    <sheetView tabSelected="1" workbookViewId="0"/>
  </sheetViews>
  <sheetFormatPr defaultRowHeight="15"/>
  <cols>
    <col min="1" max="1" width="125.7109375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  <row r="6" spans="1:1">
      <c r="A6" t="s">
        <v>5</v>
      </c>
    </row>
    <row r="7" spans="1:1">
      <c r="A7" t="s">
        <v>6</v>
      </c>
    </row>
    <row r="8" spans="1:1">
      <c r="A8" t="s">
        <v>7</v>
      </c>
    </row>
    <row r="9" spans="1:1">
      <c r="A9" t="s">
        <v>8</v>
      </c>
    </row>
    <row r="10" spans="1:1">
      <c r="A10" t="s">
        <v>9</v>
      </c>
    </row>
    <row r="11" spans="1:1">
      <c r="A11" t="s">
        <v>10</v>
      </c>
    </row>
    <row r="12" spans="1:1">
      <c r="A12" t="s">
        <v>11</v>
      </c>
    </row>
    <row r="13" spans="1:1">
      <c r="A13" t="s">
        <v>12</v>
      </c>
    </row>
    <row r="14" spans="1:1">
      <c r="A14" t="s">
        <v>13</v>
      </c>
    </row>
    <row r="15" spans="1:1">
      <c r="A15" t="s">
        <v>14</v>
      </c>
    </row>
    <row r="16" spans="1:1">
      <c r="A16" t="s">
        <v>15</v>
      </c>
    </row>
    <row r="17" spans="1:1">
      <c r="A17" t="s">
        <v>16</v>
      </c>
    </row>
    <row r="18" spans="1:1">
      <c r="A18" t="s">
        <v>17</v>
      </c>
    </row>
    <row r="19" spans="1:1">
      <c r="A19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1"/>
  <sheetViews>
    <sheetView workbookViewId="0"/>
  </sheetViews>
  <sheetFormatPr defaultRowHeight="15"/>
  <cols>
    <col min="1" max="1" width="45.7109375" customWidth="1"/>
    <col min="2" max="2" width="95.7109375" customWidth="1"/>
  </cols>
  <sheetData>
    <row r="1" spans="1:2">
      <c r="A1" s="1" t="s">
        <v>19</v>
      </c>
      <c r="B1" s="1" t="s">
        <v>20</v>
      </c>
    </row>
    <row r="2" spans="1:2">
      <c r="A2" t="s">
        <v>21</v>
      </c>
      <c r="B2" t="s">
        <v>22</v>
      </c>
    </row>
    <row r="3" spans="1:2">
      <c r="A3" t="s">
        <v>23</v>
      </c>
      <c r="B3">
        <v>2027</v>
      </c>
    </row>
    <row r="4" spans="1:2">
      <c r="A4" t="s">
        <v>24</v>
      </c>
      <c r="B4">
        <v>15</v>
      </c>
    </row>
    <row r="5" spans="1:2">
      <c r="A5" t="s">
        <v>25</v>
      </c>
      <c r="B5">
        <v>9000000</v>
      </c>
    </row>
    <row r="6" spans="1:2">
      <c r="A6" t="s">
        <v>26</v>
      </c>
      <c r="B6">
        <v>349990</v>
      </c>
    </row>
    <row r="7" spans="1:2">
      <c r="A7" t="s">
        <v>27</v>
      </c>
      <c r="B7">
        <v>0.19</v>
      </c>
    </row>
    <row r="8" spans="1:2">
      <c r="A8" t="s">
        <v>28</v>
      </c>
      <c r="B8">
        <v>0.03</v>
      </c>
    </row>
    <row r="9" spans="1:2">
      <c r="A9" t="s">
        <v>29</v>
      </c>
      <c r="B9">
        <v>0.12</v>
      </c>
    </row>
    <row r="10" spans="1:2">
      <c r="A10" t="s">
        <v>30</v>
      </c>
      <c r="B10">
        <v>10</v>
      </c>
    </row>
    <row r="11" spans="1:2">
      <c r="A11" t="s">
        <v>31</v>
      </c>
      <c r="B11">
        <v>0.02</v>
      </c>
    </row>
    <row r="12" spans="1:2">
      <c r="A12" t="s">
        <v>32</v>
      </c>
      <c r="B12">
        <v>0.2</v>
      </c>
    </row>
    <row r="13" spans="1:2">
      <c r="A13" t="s">
        <v>33</v>
      </c>
      <c r="B13">
        <v>0.25</v>
      </c>
    </row>
    <row r="14" spans="1:2">
      <c r="A14" t="s">
        <v>34</v>
      </c>
      <c r="B14" t="s">
        <v>35</v>
      </c>
    </row>
    <row r="15" spans="1:2">
      <c r="A15" t="s">
        <v>36</v>
      </c>
      <c r="B15">
        <v>0.05</v>
      </c>
    </row>
    <row r="16" spans="1:2">
      <c r="A16" t="s">
        <v>37</v>
      </c>
      <c r="B16" t="s">
        <v>38</v>
      </c>
    </row>
    <row r="17" spans="1:2">
      <c r="A17" t="s">
        <v>39</v>
      </c>
      <c r="B17">
        <v>0.65</v>
      </c>
    </row>
    <row r="18" spans="1:2">
      <c r="A18" t="s">
        <v>40</v>
      </c>
      <c r="B18">
        <v>1.5</v>
      </c>
    </row>
    <row r="19" spans="1:2">
      <c r="A19" t="s">
        <v>41</v>
      </c>
      <c r="B19">
        <v>30000</v>
      </c>
    </row>
    <row r="20" spans="1:2">
      <c r="A20" t="s">
        <v>42</v>
      </c>
      <c r="B20">
        <v>0.05</v>
      </c>
    </row>
    <row r="21" spans="1:2">
      <c r="A21" t="s">
        <v>43</v>
      </c>
      <c r="B21">
        <v>6000</v>
      </c>
    </row>
    <row r="22" spans="1:2">
      <c r="A22" t="s">
        <v>44</v>
      </c>
      <c r="B22">
        <v>0.03</v>
      </c>
    </row>
    <row r="23" spans="1:2">
      <c r="A23" t="s">
        <v>45</v>
      </c>
      <c r="B23">
        <v>0.05</v>
      </c>
    </row>
    <row r="24" spans="1:2">
      <c r="A24" t="s">
        <v>46</v>
      </c>
      <c r="B24">
        <v>2</v>
      </c>
    </row>
    <row r="25" spans="1:2">
      <c r="A25" t="s">
        <v>47</v>
      </c>
      <c r="B25">
        <v>10</v>
      </c>
    </row>
    <row r="26" spans="1:2">
      <c r="A26" t="s">
        <v>48</v>
      </c>
      <c r="B26">
        <v>3</v>
      </c>
    </row>
    <row r="27" spans="1:2">
      <c r="A27" t="s">
        <v>49</v>
      </c>
      <c r="B27">
        <v>0.1</v>
      </c>
    </row>
    <row r="28" spans="1:2">
      <c r="A28" t="s">
        <v>50</v>
      </c>
      <c r="B28">
        <v>3500000</v>
      </c>
    </row>
    <row r="29" spans="1:2">
      <c r="A29" t="s">
        <v>51</v>
      </c>
      <c r="B29">
        <v>4500000</v>
      </c>
    </row>
    <row r="30" spans="1:2">
      <c r="A30" t="s">
        <v>52</v>
      </c>
      <c r="B30">
        <v>700000</v>
      </c>
    </row>
    <row r="31" spans="1:2">
      <c r="A31" t="s">
        <v>53</v>
      </c>
      <c r="B31">
        <v>600000</v>
      </c>
    </row>
    <row r="32" spans="1:2">
      <c r="A32" t="s">
        <v>54</v>
      </c>
      <c r="B32" t="s">
        <v>55</v>
      </c>
    </row>
    <row r="33" spans="1:2">
      <c r="A33" t="s">
        <v>56</v>
      </c>
      <c r="B33">
        <v>0.35</v>
      </c>
    </row>
    <row r="34" spans="1:2">
      <c r="A34" t="s">
        <v>57</v>
      </c>
      <c r="B34">
        <v>650000</v>
      </c>
    </row>
    <row r="35" spans="1:2">
      <c r="A35" t="s">
        <v>58</v>
      </c>
      <c r="B35">
        <v>750000</v>
      </c>
    </row>
    <row r="36" spans="1:2">
      <c r="A36" t="s">
        <v>59</v>
      </c>
      <c r="B36">
        <v>2.25</v>
      </c>
    </row>
    <row r="37" spans="1:2">
      <c r="A37" t="s">
        <v>60</v>
      </c>
      <c r="B37">
        <v>0.5</v>
      </c>
    </row>
    <row r="38" spans="1:2">
      <c r="A38" t="s">
        <v>61</v>
      </c>
      <c r="B38">
        <v>2</v>
      </c>
    </row>
    <row r="39" spans="1:2">
      <c r="A39" t="s">
        <v>62</v>
      </c>
      <c r="B39">
        <v>500</v>
      </c>
    </row>
    <row r="40" spans="1:2">
      <c r="A40" t="s">
        <v>63</v>
      </c>
      <c r="B40">
        <v>900</v>
      </c>
    </row>
    <row r="41" spans="1:2">
      <c r="A41" t="s">
        <v>64</v>
      </c>
      <c r="B41">
        <v>1400</v>
      </c>
    </row>
    <row r="42" spans="1:2">
      <c r="A42" t="s">
        <v>65</v>
      </c>
      <c r="B42">
        <v>120000</v>
      </c>
    </row>
    <row r="43" spans="1:2">
      <c r="A43" t="s">
        <v>66</v>
      </c>
      <c r="B43">
        <v>20000</v>
      </c>
    </row>
    <row r="44" spans="1:2">
      <c r="A44" t="s">
        <v>67</v>
      </c>
      <c r="B44">
        <v>150000</v>
      </c>
    </row>
    <row r="45" spans="1:2">
      <c r="A45" t="s">
        <v>68</v>
      </c>
      <c r="B45">
        <v>1200</v>
      </c>
    </row>
    <row r="46" spans="1:2">
      <c r="A46" t="s">
        <v>69</v>
      </c>
      <c r="B46">
        <v>180000</v>
      </c>
    </row>
    <row r="47" spans="1:2">
      <c r="A47" t="s">
        <v>70</v>
      </c>
      <c r="B47">
        <v>100000</v>
      </c>
    </row>
    <row r="48" spans="1:2">
      <c r="A48" t="s">
        <v>71</v>
      </c>
      <c r="B48">
        <v>650</v>
      </c>
    </row>
    <row r="49" spans="1:2">
      <c r="A49" t="s">
        <v>72</v>
      </c>
      <c r="B49">
        <v>250000</v>
      </c>
    </row>
    <row r="50" spans="1:2">
      <c r="A50" t="s">
        <v>73</v>
      </c>
      <c r="B50">
        <v>1500000</v>
      </c>
    </row>
    <row r="51" spans="1:2">
      <c r="A51" t="s">
        <v>74</v>
      </c>
      <c r="B51" t="s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sheetFormatPr defaultRowHeight="15"/>
  <cols>
    <col min="1" max="1" width="55.7109375" customWidth="1"/>
    <col min="2" max="4" width="18.7109375" customWidth="1"/>
    <col min="5" max="5" width="95.7109375" customWidth="1"/>
  </cols>
  <sheetData>
    <row r="1" spans="1:5">
      <c r="A1" s="1" t="s">
        <v>76</v>
      </c>
      <c r="B1" s="1" t="s">
        <v>77</v>
      </c>
      <c r="C1" s="1" t="s">
        <v>78</v>
      </c>
      <c r="D1" s="1" t="s">
        <v>79</v>
      </c>
      <c r="E1" s="1" t="s">
        <v>80</v>
      </c>
    </row>
    <row r="2" spans="1:5">
      <c r="A2" t="s">
        <v>81</v>
      </c>
      <c r="B2">
        <v>1</v>
      </c>
      <c r="C2">
        <v>48000</v>
      </c>
      <c r="D2" s="2">
        <f>B2*C2</f>
        <v>48000</v>
      </c>
      <c r="E2" t="s">
        <v>82</v>
      </c>
    </row>
    <row r="3" spans="1:5">
      <c r="A3" t="s">
        <v>83</v>
      </c>
      <c r="B3">
        <v>1</v>
      </c>
      <c r="C3">
        <v>6722.689075630252</v>
      </c>
      <c r="D3" s="2">
        <f>B3*C3</f>
        <v>6722.689075630252</v>
      </c>
      <c r="E3" t="s">
        <v>84</v>
      </c>
    </row>
    <row r="4" spans="1:5">
      <c r="A4" t="s">
        <v>85</v>
      </c>
      <c r="B4">
        <v>1</v>
      </c>
      <c r="C4">
        <v>900</v>
      </c>
      <c r="D4" s="2">
        <f>B4*C4</f>
        <v>900</v>
      </c>
      <c r="E4" t="s">
        <v>86</v>
      </c>
    </row>
    <row r="5" spans="1:5">
      <c r="A5" t="s">
        <v>87</v>
      </c>
      <c r="B5">
        <v>1</v>
      </c>
      <c r="C5">
        <v>4500</v>
      </c>
      <c r="D5" s="2">
        <f>B5*C5</f>
        <v>4500</v>
      </c>
      <c r="E5" t="s">
        <v>88</v>
      </c>
    </row>
    <row r="6" spans="1:5">
      <c r="A6" t="s">
        <v>89</v>
      </c>
      <c r="B6">
        <v>1</v>
      </c>
      <c r="C6">
        <v>900</v>
      </c>
      <c r="D6" s="2">
        <f>B6*C6</f>
        <v>900</v>
      </c>
      <c r="E6" t="s">
        <v>90</v>
      </c>
    </row>
    <row r="7" spans="1:5">
      <c r="A7" t="s">
        <v>91</v>
      </c>
      <c r="B7">
        <v>1</v>
      </c>
      <c r="C7">
        <v>450</v>
      </c>
      <c r="D7" s="2">
        <f>B7*C7</f>
        <v>450</v>
      </c>
      <c r="E7" t="s">
        <v>92</v>
      </c>
    </row>
    <row r="8" spans="1:5">
      <c r="A8" t="s">
        <v>93</v>
      </c>
      <c r="B8">
        <v>1</v>
      </c>
      <c r="C8">
        <v>250</v>
      </c>
      <c r="D8" s="2">
        <f>B8*C8</f>
        <v>250</v>
      </c>
      <c r="E8" t="s">
        <v>94</v>
      </c>
    </row>
    <row r="9" spans="1:5">
      <c r="A9" t="s">
        <v>95</v>
      </c>
      <c r="B9">
        <v>3</v>
      </c>
      <c r="C9">
        <v>40</v>
      </c>
      <c r="D9" s="2">
        <f>B9*C9</f>
        <v>120</v>
      </c>
      <c r="E9" t="s">
        <v>96</v>
      </c>
    </row>
    <row r="10" spans="1:5">
      <c r="A10" t="s">
        <v>97</v>
      </c>
      <c r="B10">
        <v>1</v>
      </c>
      <c r="C10">
        <v>1200</v>
      </c>
      <c r="D10" s="2">
        <f>B10*C10</f>
        <v>1200</v>
      </c>
      <c r="E10" t="s">
        <v>98</v>
      </c>
    </row>
    <row r="11" spans="1:5">
      <c r="A11" t="s">
        <v>99</v>
      </c>
      <c r="B11">
        <v>1</v>
      </c>
      <c r="C11">
        <v>2500</v>
      </c>
      <c r="D11" s="2">
        <f>B11*C11</f>
        <v>2500</v>
      </c>
      <c r="E11" t="s">
        <v>100</v>
      </c>
    </row>
    <row r="12" spans="1:5">
      <c r="A12" t="s">
        <v>101</v>
      </c>
      <c r="B12">
        <v>1</v>
      </c>
      <c r="C12">
        <v>4500</v>
      </c>
      <c r="D12" s="2">
        <f>B12*C12</f>
        <v>4500</v>
      </c>
      <c r="E12" t="s">
        <v>102</v>
      </c>
    </row>
    <row r="13" spans="1:5">
      <c r="A13" t="s">
        <v>103</v>
      </c>
      <c r="B13">
        <v>1</v>
      </c>
      <c r="C13">
        <v>700</v>
      </c>
      <c r="D13" s="2">
        <f>B13*C13</f>
        <v>700</v>
      </c>
      <c r="E13" t="s">
        <v>94</v>
      </c>
    </row>
    <row r="14" spans="1:5">
      <c r="A14" t="s">
        <v>104</v>
      </c>
      <c r="B14">
        <v>1</v>
      </c>
      <c r="C14">
        <v>2000</v>
      </c>
      <c r="D14" s="2">
        <f>B14*C14</f>
        <v>2000</v>
      </c>
      <c r="E14" t="s">
        <v>94</v>
      </c>
    </row>
    <row r="15" spans="1:5">
      <c r="A15" t="s">
        <v>105</v>
      </c>
      <c r="B15">
        <v>1</v>
      </c>
      <c r="C15">
        <v>2500</v>
      </c>
      <c r="D15" s="2">
        <f>B15*C15</f>
        <v>2500</v>
      </c>
      <c r="E15" t="s">
        <v>106</v>
      </c>
    </row>
    <row r="16" spans="1:5">
      <c r="A16" t="s">
        <v>107</v>
      </c>
      <c r="D16" s="2">
        <f>SUM(D2:D15)</f>
        <v>75242.68907563025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cols>
    <col min="1" max="1" width="55.7109375" customWidth="1"/>
    <col min="2" max="2" width="22.7109375" customWidth="1"/>
  </cols>
  <sheetData>
    <row r="1" spans="1:2">
      <c r="A1" s="2" t="s">
        <v>108</v>
      </c>
      <c r="B1" s="2">
        <v>9000000</v>
      </c>
    </row>
    <row r="2" spans="1:2">
      <c r="A2" s="2" t="s">
        <v>109</v>
      </c>
      <c r="B2" s="2">
        <v>27700000</v>
      </c>
    </row>
    <row r="3" spans="1:2">
      <c r="A3" s="2" t="s">
        <v>110</v>
      </c>
      <c r="B3" s="2">
        <v>10353000</v>
      </c>
    </row>
    <row r="4" spans="1:2">
      <c r="A4" s="2" t="s">
        <v>111</v>
      </c>
      <c r="B4" s="2">
        <v>895388</v>
      </c>
    </row>
    <row r="5" spans="1:2">
      <c r="A5" s="2" t="s">
        <v>112</v>
      </c>
      <c r="B5" s="2">
        <v>554000</v>
      </c>
    </row>
    <row r="6" spans="1:2">
      <c r="A6" s="2" t="s">
        <v>113</v>
      </c>
      <c r="B6" s="2">
        <v>24897612</v>
      </c>
    </row>
    <row r="7" spans="1:2">
      <c r="A7" s="2" t="s">
        <v>114</v>
      </c>
      <c r="B7" s="2">
        <v>10327799.81484101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</row>
    <row r="2" spans="1:37">
      <c r="A2" s="2">
        <v>1</v>
      </c>
      <c r="B2" s="2">
        <v>2027</v>
      </c>
      <c r="C2" s="2">
        <v>4</v>
      </c>
      <c r="D2" s="2">
        <v>349990</v>
      </c>
      <c r="E2" s="2">
        <v>1399960</v>
      </c>
      <c r="F2" s="2">
        <f>E2/1.19</f>
        <v>1176436.974789916</v>
      </c>
      <c r="G2" s="2">
        <v>10</v>
      </c>
      <c r="H2" s="2">
        <v>752426.8907563025</v>
      </c>
      <c r="I2" s="2">
        <v>16</v>
      </c>
      <c r="J2" s="2">
        <v>1203883.025210084</v>
      </c>
      <c r="K2" s="2">
        <v>300970.756302521</v>
      </c>
      <c r="L2" s="2">
        <v>118075.6605042017</v>
      </c>
      <c r="M2" s="2">
        <v>1620000</v>
      </c>
      <c r="N2" s="3">
        <v>0</v>
      </c>
      <c r="O2" s="3">
        <v>0</v>
      </c>
      <c r="P2" s="2">
        <v>120000</v>
      </c>
      <c r="Q2" s="2">
        <v>160000</v>
      </c>
      <c r="R2" s="2">
        <v>0</v>
      </c>
      <c r="S2" s="2">
        <v>280000</v>
      </c>
      <c r="T2" s="2">
        <v>500000</v>
      </c>
      <c r="U2" s="2">
        <f>M2+P2+Q2+R2+S2+T2</f>
        <v>2680000.0</v>
      </c>
      <c r="V2" s="2">
        <f>F2-K2-L2-U2</f>
        <v>-1922609.4420168065</v>
      </c>
      <c r="W2" s="2">
        <v>262839.5642879503</v>
      </c>
      <c r="X2" s="2">
        <v>124814.107325719</v>
      </c>
      <c r="Y2" s="2">
        <f>W2+X2</f>
        <v>387653.6716136693</v>
      </c>
      <c r="Z2" s="2">
        <v>27575185.89267428</v>
      </c>
      <c r="AA2" s="2">
        <v>0</v>
      </c>
      <c r="AB2" s="2">
        <v>0</v>
      </c>
      <c r="AC2" s="2">
        <v>0</v>
      </c>
      <c r="AD2" s="2">
        <v>141251.1092436975</v>
      </c>
      <c r="AE2" s="2">
        <v>141251.1092436975</v>
      </c>
      <c r="AF2" s="2">
        <f>F2-H2-L2-U2-AA2-AC2-AD2</f>
        <v>-2515316.685714286</v>
      </c>
      <c r="AG2" s="2">
        <f>F2-H2-L2-U2-AA2-AB2-AD2-Y2</f>
        <v>-2902970.3573279553</v>
      </c>
      <c r="AH2" s="2">
        <f>24897612.0+AG2</f>
        <v>21994641.642672043</v>
      </c>
      <c r="AI2" s="2">
        <v>10327799.81484101</v>
      </c>
      <c r="AJ2" s="2">
        <f>AH2-AI2</f>
        <v>11666841.827831034</v>
      </c>
      <c r="AK2" s="3">
        <v>0.125</v>
      </c>
    </row>
    <row r="3" spans="1:37">
      <c r="A3" s="2">
        <v>2</v>
      </c>
      <c r="B3" s="2">
        <v>2027</v>
      </c>
      <c r="C3" s="2">
        <v>6</v>
      </c>
      <c r="D3" s="2">
        <v>349990</v>
      </c>
      <c r="E3" s="2">
        <v>2099940</v>
      </c>
      <c r="F3" s="2">
        <f>E3/1.19</f>
        <v>1764655.462184874</v>
      </c>
      <c r="G3" s="2">
        <v>10</v>
      </c>
      <c r="H3" s="2">
        <v>752426.8907563025</v>
      </c>
      <c r="I3" s="2">
        <v>20</v>
      </c>
      <c r="J3" s="2">
        <v>1504853.781512605</v>
      </c>
      <c r="K3" s="2">
        <v>451456.1344537815</v>
      </c>
      <c r="L3" s="2">
        <v>177113.4907563025</v>
      </c>
      <c r="M3" s="2">
        <v>1620000</v>
      </c>
      <c r="N3" s="3">
        <v>0</v>
      </c>
      <c r="O3" s="3">
        <v>0</v>
      </c>
      <c r="P3" s="2">
        <v>120000</v>
      </c>
      <c r="Q3" s="2">
        <v>160000</v>
      </c>
      <c r="R3" s="2">
        <v>0</v>
      </c>
      <c r="S3" s="2">
        <v>280000</v>
      </c>
      <c r="T3" s="2">
        <v>500000</v>
      </c>
      <c r="U3" s="2">
        <f>M3+P3+Q3+R3+S3+T3</f>
        <v>2680000.0</v>
      </c>
      <c r="V3" s="2">
        <f>F3-K3-L3-U3</f>
        <v>-1543914.16302521</v>
      </c>
      <c r="W3" s="2">
        <v>261655.2290682218</v>
      </c>
      <c r="X3" s="2">
        <v>125998.4425454475</v>
      </c>
      <c r="Y3" s="2">
        <f>W3+X3</f>
        <v>387653.6716136693</v>
      </c>
      <c r="Z3" s="2">
        <v>27449187.45012883</v>
      </c>
      <c r="AA3" s="2">
        <v>0</v>
      </c>
      <c r="AB3" s="2">
        <v>0</v>
      </c>
      <c r="AC3" s="2">
        <v>0</v>
      </c>
      <c r="AD3" s="2">
        <v>0</v>
      </c>
      <c r="AE3" s="2">
        <v>141251.1092436975</v>
      </c>
      <c r="AF3" s="2">
        <f>F3-H3-L3-U3-AA3-AC3-AD3</f>
        <v>-1844884.9193277308</v>
      </c>
      <c r="AG3" s="2">
        <f>F3-H3-L3-U3-AA3-AB3-AD3-Y3</f>
        <v>-2232538.5909414003</v>
      </c>
      <c r="AH3" s="2">
        <f>AH2+AG3</f>
        <v>19762103.051730644</v>
      </c>
      <c r="AI3" s="2">
        <v>10327799.81484101</v>
      </c>
      <c r="AJ3" s="2">
        <f>AH3-AI3</f>
        <v>9434303.236889634</v>
      </c>
      <c r="AK3" s="3">
        <v>0.125</v>
      </c>
    </row>
    <row r="4" spans="1:37">
      <c r="A4" s="2">
        <v>3</v>
      </c>
      <c r="B4" s="2">
        <v>2027</v>
      </c>
      <c r="C4" s="2">
        <v>8</v>
      </c>
      <c r="D4" s="2">
        <v>349990</v>
      </c>
      <c r="E4" s="2">
        <v>2799920</v>
      </c>
      <c r="F4" s="2">
        <f>E4/1.19</f>
        <v>2352873.949579832</v>
      </c>
      <c r="G4" s="2">
        <v>10</v>
      </c>
      <c r="H4" s="2">
        <v>752426.8907563025</v>
      </c>
      <c r="I4" s="2">
        <v>22</v>
      </c>
      <c r="J4" s="2">
        <v>1655339.159663866</v>
      </c>
      <c r="K4" s="2">
        <v>601941.512605042</v>
      </c>
      <c r="L4" s="2">
        <v>236151.3210084033</v>
      </c>
      <c r="M4" s="2">
        <v>1620000</v>
      </c>
      <c r="N4" s="3">
        <v>0</v>
      </c>
      <c r="O4" s="3">
        <v>0</v>
      </c>
      <c r="P4" s="2">
        <v>120000</v>
      </c>
      <c r="Q4" s="2">
        <v>160000</v>
      </c>
      <c r="R4" s="2">
        <v>0</v>
      </c>
      <c r="S4" s="2">
        <v>280000</v>
      </c>
      <c r="T4" s="2">
        <v>500000</v>
      </c>
      <c r="U4" s="2">
        <f>M4+P4+Q4+R4+S4+T4</f>
        <v>2680000.0</v>
      </c>
      <c r="V4" s="2">
        <f>F4-K4-L4-U4</f>
        <v>-1165218.8840336131</v>
      </c>
      <c r="W4" s="2">
        <v>260459.6559368281</v>
      </c>
      <c r="X4" s="2">
        <v>127194.0156768412</v>
      </c>
      <c r="Y4" s="2">
        <f>W4+X4</f>
        <v>387653.6716136693</v>
      </c>
      <c r="Z4" s="2">
        <v>27321993.43445199</v>
      </c>
      <c r="AA4" s="2">
        <v>0</v>
      </c>
      <c r="AB4" s="2">
        <v>0</v>
      </c>
      <c r="AC4" s="2">
        <v>0</v>
      </c>
      <c r="AD4" s="2">
        <v>0</v>
      </c>
      <c r="AE4" s="2">
        <v>141251.1092436975</v>
      </c>
      <c r="AF4" s="2">
        <f>F4-H4-L4-U4-AA4-AC4-AD4</f>
        <v>-1315704.2621848737</v>
      </c>
      <c r="AG4" s="2">
        <f>F4-H4-L4-U4-AA4-AB4-AD4-Y4</f>
        <v>-1703357.933798543</v>
      </c>
      <c r="AH4" s="2">
        <f>AH3+AG4</f>
        <v>18058745.1179321</v>
      </c>
      <c r="AI4" s="2">
        <v>10327799.81484101</v>
      </c>
      <c r="AJ4" s="2">
        <f>AH4-AI4</f>
        <v>7730945.30309109</v>
      </c>
      <c r="AK4" s="3">
        <v>0.125</v>
      </c>
    </row>
    <row r="5" spans="1:37">
      <c r="A5" s="2">
        <v>4</v>
      </c>
      <c r="B5" s="2">
        <v>2027</v>
      </c>
      <c r="C5" s="2">
        <v>10</v>
      </c>
      <c r="D5" s="2">
        <v>349990</v>
      </c>
      <c r="E5" s="2">
        <v>3499900</v>
      </c>
      <c r="F5" s="2">
        <f>E5/1.19</f>
        <v>2941092.43697479</v>
      </c>
      <c r="G5" s="2">
        <v>20</v>
      </c>
      <c r="H5" s="2">
        <v>1504853.781512605</v>
      </c>
      <c r="I5" s="2">
        <v>32</v>
      </c>
      <c r="J5" s="2">
        <v>2407766.050420168</v>
      </c>
      <c r="K5" s="2">
        <v>752426.8907563025</v>
      </c>
      <c r="L5" s="2">
        <v>295189.1512605042</v>
      </c>
      <c r="M5" s="2">
        <v>1620000</v>
      </c>
      <c r="N5" s="3">
        <v>0</v>
      </c>
      <c r="O5" s="3">
        <v>0</v>
      </c>
      <c r="P5" s="2">
        <v>120000</v>
      </c>
      <c r="Q5" s="2">
        <v>160000</v>
      </c>
      <c r="R5" s="2">
        <v>0</v>
      </c>
      <c r="S5" s="2">
        <v>280000</v>
      </c>
      <c r="T5" s="2">
        <v>500000</v>
      </c>
      <c r="U5" s="2">
        <f>M5+P5+Q5+R5+S5+T5</f>
        <v>2680000.0</v>
      </c>
      <c r="V5" s="2">
        <f>F5-K5-L5-U5</f>
        <v>-786523.6050420168</v>
      </c>
      <c r="W5" s="2">
        <v>259252.7382595525</v>
      </c>
      <c r="X5" s="2">
        <v>128400.9333541169</v>
      </c>
      <c r="Y5" s="2">
        <f>W5+X5</f>
        <v>387653.6716136693</v>
      </c>
      <c r="Z5" s="2">
        <v>27193592.50109788</v>
      </c>
      <c r="AA5" s="2">
        <v>0</v>
      </c>
      <c r="AB5" s="2">
        <v>0</v>
      </c>
      <c r="AC5" s="2">
        <v>0</v>
      </c>
      <c r="AD5" s="2">
        <v>141251.1092436975</v>
      </c>
      <c r="AE5" s="2">
        <v>282502.218487395</v>
      </c>
      <c r="AF5" s="2">
        <f>F5-H5-L5-U5-AA5-AC5-AD5</f>
        <v>-1680201.6050420168</v>
      </c>
      <c r="AG5" s="2">
        <f>F5-H5-L5-U5-AA5-AB5-AD5-Y5</f>
        <v>-2067855.276655686</v>
      </c>
      <c r="AH5" s="2">
        <f>AH4+AG5</f>
        <v>15990889.841276415</v>
      </c>
      <c r="AI5" s="2">
        <v>10327799.81484101</v>
      </c>
      <c r="AJ5" s="2">
        <f>AH5-AI5</f>
        <v>5663090.026435405</v>
      </c>
      <c r="AK5" s="3">
        <v>0.125</v>
      </c>
    </row>
    <row r="6" spans="1:37">
      <c r="A6" s="2">
        <v>5</v>
      </c>
      <c r="B6" s="2">
        <v>2027</v>
      </c>
      <c r="C6" s="2">
        <v>12</v>
      </c>
      <c r="D6" s="2">
        <v>349990</v>
      </c>
      <c r="E6" s="2">
        <v>4199880</v>
      </c>
      <c r="F6" s="2">
        <f>E6/1.19</f>
        <v>3529310.924369748</v>
      </c>
      <c r="G6" s="2">
        <v>10</v>
      </c>
      <c r="H6" s="2">
        <v>752426.8907563025</v>
      </c>
      <c r="I6" s="2">
        <v>30</v>
      </c>
      <c r="J6" s="2">
        <v>2257280.672268908</v>
      </c>
      <c r="K6" s="2">
        <v>902912.2689075629</v>
      </c>
      <c r="L6" s="2">
        <v>354226.981512605</v>
      </c>
      <c r="M6" s="2">
        <v>1620000</v>
      </c>
      <c r="N6" s="3">
        <v>0</v>
      </c>
      <c r="O6" s="3">
        <v>0</v>
      </c>
      <c r="P6" s="2">
        <v>120000</v>
      </c>
      <c r="Q6" s="2">
        <v>160000</v>
      </c>
      <c r="R6" s="2">
        <v>0</v>
      </c>
      <c r="S6" s="2">
        <v>280000</v>
      </c>
      <c r="T6" s="2">
        <v>500000</v>
      </c>
      <c r="U6" s="2">
        <f>M6+P6+Q6+R6+S6+T6</f>
        <v>2680000.0</v>
      </c>
      <c r="V6" s="2">
        <f>F6-K6-L6-U6</f>
        <v>-407828.3260504198</v>
      </c>
      <c r="W6" s="2">
        <v>258034.368390348</v>
      </c>
      <c r="X6" s="2">
        <v>129619.3032233213</v>
      </c>
      <c r="Y6" s="2">
        <f>W6+X6</f>
        <v>387653.6716136693</v>
      </c>
      <c r="Z6" s="2">
        <v>27063973.19787455</v>
      </c>
      <c r="AA6" s="2">
        <v>0</v>
      </c>
      <c r="AB6" s="2">
        <v>0</v>
      </c>
      <c r="AC6" s="2">
        <v>0</v>
      </c>
      <c r="AD6" s="2">
        <v>-141251.1092436975</v>
      </c>
      <c r="AE6" s="2">
        <v>141251.1092436975</v>
      </c>
      <c r="AF6" s="2">
        <f>F6-H6-L6-U6-AA6-AC6-AD6</f>
        <v>-116091.83865546202</v>
      </c>
      <c r="AG6" s="2">
        <f>F6-H6-L6-U6-AA6-AB6-AD6-Y6</f>
        <v>-503745.51026913134</v>
      </c>
      <c r="AH6" s="2">
        <f>AH5+AG6</f>
        <v>15487144.331007283</v>
      </c>
      <c r="AI6" s="2">
        <v>10327799.81484101</v>
      </c>
      <c r="AJ6" s="2">
        <f>AH6-AI6</f>
        <v>5159344.5161662735</v>
      </c>
      <c r="AK6" s="3">
        <v>0.125</v>
      </c>
    </row>
    <row r="7" spans="1:37">
      <c r="A7" s="2">
        <v>6</v>
      </c>
      <c r="B7" s="2">
        <v>2027</v>
      </c>
      <c r="C7" s="2">
        <v>14</v>
      </c>
      <c r="D7" s="2">
        <v>349990</v>
      </c>
      <c r="E7" s="2">
        <v>4899860</v>
      </c>
      <c r="F7" s="2">
        <f>E7/1.19</f>
        <v>4117529.411764706</v>
      </c>
      <c r="G7" s="2">
        <v>20</v>
      </c>
      <c r="H7" s="2">
        <v>1504853.781512605</v>
      </c>
      <c r="I7" s="2">
        <v>36</v>
      </c>
      <c r="J7" s="2">
        <v>2708736.806722689</v>
      </c>
      <c r="K7" s="2">
        <v>1053397.647058823</v>
      </c>
      <c r="L7" s="2">
        <v>413264.8117647059</v>
      </c>
      <c r="M7" s="2">
        <v>1620000</v>
      </c>
      <c r="N7" s="3">
        <v>0</v>
      </c>
      <c r="O7" s="3">
        <v>0</v>
      </c>
      <c r="P7" s="2">
        <v>120000</v>
      </c>
      <c r="Q7" s="2">
        <v>160000</v>
      </c>
      <c r="R7" s="2">
        <v>0</v>
      </c>
      <c r="S7" s="2">
        <v>280000</v>
      </c>
      <c r="T7" s="2">
        <v>500000</v>
      </c>
      <c r="U7" s="2">
        <f>M7+P7+Q7+R7+S7+T7</f>
        <v>2680000.0</v>
      </c>
      <c r="V7" s="2">
        <f>F7-K7-L7-U7</f>
        <v>-29133.04705882352</v>
      </c>
      <c r="W7" s="2">
        <v>256804.437661737</v>
      </c>
      <c r="X7" s="2">
        <v>130849.2339519323</v>
      </c>
      <c r="Y7" s="2">
        <f>W7+X7</f>
        <v>387653.6716136693</v>
      </c>
      <c r="Z7" s="2">
        <v>26933123.96392262</v>
      </c>
      <c r="AA7" s="2">
        <v>0</v>
      </c>
      <c r="AB7" s="2">
        <v>0</v>
      </c>
      <c r="AC7" s="2">
        <v>0</v>
      </c>
      <c r="AD7" s="2">
        <v>141251.1092436975</v>
      </c>
      <c r="AE7" s="2">
        <v>282502.218487395</v>
      </c>
      <c r="AF7" s="2">
        <f>F7-H7-L7-U7-AA7-AC7-AD7</f>
        <v>-621840.2907563024</v>
      </c>
      <c r="AG7" s="2">
        <f>F7-H7-L7-U7-AA7-AB7-AD7-Y7</f>
        <v>-1009493.9623699717</v>
      </c>
      <c r="AH7" s="2">
        <f>AH6+AG7</f>
        <v>14477650.368637312</v>
      </c>
      <c r="AI7" s="2">
        <v>10327799.81484101</v>
      </c>
      <c r="AJ7" s="2">
        <f>AH7-AI7</f>
        <v>4149850.5537963025</v>
      </c>
      <c r="AK7" s="3">
        <v>0.125</v>
      </c>
    </row>
    <row r="8" spans="1:37">
      <c r="A8" s="2">
        <v>7</v>
      </c>
      <c r="B8" s="2">
        <v>2027</v>
      </c>
      <c r="C8" s="2">
        <v>16</v>
      </c>
      <c r="D8" s="2">
        <v>349990</v>
      </c>
      <c r="E8" s="2">
        <v>5599840</v>
      </c>
      <c r="F8" s="2">
        <f>E8/1.19</f>
        <v>4705747.899159664</v>
      </c>
      <c r="G8" s="2">
        <v>30</v>
      </c>
      <c r="H8" s="2">
        <v>2257280.672268908</v>
      </c>
      <c r="I8" s="2">
        <v>50</v>
      </c>
      <c r="J8" s="2">
        <v>3762134.453781513</v>
      </c>
      <c r="K8" s="2">
        <v>1203883.025210084</v>
      </c>
      <c r="L8" s="2">
        <v>472302.6420168068</v>
      </c>
      <c r="M8" s="2">
        <v>1620000</v>
      </c>
      <c r="N8" s="3">
        <v>0</v>
      </c>
      <c r="O8" s="3">
        <v>0</v>
      </c>
      <c r="P8" s="2">
        <v>120000</v>
      </c>
      <c r="Q8" s="2">
        <v>160000</v>
      </c>
      <c r="R8" s="2">
        <v>0</v>
      </c>
      <c r="S8" s="2">
        <v>280000</v>
      </c>
      <c r="T8" s="2">
        <v>500000</v>
      </c>
      <c r="U8" s="2">
        <f>M8+P8+Q8+R8+S8+T8</f>
        <v>2680000.0</v>
      </c>
      <c r="V8" s="2">
        <f>F8-K8-L8-U8</f>
        <v>349562.23193277325</v>
      </c>
      <c r="W8" s="2">
        <v>255562.8363751183</v>
      </c>
      <c r="X8" s="2">
        <v>132090.8352385511</v>
      </c>
      <c r="Y8" s="2">
        <f>W8+X8</f>
        <v>387653.6716136693</v>
      </c>
      <c r="Z8" s="2">
        <v>26801033.12868407</v>
      </c>
      <c r="AA8" s="2">
        <v>0</v>
      </c>
      <c r="AB8" s="2">
        <v>0</v>
      </c>
      <c r="AC8" s="2">
        <v>0</v>
      </c>
      <c r="AD8" s="2">
        <v>141251.1092436975</v>
      </c>
      <c r="AE8" s="2">
        <v>423753.3277310925</v>
      </c>
      <c r="AF8" s="2">
        <f>F8-H8-L8-U8-AA8-AC8-AD8</f>
        <v>-845086.5243697474</v>
      </c>
      <c r="AG8" s="2">
        <f>F8-H8-L8-U8-AA8-AB8-AD8-Y8</f>
        <v>-1232740.1959834166</v>
      </c>
      <c r="AH8" s="2">
        <f>AH7+AG8</f>
        <v>13244910.172653895</v>
      </c>
      <c r="AI8" s="2">
        <v>10327799.81484101</v>
      </c>
      <c r="AJ8" s="2">
        <f>AH8-AI8</f>
        <v>2917110.357812885</v>
      </c>
      <c r="AK8" s="3">
        <v>0.125</v>
      </c>
    </row>
    <row r="9" spans="1:37">
      <c r="A9" s="2">
        <v>8</v>
      </c>
      <c r="B9" s="2">
        <v>2027</v>
      </c>
      <c r="C9" s="2">
        <v>20</v>
      </c>
      <c r="D9" s="2">
        <v>349990</v>
      </c>
      <c r="E9" s="2">
        <v>6999800</v>
      </c>
      <c r="F9" s="2">
        <f>E9/1.19</f>
        <v>5882184.87394958</v>
      </c>
      <c r="G9" s="2">
        <v>20</v>
      </c>
      <c r="H9" s="2">
        <v>1504853.781512605</v>
      </c>
      <c r="I9" s="2">
        <v>50</v>
      </c>
      <c r="J9" s="2">
        <v>3762134.453781513</v>
      </c>
      <c r="K9" s="2">
        <v>1504853.781512605</v>
      </c>
      <c r="L9" s="2">
        <v>590378.3025210084</v>
      </c>
      <c r="M9" s="2">
        <v>1620000</v>
      </c>
      <c r="N9" s="3">
        <v>0</v>
      </c>
      <c r="O9" s="3">
        <v>0</v>
      </c>
      <c r="P9" s="2">
        <v>120000</v>
      </c>
      <c r="Q9" s="2">
        <v>160000</v>
      </c>
      <c r="R9" s="2">
        <v>0</v>
      </c>
      <c r="S9" s="2">
        <v>280000</v>
      </c>
      <c r="T9" s="2">
        <v>500000</v>
      </c>
      <c r="U9" s="2">
        <f>M9+P9+Q9+R9+S9+T9</f>
        <v>2680000.0</v>
      </c>
      <c r="V9" s="2">
        <f>F9-K9-L9-U9</f>
        <v>1106952.7899159663</v>
      </c>
      <c r="W9" s="2">
        <v>254309.4537909835</v>
      </c>
      <c r="X9" s="2">
        <v>133344.2178226858</v>
      </c>
      <c r="Y9" s="2">
        <f>W9+X9</f>
        <v>387653.6716136693</v>
      </c>
      <c r="Z9" s="2">
        <v>26667688.91086138</v>
      </c>
      <c r="AA9" s="2">
        <v>0</v>
      </c>
      <c r="AB9" s="2">
        <v>0</v>
      </c>
      <c r="AC9" s="2">
        <v>0</v>
      </c>
      <c r="AD9" s="2">
        <v>-141251.1092436975</v>
      </c>
      <c r="AE9" s="2">
        <v>282502.218487395</v>
      </c>
      <c r="AF9" s="2">
        <f>F9-H9-L9-U9-AA9-AC9-AD9</f>
        <v>1248203.8991596638</v>
      </c>
      <c r="AG9" s="2">
        <f>F9-H9-L9-U9-AA9-AB9-AD9-Y9</f>
        <v>860550.2275459946</v>
      </c>
      <c r="AH9" s="2">
        <f>AH8+AG9</f>
        <v>14105460.40019989</v>
      </c>
      <c r="AI9" s="2">
        <v>10327799.81484101</v>
      </c>
      <c r="AJ9" s="2">
        <f>AH9-AI9</f>
        <v>3777660.5853588805</v>
      </c>
      <c r="AK9" s="3">
        <v>0.125</v>
      </c>
    </row>
    <row r="10" spans="1:37">
      <c r="A10" s="2">
        <v>9</v>
      </c>
      <c r="B10" s="2">
        <v>2027</v>
      </c>
      <c r="C10" s="2">
        <v>22</v>
      </c>
      <c r="D10" s="2">
        <v>349990</v>
      </c>
      <c r="E10" s="2">
        <v>7699780</v>
      </c>
      <c r="F10" s="2">
        <f>E10/1.19</f>
        <v>6470403.361344538</v>
      </c>
      <c r="G10" s="2">
        <v>30</v>
      </c>
      <c r="H10" s="2">
        <v>2257280.672268908</v>
      </c>
      <c r="I10" s="2">
        <v>58</v>
      </c>
      <c r="J10" s="2">
        <v>4364075.966386555</v>
      </c>
      <c r="K10" s="2">
        <v>1655339.159663865</v>
      </c>
      <c r="L10" s="2">
        <v>649416.1327731092</v>
      </c>
      <c r="M10" s="2">
        <v>1620000</v>
      </c>
      <c r="N10" s="3">
        <v>0</v>
      </c>
      <c r="O10" s="3">
        <v>0</v>
      </c>
      <c r="P10" s="2">
        <v>120000</v>
      </c>
      <c r="Q10" s="2">
        <v>160000</v>
      </c>
      <c r="R10" s="2">
        <v>0</v>
      </c>
      <c r="S10" s="2">
        <v>280000</v>
      </c>
      <c r="T10" s="2">
        <v>500000</v>
      </c>
      <c r="U10" s="2">
        <f>M10+P10+Q10+R10+S10+T10</f>
        <v>2680000.0</v>
      </c>
      <c r="V10" s="2">
        <f>F10-K10-L10-U10</f>
        <v>1485648.068907563</v>
      </c>
      <c r="W10" s="2">
        <v>253044.1781190402</v>
      </c>
      <c r="X10" s="2">
        <v>134609.4934946292</v>
      </c>
      <c r="Y10" s="2">
        <f>W10+X10</f>
        <v>387653.6716136693</v>
      </c>
      <c r="Z10" s="2">
        <v>26533079.41736675</v>
      </c>
      <c r="AA10" s="2">
        <v>0</v>
      </c>
      <c r="AB10" s="2">
        <v>0</v>
      </c>
      <c r="AC10" s="2">
        <v>0</v>
      </c>
      <c r="AD10" s="2">
        <v>141251.1092436975</v>
      </c>
      <c r="AE10" s="2">
        <v>423753.3277310925</v>
      </c>
      <c r="AF10" s="2">
        <f>F10-H10-L10-U10-AA10-AC10-AD10</f>
        <v>742455.4470588234</v>
      </c>
      <c r="AG10" s="2">
        <f>F10-H10-L10-U10-AA10-AB10-AD10-Y10</f>
        <v>354801.7754451541</v>
      </c>
      <c r="AH10" s="2">
        <f>AH9+AG10</f>
        <v>14460262.175645044</v>
      </c>
      <c r="AI10" s="2">
        <v>10327799.81484101</v>
      </c>
      <c r="AJ10" s="2">
        <f>AH10-AI10</f>
        <v>4132462.3608040344</v>
      </c>
      <c r="AK10" s="3">
        <v>0.125</v>
      </c>
    </row>
    <row r="11" spans="1:37">
      <c r="A11" s="2">
        <v>10</v>
      </c>
      <c r="B11" s="2">
        <v>2027</v>
      </c>
      <c r="C11" s="2">
        <v>26</v>
      </c>
      <c r="D11" s="2">
        <v>349990</v>
      </c>
      <c r="E11" s="2">
        <v>9099740</v>
      </c>
      <c r="F11" s="2">
        <f>E11/1.19</f>
        <v>7646840.336134454</v>
      </c>
      <c r="G11" s="2">
        <v>30</v>
      </c>
      <c r="H11" s="2">
        <v>2257280.672268908</v>
      </c>
      <c r="I11" s="2">
        <v>62</v>
      </c>
      <c r="J11" s="2">
        <v>4665046.722689075</v>
      </c>
      <c r="K11" s="2">
        <v>1956309.915966387</v>
      </c>
      <c r="L11" s="2">
        <v>767491.7932773109</v>
      </c>
      <c r="M11" s="2">
        <v>1620000</v>
      </c>
      <c r="N11" s="3">
        <v>0</v>
      </c>
      <c r="O11" s="3">
        <v>0</v>
      </c>
      <c r="P11" s="2">
        <v>120000</v>
      </c>
      <c r="Q11" s="2">
        <v>160000</v>
      </c>
      <c r="R11" s="2">
        <v>0</v>
      </c>
      <c r="S11" s="2">
        <v>280000</v>
      </c>
      <c r="T11" s="2">
        <v>500000</v>
      </c>
      <c r="U11" s="2">
        <f>M11+P11+Q11+R11+S11+T11</f>
        <v>2680000.0</v>
      </c>
      <c r="V11" s="2">
        <f>F11-K11-L11-U11</f>
        <v>2243038.626890756</v>
      </c>
      <c r="W11" s="2">
        <v>251766.8965082405</v>
      </c>
      <c r="X11" s="2">
        <v>135886.7751054288</v>
      </c>
      <c r="Y11" s="2">
        <f>W11+X11</f>
        <v>387653.6716136693</v>
      </c>
      <c r="Z11" s="2">
        <v>26397192.64226133</v>
      </c>
      <c r="AA11" s="2">
        <v>0</v>
      </c>
      <c r="AB11" s="2">
        <v>0</v>
      </c>
      <c r="AC11" s="2">
        <v>0</v>
      </c>
      <c r="AD11" s="2">
        <v>0</v>
      </c>
      <c r="AE11" s="2">
        <v>423753.3277310925</v>
      </c>
      <c r="AF11" s="2">
        <f>F11-H11-L11-U11-AA11-AC11-AD11</f>
        <v>1942067.8705882356</v>
      </c>
      <c r="AG11" s="2">
        <f>F11-H11-L11-U11-AA11-AB11-AD11-Y11</f>
        <v>1554414.1989745663</v>
      </c>
      <c r="AH11" s="2">
        <f>AH10+AG11</f>
        <v>16014676.37461961</v>
      </c>
      <c r="AI11" s="2">
        <v>10327799.81484101</v>
      </c>
      <c r="AJ11" s="2">
        <f>AH11-AI11</f>
        <v>5686876.559778601</v>
      </c>
      <c r="AK11" s="3">
        <v>0.125</v>
      </c>
    </row>
    <row r="12" spans="1:37">
      <c r="A12" s="2">
        <v>11</v>
      </c>
      <c r="B12" s="2">
        <v>2027</v>
      </c>
      <c r="C12" s="2">
        <v>28</v>
      </c>
      <c r="D12" s="2">
        <v>349990</v>
      </c>
      <c r="E12" s="2">
        <v>9799720</v>
      </c>
      <c r="F12" s="2">
        <f>E12/1.19</f>
        <v>8235058.823529412</v>
      </c>
      <c r="G12" s="2">
        <v>10</v>
      </c>
      <c r="H12" s="2">
        <v>752426.8907563025</v>
      </c>
      <c r="I12" s="2">
        <v>44</v>
      </c>
      <c r="J12" s="2">
        <v>3310678.319327731</v>
      </c>
      <c r="K12" s="2">
        <v>2106795.294117647</v>
      </c>
      <c r="L12" s="2">
        <v>826529.6235294117</v>
      </c>
      <c r="M12" s="2">
        <v>1620000</v>
      </c>
      <c r="N12" s="3">
        <v>0</v>
      </c>
      <c r="O12" s="3">
        <v>0</v>
      </c>
      <c r="P12" s="2">
        <v>120000</v>
      </c>
      <c r="Q12" s="2">
        <v>160000</v>
      </c>
      <c r="R12" s="2">
        <v>0</v>
      </c>
      <c r="S12" s="2">
        <v>280000</v>
      </c>
      <c r="T12" s="2">
        <v>500000</v>
      </c>
      <c r="U12" s="2">
        <f>M12+P12+Q12+R12+S12+T12</f>
        <v>2680000.0</v>
      </c>
      <c r="V12" s="2">
        <f>F12-K12-L12-U12</f>
        <v>2621733.905882353</v>
      </c>
      <c r="W12" s="2">
        <v>250477.4950367168</v>
      </c>
      <c r="X12" s="2">
        <v>137176.1765769525</v>
      </c>
      <c r="Y12" s="2">
        <f>W12+X12</f>
        <v>387653.6716136693</v>
      </c>
      <c r="Z12" s="2">
        <v>26260016.46568437</v>
      </c>
      <c r="AA12" s="2">
        <v>0</v>
      </c>
      <c r="AB12" s="2">
        <v>0</v>
      </c>
      <c r="AC12" s="2">
        <v>0</v>
      </c>
      <c r="AD12" s="2">
        <v>-282502.218487395</v>
      </c>
      <c r="AE12" s="2">
        <v>141251.1092436975</v>
      </c>
      <c r="AF12" s="2">
        <f>F12-H12-L12-U12-AA12-AC12-AD12</f>
        <v>4258604.527731093</v>
      </c>
      <c r="AG12" s="2">
        <f>F12-H12-L12-U12-AA12-AB12-AD12-Y12</f>
        <v>3870950.856117423</v>
      </c>
      <c r="AH12" s="2">
        <f>AH11+AG12</f>
        <v>19885627.230737034</v>
      </c>
      <c r="AI12" s="2">
        <v>10327799.81484101</v>
      </c>
      <c r="AJ12" s="2">
        <f>AH12-AI12</f>
        <v>9557827.415896025</v>
      </c>
      <c r="AK12" s="3">
        <v>0.125</v>
      </c>
    </row>
    <row r="13" spans="1:37">
      <c r="A13" s="2">
        <v>12</v>
      </c>
      <c r="B13" s="2">
        <v>2027</v>
      </c>
      <c r="C13" s="2">
        <v>34</v>
      </c>
      <c r="D13" s="2">
        <v>349990</v>
      </c>
      <c r="E13" s="2">
        <v>11899660</v>
      </c>
      <c r="F13" s="2">
        <f>E13/1.19</f>
        <v>9999714.285714285</v>
      </c>
      <c r="G13" s="2">
        <v>10</v>
      </c>
      <c r="H13" s="2">
        <v>752426.8907563025</v>
      </c>
      <c r="I13" s="2">
        <v>20</v>
      </c>
      <c r="J13" s="2">
        <v>1504853.781512605</v>
      </c>
      <c r="K13" s="2">
        <v>2558251.428571429</v>
      </c>
      <c r="L13" s="2">
        <v>1003643.114285714</v>
      </c>
      <c r="M13" s="2">
        <v>1620000</v>
      </c>
      <c r="N13" s="3">
        <v>0</v>
      </c>
      <c r="O13" s="3">
        <v>0</v>
      </c>
      <c r="P13" s="2">
        <v>120000</v>
      </c>
      <c r="Q13" s="2">
        <v>160000</v>
      </c>
      <c r="R13" s="2">
        <v>0</v>
      </c>
      <c r="S13" s="2">
        <v>280000</v>
      </c>
      <c r="T13" s="2">
        <v>500000</v>
      </c>
      <c r="U13" s="2">
        <f>M13+P13+Q13+R13+S13+T13</f>
        <v>2680000.0</v>
      </c>
      <c r="V13" s="2">
        <f>F13-K13-L13-U13</f>
        <v>3757819.7428571424</v>
      </c>
      <c r="W13" s="2">
        <v>249175.8587016203</v>
      </c>
      <c r="X13" s="2">
        <v>138477.812912049</v>
      </c>
      <c r="Y13" s="2">
        <f>W13+X13</f>
        <v>387653.6716136693</v>
      </c>
      <c r="Z13" s="2">
        <v>26121538.65277232</v>
      </c>
      <c r="AA13" s="2">
        <v>0</v>
      </c>
      <c r="AB13" s="2">
        <v>0</v>
      </c>
      <c r="AC13" s="2">
        <v>0</v>
      </c>
      <c r="AD13" s="2">
        <v>0</v>
      </c>
      <c r="AE13" s="2">
        <v>141251.1092436975</v>
      </c>
      <c r="AF13" s="2">
        <f>F13-H13-L13-U13-AA13-AC13-AD13</f>
        <v>5563644.280672268</v>
      </c>
      <c r="AG13" s="2">
        <f>F13-H13-L13-U13-AA13-AB13-AD13-Y13</f>
        <v>5175990.609058599</v>
      </c>
      <c r="AH13" s="2">
        <f>AH12+AG13</f>
        <v>25061617.839795634</v>
      </c>
      <c r="AI13" s="2">
        <v>10327799.81484101</v>
      </c>
      <c r="AJ13" s="2">
        <f>AH13-AI13</f>
        <v>14733818.024954624</v>
      </c>
      <c r="AK13" s="3">
        <v>0.125</v>
      </c>
    </row>
    <row r="14" spans="1:37">
      <c r="A14" s="2">
        <v>13</v>
      </c>
      <c r="B14" s="2">
        <v>2028</v>
      </c>
      <c r="C14" s="2">
        <v>7</v>
      </c>
      <c r="D14" s="2">
        <v>360489.7</v>
      </c>
      <c r="E14" s="2">
        <v>2523427.9</v>
      </c>
      <c r="F14" s="2">
        <f>E14/1.19</f>
        <v>2120527.6470588236</v>
      </c>
      <c r="G14" s="2">
        <v>20</v>
      </c>
      <c r="H14" s="2">
        <v>1549999.394957983</v>
      </c>
      <c r="I14" s="2">
        <v>33</v>
      </c>
      <c r="J14" s="2">
        <v>2520253.870588236</v>
      </c>
      <c r="K14" s="2">
        <v>534599.3058823529</v>
      </c>
      <c r="L14" s="2">
        <v>212199.3394705883</v>
      </c>
      <c r="M14" s="2">
        <v>2398612.5</v>
      </c>
      <c r="N14" s="3">
        <v>0.5</v>
      </c>
      <c r="O14" s="3">
        <v>0</v>
      </c>
      <c r="P14" s="2">
        <v>133900</v>
      </c>
      <c r="Q14" s="2">
        <v>193125</v>
      </c>
      <c r="R14" s="2">
        <v>0</v>
      </c>
      <c r="S14" s="2">
        <v>288400</v>
      </c>
      <c r="T14" s="2">
        <v>901250</v>
      </c>
      <c r="U14" s="2">
        <f>M14+P14+Q14+R14+S14+T14</f>
        <v>3915287.5</v>
      </c>
      <c r="V14" s="2">
        <f>F14-K14-L14-U14</f>
        <v>-2541558.4982941174</v>
      </c>
      <c r="W14" s="2">
        <v>247861.871408864</v>
      </c>
      <c r="X14" s="2">
        <v>139791.8002048054</v>
      </c>
      <c r="Y14" s="2">
        <f>W14+X14</f>
        <v>387653.6716136693</v>
      </c>
      <c r="Z14" s="2">
        <v>25981746.85256752</v>
      </c>
      <c r="AA14" s="2">
        <v>0</v>
      </c>
      <c r="AB14" s="2">
        <v>0</v>
      </c>
      <c r="AC14" s="2">
        <v>0</v>
      </c>
      <c r="AD14" s="2">
        <v>149726.1757983193</v>
      </c>
      <c r="AE14" s="2">
        <v>290977.2850420168</v>
      </c>
      <c r="AF14" s="2">
        <f>F14-H14-L14-U14-AA14-AC14-AD14</f>
        <v>-3706684.763168067</v>
      </c>
      <c r="AG14" s="2">
        <f>F14-H14-L14-U14-AA14-AB14-AD14-Y14</f>
        <v>-4094338.4347817367</v>
      </c>
      <c r="AH14" s="2">
        <f>AH13+AG14</f>
        <v>20967279.405013897</v>
      </c>
      <c r="AI14" s="2">
        <v>14033662.31484101</v>
      </c>
      <c r="AJ14" s="2">
        <f>AH14-AI14</f>
        <v>6933617.090172889</v>
      </c>
      <c r="AK14" s="3">
        <v>0.15</v>
      </c>
    </row>
    <row r="15" spans="1:37">
      <c r="A15" s="2">
        <v>14</v>
      </c>
      <c r="B15" s="2">
        <v>2028</v>
      </c>
      <c r="C15" s="2">
        <v>11</v>
      </c>
      <c r="D15" s="2">
        <v>360489.7</v>
      </c>
      <c r="E15" s="2">
        <v>3965386.7</v>
      </c>
      <c r="F15" s="2">
        <f>E15/1.19</f>
        <v>3332257.731092437</v>
      </c>
      <c r="G15" s="2">
        <v>10</v>
      </c>
      <c r="H15" s="2">
        <v>774999.6974789916</v>
      </c>
      <c r="I15" s="2">
        <v>32</v>
      </c>
      <c r="J15" s="2">
        <v>2452281.725073285</v>
      </c>
      <c r="K15" s="2">
        <v>842971.8429939419</v>
      </c>
      <c r="L15" s="2">
        <v>333687.0824395154</v>
      </c>
      <c r="M15" s="2">
        <v>2398612.5</v>
      </c>
      <c r="N15" s="3">
        <v>0.5</v>
      </c>
      <c r="O15" s="3">
        <v>0</v>
      </c>
      <c r="P15" s="2">
        <v>133900</v>
      </c>
      <c r="Q15" s="2">
        <v>193125</v>
      </c>
      <c r="R15" s="2">
        <v>0</v>
      </c>
      <c r="S15" s="2">
        <v>288400</v>
      </c>
      <c r="T15" s="2">
        <v>901250</v>
      </c>
      <c r="U15" s="2">
        <f>M15+P15+Q15+R15+S15+T15</f>
        <v>3915287.5</v>
      </c>
      <c r="V15" s="2">
        <f>F15-K15-L15-U15</f>
        <v>-1759688.6943410202</v>
      </c>
      <c r="W15" s="2">
        <v>246535.4159627679</v>
      </c>
      <c r="X15" s="2">
        <v>141118.2556509014</v>
      </c>
      <c r="Y15" s="2">
        <f>W15+X15</f>
        <v>387653.6716136693</v>
      </c>
      <c r="Z15" s="2">
        <v>25840628.59691662</v>
      </c>
      <c r="AA15" s="2">
        <v>0</v>
      </c>
      <c r="AB15" s="2">
        <v>0</v>
      </c>
      <c r="AC15" s="2">
        <v>0</v>
      </c>
      <c r="AD15" s="2">
        <v>-145488.6425210084</v>
      </c>
      <c r="AE15" s="2">
        <v>145488.6425210084</v>
      </c>
      <c r="AF15" s="2">
        <f>F15-H15-L15-U15-AA15-AC15-AD15</f>
        <v>-1546227.9063050612</v>
      </c>
      <c r="AG15" s="2">
        <f>F15-H15-L15-U15-AA15-AB15-AD15-Y15</f>
        <v>-1933881.5779187304</v>
      </c>
      <c r="AH15" s="2">
        <f>AH14+AG15</f>
        <v>19033397.827095166</v>
      </c>
      <c r="AI15" s="2">
        <v>14033662.31484101</v>
      </c>
      <c r="AJ15" s="2">
        <f>AH15-AI15</f>
        <v>4999735.512254158</v>
      </c>
      <c r="AK15" s="3">
        <v>0.15</v>
      </c>
    </row>
    <row r="16" spans="1:37">
      <c r="A16" s="2">
        <v>15</v>
      </c>
      <c r="B16" s="2">
        <v>2028</v>
      </c>
      <c r="C16" s="2">
        <v>14</v>
      </c>
      <c r="D16" s="2">
        <v>360489.7</v>
      </c>
      <c r="E16" s="2">
        <v>5046855.8</v>
      </c>
      <c r="F16" s="2">
        <f>E16/1.19</f>
        <v>4241055.294117647</v>
      </c>
      <c r="G16" s="2">
        <v>30</v>
      </c>
      <c r="H16" s="2">
        <v>2324999.092436975</v>
      </c>
      <c r="I16" s="2">
        <v>48</v>
      </c>
      <c r="J16" s="2">
        <v>3698539.987749879</v>
      </c>
      <c r="K16" s="2">
        <v>1078740.829760381</v>
      </c>
      <c r="L16" s="2">
        <v>425162.0563808305</v>
      </c>
      <c r="M16" s="2">
        <v>2398612.5</v>
      </c>
      <c r="N16" s="3">
        <v>0.5</v>
      </c>
      <c r="O16" s="3">
        <v>0</v>
      </c>
      <c r="P16" s="2">
        <v>133900</v>
      </c>
      <c r="Q16" s="2">
        <v>193125</v>
      </c>
      <c r="R16" s="2">
        <v>0</v>
      </c>
      <c r="S16" s="2">
        <v>288400</v>
      </c>
      <c r="T16" s="2">
        <v>901250</v>
      </c>
      <c r="U16" s="2">
        <f>M16+P16+Q16+R16+S16+T16</f>
        <v>3915287.5</v>
      </c>
      <c r="V16" s="2">
        <f>F16-K16-L16-U16</f>
        <v>-1178135.0920235645</v>
      </c>
      <c r="W16" s="2">
        <v>245196.374055607</v>
      </c>
      <c r="X16" s="2">
        <v>142457.2975580623</v>
      </c>
      <c r="Y16" s="2">
        <f>W16+X16</f>
        <v>387653.6716136693</v>
      </c>
      <c r="Z16" s="2">
        <v>25698171.29935855</v>
      </c>
      <c r="AA16" s="2">
        <v>0</v>
      </c>
      <c r="AB16" s="2">
        <v>0</v>
      </c>
      <c r="AC16" s="2">
        <v>0</v>
      </c>
      <c r="AD16" s="2">
        <v>290977.2850420168</v>
      </c>
      <c r="AE16" s="2">
        <v>436465.9275630252</v>
      </c>
      <c r="AF16" s="2">
        <f>F16-H16-L16-U16-AA16-AC16-AD16</f>
        <v>-2715370.639742175</v>
      </c>
      <c r="AG16" s="2">
        <f>F16-H16-L16-U16-AA16-AB16-AD16-Y16</f>
        <v>-3103024.3113558446</v>
      </c>
      <c r="AH16" s="2">
        <f>AH15+AG16</f>
        <v>15930373.515739322</v>
      </c>
      <c r="AI16" s="2">
        <v>14033662.31484101</v>
      </c>
      <c r="AJ16" s="2">
        <f>AH16-AI16</f>
        <v>1896711.200898314</v>
      </c>
      <c r="AK16" s="3">
        <v>0.15</v>
      </c>
    </row>
    <row r="17" spans="1:37">
      <c r="A17" s="2">
        <v>16</v>
      </c>
      <c r="B17" s="2">
        <v>2028</v>
      </c>
      <c r="C17" s="2">
        <v>18</v>
      </c>
      <c r="D17" s="2">
        <v>360489.7</v>
      </c>
      <c r="E17" s="2">
        <v>6488814.600000001</v>
      </c>
      <c r="F17" s="2">
        <f>E17/1.19</f>
        <v>5452785.378151261</v>
      </c>
      <c r="G17" s="2">
        <v>20</v>
      </c>
      <c r="H17" s="2">
        <v>1549999.394957983</v>
      </c>
      <c r="I17" s="2">
        <v>50</v>
      </c>
      <c r="J17" s="2">
        <v>3859220.134344017</v>
      </c>
      <c r="K17" s="2">
        <v>1389319.248363846</v>
      </c>
      <c r="L17" s="2">
        <v>546826.2698691078</v>
      </c>
      <c r="M17" s="2">
        <v>2398612.5</v>
      </c>
      <c r="N17" s="3">
        <v>0.5</v>
      </c>
      <c r="O17" s="3">
        <v>0</v>
      </c>
      <c r="P17" s="2">
        <v>133900</v>
      </c>
      <c r="Q17" s="2">
        <v>193125</v>
      </c>
      <c r="R17" s="2">
        <v>0</v>
      </c>
      <c r="S17" s="2">
        <v>288400</v>
      </c>
      <c r="T17" s="2">
        <v>901250</v>
      </c>
      <c r="U17" s="2">
        <f>M17+P17+Q17+R17+S17+T17</f>
        <v>3915287.5</v>
      </c>
      <c r="V17" s="2">
        <f>F17-K17-L17-U17</f>
        <v>-398647.6400816925</v>
      </c>
      <c r="W17" s="2">
        <v>243844.6262570583</v>
      </c>
      <c r="X17" s="2">
        <v>143809.0453566111</v>
      </c>
      <c r="Y17" s="2">
        <f>W17+X17</f>
        <v>387653.6716136693</v>
      </c>
      <c r="Z17" s="2">
        <v>25554362.25400194</v>
      </c>
      <c r="AA17" s="2">
        <v>0</v>
      </c>
      <c r="AB17" s="2">
        <v>0</v>
      </c>
      <c r="AC17" s="2">
        <v>0</v>
      </c>
      <c r="AD17" s="2">
        <v>-145488.6425210084</v>
      </c>
      <c r="AE17" s="2">
        <v>290977.2850420168</v>
      </c>
      <c r="AF17" s="2">
        <f>F17-H17-L17-U17-AA17-AC17-AD17</f>
        <v>-413839.14415482106</v>
      </c>
      <c r="AG17" s="2">
        <f>F17-H17-L17-U17-AA17-AB17-AD17-Y17</f>
        <v>-801492.8157684903</v>
      </c>
      <c r="AH17" s="2">
        <f>AH16+AG17</f>
        <v>15128880.699970832</v>
      </c>
      <c r="AI17" s="2">
        <v>14033662.31484101</v>
      </c>
      <c r="AJ17" s="2">
        <f>AH17-AI17</f>
        <v>1095218.3851298243</v>
      </c>
      <c r="AK17" s="3">
        <v>0.15</v>
      </c>
    </row>
    <row r="18" spans="1:37">
      <c r="A18" s="2">
        <v>17</v>
      </c>
      <c r="B18" s="2">
        <v>2028</v>
      </c>
      <c r="C18" s="2">
        <v>21</v>
      </c>
      <c r="D18" s="2">
        <v>360489.7</v>
      </c>
      <c r="E18" s="2">
        <v>7570283.7</v>
      </c>
      <c r="F18" s="2">
        <f>E18/1.19</f>
        <v>6361582.941176471</v>
      </c>
      <c r="G18" s="2">
        <v>30</v>
      </c>
      <c r="H18" s="2">
        <v>2324999.092436975</v>
      </c>
      <c r="I18" s="2">
        <v>59</v>
      </c>
      <c r="J18" s="2">
        <v>4560861.679750981</v>
      </c>
      <c r="K18" s="2">
        <v>1623357.54703001</v>
      </c>
      <c r="L18" s="2">
        <v>638162.7887624009</v>
      </c>
      <c r="M18" s="2">
        <v>2398612.5</v>
      </c>
      <c r="N18" s="3">
        <v>0.5</v>
      </c>
      <c r="O18" s="3">
        <v>0</v>
      </c>
      <c r="P18" s="2">
        <v>133900</v>
      </c>
      <c r="Q18" s="2">
        <v>193125</v>
      </c>
      <c r="R18" s="2">
        <v>0</v>
      </c>
      <c r="S18" s="2">
        <v>288400</v>
      </c>
      <c r="T18" s="2">
        <v>901250</v>
      </c>
      <c r="U18" s="2">
        <f>M18+P18+Q18+R18+S18+T18</f>
        <v>3915287.5</v>
      </c>
      <c r="V18" s="2">
        <f>F18-K18-L18-U18</f>
        <v>184775.10538406018</v>
      </c>
      <c r="W18" s="2">
        <v>242480.0520035493</v>
      </c>
      <c r="X18" s="2">
        <v>145173.61961012</v>
      </c>
      <c r="Y18" s="2">
        <f>W18+X18</f>
        <v>387653.6716136693</v>
      </c>
      <c r="Z18" s="2">
        <v>25409188.63439182</v>
      </c>
      <c r="AA18" s="2">
        <v>0</v>
      </c>
      <c r="AB18" s="2">
        <v>0</v>
      </c>
      <c r="AC18" s="2">
        <v>0</v>
      </c>
      <c r="AD18" s="2">
        <v>145488.6425210084</v>
      </c>
      <c r="AE18" s="2">
        <v>436465.9275630252</v>
      </c>
      <c r="AF18" s="2">
        <f>F18-H18-L18-U18-AA18-AC18-AD18</f>
        <v>-662355.0825439128</v>
      </c>
      <c r="AG18" s="2">
        <f>F18-H18-L18-U18-AA18-AB18-AD18-Y18</f>
        <v>-1050008.754157582</v>
      </c>
      <c r="AH18" s="2">
        <f>AH17+AG18</f>
        <v>14078871.94581325</v>
      </c>
      <c r="AI18" s="2">
        <v>14033662.31484101</v>
      </c>
      <c r="AJ18" s="2">
        <f>AH18-AI18</f>
        <v>45209.63097224198</v>
      </c>
      <c r="AK18" s="3">
        <v>0.15</v>
      </c>
    </row>
    <row r="19" spans="1:37">
      <c r="A19" s="2">
        <v>18</v>
      </c>
      <c r="B19" s="2">
        <v>2028</v>
      </c>
      <c r="C19" s="2">
        <v>25</v>
      </c>
      <c r="D19" s="2">
        <v>360489.7</v>
      </c>
      <c r="E19" s="2">
        <v>9012242.5</v>
      </c>
      <c r="F19" s="2">
        <f>E19/1.19</f>
        <v>7573313.025210084</v>
      </c>
      <c r="G19" s="2">
        <v>30</v>
      </c>
      <c r="H19" s="2">
        <v>2324999.092436975</v>
      </c>
      <c r="I19" s="2">
        <v>64</v>
      </c>
      <c r="J19" s="2">
        <v>4951630.218202575</v>
      </c>
      <c r="K19" s="2">
        <v>1934230.553985381</v>
      </c>
      <c r="L19" s="2">
        <v>759850.5693188305</v>
      </c>
      <c r="M19" s="2">
        <v>2398612.5</v>
      </c>
      <c r="N19" s="3">
        <v>0.5</v>
      </c>
      <c r="O19" s="3">
        <v>0</v>
      </c>
      <c r="P19" s="2">
        <v>133900</v>
      </c>
      <c r="Q19" s="2">
        <v>193125</v>
      </c>
      <c r="R19" s="2">
        <v>0</v>
      </c>
      <c r="S19" s="2">
        <v>288400</v>
      </c>
      <c r="T19" s="2">
        <v>901250</v>
      </c>
      <c r="U19" s="2">
        <f>M19+P19+Q19+R19+S19+T19</f>
        <v>3915287.5</v>
      </c>
      <c r="V19" s="2">
        <f>F19-K19-L19-U19</f>
        <v>963944.4019058738</v>
      </c>
      <c r="W19" s="2">
        <v>241102.5295875049</v>
      </c>
      <c r="X19" s="2">
        <v>146551.1420261644</v>
      </c>
      <c r="Y19" s="2">
        <f>W19+X19</f>
        <v>387653.6716136693</v>
      </c>
      <c r="Z19" s="2">
        <v>25262637.49236566</v>
      </c>
      <c r="AA19" s="2">
        <v>0</v>
      </c>
      <c r="AB19" s="2">
        <v>0</v>
      </c>
      <c r="AC19" s="2">
        <v>0</v>
      </c>
      <c r="AD19" s="2">
        <v>0</v>
      </c>
      <c r="AE19" s="2">
        <v>436465.9275630252</v>
      </c>
      <c r="AF19" s="2">
        <f>F19-H19-L19-U19-AA19-AC19-AD19</f>
        <v>573175.8634542786</v>
      </c>
      <c r="AG19" s="2">
        <f>F19-H19-L19-U19-AA19-AB19-AD19-Y19</f>
        <v>185522.19184060924</v>
      </c>
      <c r="AH19" s="2">
        <f>AH18+AG19</f>
        <v>14264394.13765386</v>
      </c>
      <c r="AI19" s="2">
        <v>14033662.31484101</v>
      </c>
      <c r="AJ19" s="2">
        <f>AH19-AI19</f>
        <v>230731.82281285152</v>
      </c>
      <c r="AK19" s="3">
        <v>0.15</v>
      </c>
    </row>
    <row r="20" spans="1:37">
      <c r="A20" s="2">
        <v>19</v>
      </c>
      <c r="B20" s="2">
        <v>2028</v>
      </c>
      <c r="C20" s="2">
        <v>28</v>
      </c>
      <c r="D20" s="2">
        <v>360489.7</v>
      </c>
      <c r="E20" s="2">
        <v>10093711.6</v>
      </c>
      <c r="F20" s="2">
        <f>E20/1.19</f>
        <v>8482110.588235294</v>
      </c>
      <c r="G20" s="2">
        <v>40</v>
      </c>
      <c r="H20" s="2">
        <v>3099998.789915966</v>
      </c>
      <c r="I20" s="2">
        <v>76</v>
      </c>
      <c r="J20" s="2">
        <v>5883882.736702011</v>
      </c>
      <c r="K20" s="2">
        <v>2167746.27141653</v>
      </c>
      <c r="L20" s="2">
        <v>851145.2817133225</v>
      </c>
      <c r="M20" s="2">
        <v>2398612.5</v>
      </c>
      <c r="N20" s="3">
        <v>0.5</v>
      </c>
      <c r="O20" s="3">
        <v>0</v>
      </c>
      <c r="P20" s="2">
        <v>133900</v>
      </c>
      <c r="Q20" s="2">
        <v>193125</v>
      </c>
      <c r="R20" s="2">
        <v>0</v>
      </c>
      <c r="S20" s="2">
        <v>288400</v>
      </c>
      <c r="T20" s="2">
        <v>901250</v>
      </c>
      <c r="U20" s="2">
        <f>M20+P20+Q20+R20+S20+T20</f>
        <v>3915287.5</v>
      </c>
      <c r="V20" s="2">
        <f>F20-K20-L20-U20</f>
        <v>1547931.5351054417</v>
      </c>
      <c r="W20" s="2">
        <v>239711.936146492</v>
      </c>
      <c r="X20" s="2">
        <v>147941.7354671773</v>
      </c>
      <c r="Y20" s="2">
        <f>W20+X20</f>
        <v>387653.6716136693</v>
      </c>
      <c r="Z20" s="2">
        <v>25114695.75689848</v>
      </c>
      <c r="AA20" s="2">
        <v>0</v>
      </c>
      <c r="AB20" s="2">
        <v>0</v>
      </c>
      <c r="AC20" s="2">
        <v>0</v>
      </c>
      <c r="AD20" s="2">
        <v>145488.6425210084</v>
      </c>
      <c r="AE20" s="2">
        <v>581954.5700840337</v>
      </c>
      <c r="AF20" s="2">
        <f>F20-H20-L20-U20-AA20-AC20-AD20</f>
        <v>470190.3740849974</v>
      </c>
      <c r="AG20" s="2">
        <f>F20-H20-L20-U20-AA20-AB20-AD20-Y20</f>
        <v>82536.70247132808</v>
      </c>
      <c r="AH20" s="2">
        <f>AH19+AG20</f>
        <v>14346930.840125188</v>
      </c>
      <c r="AI20" s="2">
        <v>14033662.31484101</v>
      </c>
      <c r="AJ20" s="2">
        <f>AH20-AI20</f>
        <v>313268.5252841804</v>
      </c>
      <c r="AK20" s="3">
        <v>0.15</v>
      </c>
    </row>
    <row r="21" spans="1:37">
      <c r="A21" s="2">
        <v>20</v>
      </c>
      <c r="B21" s="2">
        <v>2028</v>
      </c>
      <c r="C21" s="2">
        <v>35</v>
      </c>
      <c r="D21" s="2">
        <v>360489.7</v>
      </c>
      <c r="E21" s="2">
        <v>12617139.5</v>
      </c>
      <c r="F21" s="2">
        <f>E21/1.19</f>
        <v>10602638.235294119</v>
      </c>
      <c r="G21" s="2">
        <v>50</v>
      </c>
      <c r="H21" s="2">
        <v>3874998.487394957</v>
      </c>
      <c r="I21" s="2">
        <v>91</v>
      </c>
      <c r="J21" s="2">
        <v>7048080.884070032</v>
      </c>
      <c r="K21" s="2">
        <v>2710800.340026936</v>
      </c>
      <c r="L21" s="2">
        <v>1064021.002202155</v>
      </c>
      <c r="M21" s="2">
        <v>2398612.5</v>
      </c>
      <c r="N21" s="3">
        <v>0.5</v>
      </c>
      <c r="O21" s="3">
        <v>0</v>
      </c>
      <c r="P21" s="2">
        <v>133900</v>
      </c>
      <c r="Q21" s="2">
        <v>193125</v>
      </c>
      <c r="R21" s="2">
        <v>0</v>
      </c>
      <c r="S21" s="2">
        <v>288400</v>
      </c>
      <c r="T21" s="2">
        <v>901250</v>
      </c>
      <c r="U21" s="2">
        <f>M21+P21+Q21+R21+S21+T21</f>
        <v>3915287.5</v>
      </c>
      <c r="V21" s="2">
        <f>F21-K21-L21-U21</f>
        <v>2912529.393065028</v>
      </c>
      <c r="W21" s="2">
        <v>238308.1476522611</v>
      </c>
      <c r="X21" s="2">
        <v>149345.5239614082</v>
      </c>
      <c r="Y21" s="2">
        <f>W21+X21</f>
        <v>387653.6716136693</v>
      </c>
      <c r="Z21" s="2">
        <v>24965350.23293707</v>
      </c>
      <c r="AA21" s="2">
        <v>0</v>
      </c>
      <c r="AB21" s="2">
        <v>0</v>
      </c>
      <c r="AC21" s="2">
        <v>0</v>
      </c>
      <c r="AD21" s="2">
        <v>145488.6425210083</v>
      </c>
      <c r="AE21" s="2">
        <v>727443.2126050419</v>
      </c>
      <c r="AF21" s="2">
        <f>F21-H21-L21-U21-AA21-AC21-AD21</f>
        <v>1602842.6031759982</v>
      </c>
      <c r="AG21" s="2">
        <f>F21-H21-L21-U21-AA21-AB21-AD21-Y21</f>
        <v>1215188.931562329</v>
      </c>
      <c r="AH21" s="2">
        <f>AH20+AG21</f>
        <v>15562119.771687517</v>
      </c>
      <c r="AI21" s="2">
        <v>14033662.31484101</v>
      </c>
      <c r="AJ21" s="2">
        <f>AH21-AI21</f>
        <v>1528457.4568465091</v>
      </c>
      <c r="AK21" s="3">
        <v>0.15</v>
      </c>
    </row>
    <row r="22" spans="1:37">
      <c r="A22" s="2">
        <v>21</v>
      </c>
      <c r="B22" s="2">
        <v>2028</v>
      </c>
      <c r="C22" s="2">
        <v>38</v>
      </c>
      <c r="D22" s="2">
        <v>360489.7</v>
      </c>
      <c r="E22" s="2">
        <v>13698608.6</v>
      </c>
      <c r="F22" s="2">
        <f>E22/1.19</f>
        <v>11511435.798319329</v>
      </c>
      <c r="G22" s="2">
        <v>50</v>
      </c>
      <c r="H22" s="2">
        <v>3874998.487394957</v>
      </c>
      <c r="I22" s="2">
        <v>103</v>
      </c>
      <c r="J22" s="2">
        <v>7979270.746531162</v>
      </c>
      <c r="K22" s="2">
        <v>2943808.624933827</v>
      </c>
      <c r="L22" s="2">
        <v>1155275.119994706</v>
      </c>
      <c r="M22" s="2">
        <v>2398612.5</v>
      </c>
      <c r="N22" s="3">
        <v>0.5</v>
      </c>
      <c r="O22" s="3">
        <v>0</v>
      </c>
      <c r="P22" s="2">
        <v>133900</v>
      </c>
      <c r="Q22" s="2">
        <v>193125</v>
      </c>
      <c r="R22" s="2">
        <v>0</v>
      </c>
      <c r="S22" s="2">
        <v>288400</v>
      </c>
      <c r="T22" s="2">
        <v>901250</v>
      </c>
      <c r="U22" s="2">
        <f>M22+P22+Q22+R22+S22+T22</f>
        <v>3915287.5</v>
      </c>
      <c r="V22" s="2">
        <f>F22-K22-L22-U22</f>
        <v>3497064.5533907944</v>
      </c>
      <c r="W22" s="2">
        <v>236891.0388996845</v>
      </c>
      <c r="X22" s="2">
        <v>150762.6327139848</v>
      </c>
      <c r="Y22" s="2">
        <f>W22+X22</f>
        <v>387653.6716136693</v>
      </c>
      <c r="Z22" s="2">
        <v>24814587.60022309</v>
      </c>
      <c r="AA22" s="2">
        <v>0</v>
      </c>
      <c r="AB22" s="2">
        <v>0</v>
      </c>
      <c r="AC22" s="2">
        <v>0</v>
      </c>
      <c r="AD22" s="2">
        <v>0</v>
      </c>
      <c r="AE22" s="2">
        <v>727443.2126050419</v>
      </c>
      <c r="AF22" s="2">
        <f>F22-H22-L22-U22-AA22-AC22-AD22</f>
        <v>2565874.690929665</v>
      </c>
      <c r="AG22" s="2">
        <f>F22-H22-L22-U22-AA22-AB22-AD22-Y22</f>
        <v>2178221.0193159957</v>
      </c>
      <c r="AH22" s="2">
        <f>AH21+AG22</f>
        <v>17740340.791003514</v>
      </c>
      <c r="AI22" s="2">
        <v>14033662.31484101</v>
      </c>
      <c r="AJ22" s="2">
        <f>AH22-AI22</f>
        <v>3706678.4761625063</v>
      </c>
      <c r="AK22" s="3">
        <v>0.15</v>
      </c>
    </row>
    <row r="23" spans="1:37">
      <c r="A23" s="2">
        <v>22</v>
      </c>
      <c r="B23" s="2">
        <v>2028</v>
      </c>
      <c r="C23" s="2">
        <v>45</v>
      </c>
      <c r="D23" s="2">
        <v>360489.7</v>
      </c>
      <c r="E23" s="2">
        <v>16222036.5</v>
      </c>
      <c r="F23" s="2">
        <f>E23/1.19</f>
        <v>13631963.445378153</v>
      </c>
      <c r="G23" s="2">
        <v>50</v>
      </c>
      <c r="H23" s="2">
        <v>3874998.487394957</v>
      </c>
      <c r="I23" s="2">
        <v>108</v>
      </c>
      <c r="J23" s="2">
        <v>8367719.459241968</v>
      </c>
      <c r="K23" s="2">
        <v>3486549.774684153</v>
      </c>
      <c r="L23" s="2">
        <v>1368125.806974732</v>
      </c>
      <c r="M23" s="2">
        <v>2398612.5</v>
      </c>
      <c r="N23" s="3">
        <v>0.5</v>
      </c>
      <c r="O23" s="3">
        <v>0</v>
      </c>
      <c r="P23" s="2">
        <v>133900</v>
      </c>
      <c r="Q23" s="2">
        <v>193125</v>
      </c>
      <c r="R23" s="2">
        <v>0</v>
      </c>
      <c r="S23" s="2">
        <v>288400</v>
      </c>
      <c r="T23" s="2">
        <v>901250</v>
      </c>
      <c r="U23" s="2">
        <f>M23+P23+Q23+R23+S23+T23</f>
        <v>3915287.5</v>
      </c>
      <c r="V23" s="2">
        <f>F23-K23-L23-U23</f>
        <v>4862000.36371927</v>
      </c>
      <c r="W23" s="2">
        <v>235460.4834955889</v>
      </c>
      <c r="X23" s="2">
        <v>152193.1881180804</v>
      </c>
      <c r="Y23" s="2">
        <f>W23+X23</f>
        <v>387653.6716136693</v>
      </c>
      <c r="Z23" s="2">
        <v>24662394.41210501</v>
      </c>
      <c r="AA23" s="2">
        <v>0</v>
      </c>
      <c r="AB23" s="2">
        <v>0</v>
      </c>
      <c r="AC23" s="2">
        <v>0</v>
      </c>
      <c r="AD23" s="2">
        <v>0</v>
      </c>
      <c r="AE23" s="2">
        <v>727443.2126050419</v>
      </c>
      <c r="AF23" s="2">
        <f>F23-H23-L23-U23-AA23-AC23-AD23</f>
        <v>4473551.651008464</v>
      </c>
      <c r="AG23" s="2">
        <f>F23-H23-L23-U23-AA23-AB23-AD23-Y23</f>
        <v>4085897.979394795</v>
      </c>
      <c r="AH23" s="2">
        <f>AH22+AG23</f>
        <v>21826238.770398308</v>
      </c>
      <c r="AI23" s="2">
        <v>14033662.31484101</v>
      </c>
      <c r="AJ23" s="2">
        <f>AH23-AI23</f>
        <v>7792576.4555573</v>
      </c>
      <c r="AK23" s="3">
        <v>0.15</v>
      </c>
    </row>
    <row r="24" spans="1:37">
      <c r="A24" s="2">
        <v>23</v>
      </c>
      <c r="B24" s="2">
        <v>2028</v>
      </c>
      <c r="C24" s="2">
        <v>49</v>
      </c>
      <c r="D24" s="2">
        <v>360489.7</v>
      </c>
      <c r="E24" s="2">
        <v>17663995.3</v>
      </c>
      <c r="F24" s="2">
        <f>E24/1.19</f>
        <v>14843693.529411767</v>
      </c>
      <c r="G24" s="2">
        <v>10</v>
      </c>
      <c r="H24" s="2">
        <v>774999.6974789916</v>
      </c>
      <c r="I24" s="2">
        <v>69</v>
      </c>
      <c r="J24" s="2">
        <v>5346166.286557171</v>
      </c>
      <c r="K24" s="2">
        <v>3796552.870163788</v>
      </c>
      <c r="L24" s="2">
        <v>1489743.994613103</v>
      </c>
      <c r="M24" s="2">
        <v>2398612.5</v>
      </c>
      <c r="N24" s="3">
        <v>0.5</v>
      </c>
      <c r="O24" s="3">
        <v>0</v>
      </c>
      <c r="P24" s="2">
        <v>133900</v>
      </c>
      <c r="Q24" s="2">
        <v>193125</v>
      </c>
      <c r="R24" s="2">
        <v>0</v>
      </c>
      <c r="S24" s="2">
        <v>288400</v>
      </c>
      <c r="T24" s="2">
        <v>901250</v>
      </c>
      <c r="U24" s="2">
        <f>M24+P24+Q24+R24+S24+T24</f>
        <v>3915287.5</v>
      </c>
      <c r="V24" s="2">
        <f>F24-K24-L24-U24</f>
        <v>5642109.164634876</v>
      </c>
      <c r="W24" s="2">
        <v>234016.3538474824</v>
      </c>
      <c r="X24" s="2">
        <v>153637.317766187</v>
      </c>
      <c r="Y24" s="2">
        <f>W24+X24</f>
        <v>387653.6716136693</v>
      </c>
      <c r="Z24" s="2">
        <v>24508757.09433882</v>
      </c>
      <c r="AA24" s="2">
        <v>0</v>
      </c>
      <c r="AB24" s="2">
        <v>0</v>
      </c>
      <c r="AC24" s="2">
        <v>0</v>
      </c>
      <c r="AD24" s="2">
        <v>-581954.5700840335</v>
      </c>
      <c r="AE24" s="2">
        <v>145488.6425210084</v>
      </c>
      <c r="AF24" s="2">
        <f>F24-H24-L24-U24-AA24-AC24-AD24</f>
        <v>9245616.907403706</v>
      </c>
      <c r="AG24" s="2">
        <f>F24-H24-L24-U24-AA24-AB24-AD24-Y24</f>
        <v>8857963.235790037</v>
      </c>
      <c r="AH24" s="2">
        <f>AH23+AG24</f>
        <v>30684202.006188344</v>
      </c>
      <c r="AI24" s="2">
        <v>14033662.31484101</v>
      </c>
      <c r="AJ24" s="2">
        <f>AH24-AI24</f>
        <v>16650539.691347336</v>
      </c>
      <c r="AK24" s="3">
        <v>0.15</v>
      </c>
    </row>
    <row r="25" spans="1:37">
      <c r="A25" s="2">
        <v>24</v>
      </c>
      <c r="B25" s="2">
        <v>2028</v>
      </c>
      <c r="C25" s="2">
        <v>59</v>
      </c>
      <c r="D25" s="2">
        <v>360489.7</v>
      </c>
      <c r="E25" s="2">
        <v>21268892.3</v>
      </c>
      <c r="F25" s="2">
        <f>E25/1.19</f>
        <v>17873018.7394958</v>
      </c>
      <c r="G25" s="2">
        <v>20</v>
      </c>
      <c r="H25" s="2">
        <v>1549999.394957983</v>
      </c>
      <c r="I25" s="2">
        <v>30</v>
      </c>
      <c r="J25" s="2">
        <v>2324550.22972421</v>
      </c>
      <c r="K25" s="2">
        <v>4571615.451790945</v>
      </c>
      <c r="L25" s="2">
        <v>1793793.851143276</v>
      </c>
      <c r="M25" s="2">
        <v>2398612.5</v>
      </c>
      <c r="N25" s="3">
        <v>0.5</v>
      </c>
      <c r="O25" s="3">
        <v>0</v>
      </c>
      <c r="P25" s="2">
        <v>133900</v>
      </c>
      <c r="Q25" s="2">
        <v>193125</v>
      </c>
      <c r="R25" s="2">
        <v>0</v>
      </c>
      <c r="S25" s="2">
        <v>288400</v>
      </c>
      <c r="T25" s="2">
        <v>901250</v>
      </c>
      <c r="U25" s="2">
        <f>M25+P25+Q25+R25+S25+T25</f>
        <v>3915287.5</v>
      </c>
      <c r="V25" s="2">
        <f>F25-K25-L25-U25</f>
        <v>7592321.936561579</v>
      </c>
      <c r="W25" s="2">
        <v>232558.5211521743</v>
      </c>
      <c r="X25" s="2">
        <v>155095.150461495</v>
      </c>
      <c r="Y25" s="2">
        <f>W25+X25</f>
        <v>387653.6716136693</v>
      </c>
      <c r="Z25" s="2">
        <v>24353661.94387732</v>
      </c>
      <c r="AA25" s="2">
        <v>0</v>
      </c>
      <c r="AB25" s="2">
        <v>1238446.953991933</v>
      </c>
      <c r="AC25" s="2">
        <v>2132049.463382743</v>
      </c>
      <c r="AD25" s="2">
        <v>145488.6425210084</v>
      </c>
      <c r="AE25" s="2">
        <v>290977.2850420168</v>
      </c>
      <c r="AF25" s="2">
        <f>F25-H25-L25-U25-AA25-AC25-AD25</f>
        <v>8336399.887490787</v>
      </c>
      <c r="AG25" s="2">
        <f>F25-H25-L25-U25-AA25-AB25-AD25-Y25</f>
        <v>8842348.725267928</v>
      </c>
      <c r="AH25" s="2">
        <f>AH24+AG25</f>
        <v>39526550.73145627</v>
      </c>
      <c r="AI25" s="2">
        <v>14033662.31484101</v>
      </c>
      <c r="AJ25" s="2">
        <f>AH25-AI25</f>
        <v>25492888.416615263</v>
      </c>
      <c r="AK25" s="3">
        <v>0.15</v>
      </c>
    </row>
    <row r="26" spans="1:37">
      <c r="A26" s="2">
        <v>25</v>
      </c>
      <c r="B26" s="2">
        <v>2029</v>
      </c>
      <c r="C26" s="2">
        <v>10</v>
      </c>
      <c r="D26" s="2">
        <v>371304.391</v>
      </c>
      <c r="E26" s="2">
        <v>3713043.91</v>
      </c>
      <c r="F26" s="2">
        <f>E26/1.19</f>
        <v>3120204.9663865543</v>
      </c>
      <c r="G26" s="2">
        <v>20</v>
      </c>
      <c r="H26" s="2">
        <v>1596499.376806722</v>
      </c>
      <c r="I26" s="2">
        <v>40</v>
      </c>
      <c r="J26" s="2">
        <v>3136839.685224746</v>
      </c>
      <c r="K26" s="2">
        <v>784209.9213061865</v>
      </c>
      <c r="L26" s="2">
        <v>312042.9892044949</v>
      </c>
      <c r="M26" s="2">
        <v>3437316</v>
      </c>
      <c r="N26" s="3">
        <v>0.5</v>
      </c>
      <c r="O26" s="3">
        <v>0.5</v>
      </c>
      <c r="P26" s="2">
        <v>148526</v>
      </c>
      <c r="Q26" s="2">
        <v>244007</v>
      </c>
      <c r="R26" s="2">
        <v>0</v>
      </c>
      <c r="S26" s="2">
        <v>297052</v>
      </c>
      <c r="T26" s="2">
        <v>1326125</v>
      </c>
      <c r="U26" s="2">
        <f>M26+P26+Q26+R26+S26+T26</f>
        <v>5453026.0</v>
      </c>
      <c r="V26" s="2">
        <f>F26-K26-L26-U26</f>
        <v>-3429073.944124127</v>
      </c>
      <c r="W26" s="2">
        <v>231086.8553842872</v>
      </c>
      <c r="X26" s="2">
        <v>156566.8162293822</v>
      </c>
      <c r="Y26" s="2">
        <f>W26+X26</f>
        <v>387653.6716136693</v>
      </c>
      <c r="Z26" s="2">
        <v>24197095.12764794</v>
      </c>
      <c r="AA26" s="2">
        <v>0</v>
      </c>
      <c r="AB26" s="2">
        <v>0</v>
      </c>
      <c r="AC26" s="2">
        <v>0</v>
      </c>
      <c r="AD26" s="2">
        <v>8729.318551260454</v>
      </c>
      <c r="AE26" s="2">
        <v>299706.6035932773</v>
      </c>
      <c r="AF26" s="2">
        <f>F26-H26-L26-U26-AA26-AC26-AD26</f>
        <v>-4250092.718175923</v>
      </c>
      <c r="AG26" s="2">
        <f>F26-H26-L26-U26-AA26-AB26-AD26-Y26</f>
        <v>-4637746.3897895925</v>
      </c>
      <c r="AH26" s="2">
        <f>AH25+AG26</f>
        <v>34888804.34166668</v>
      </c>
      <c r="AI26" s="2">
        <v>18646877.81484101</v>
      </c>
      <c r="AJ26" s="2">
        <f>AH26-AI26</f>
        <v>16241926.526825678</v>
      </c>
      <c r="AK26" s="3">
        <v>0.25</v>
      </c>
    </row>
    <row r="27" spans="1:37">
      <c r="A27" s="2">
        <v>26</v>
      </c>
      <c r="B27" s="2">
        <v>2029</v>
      </c>
      <c r="C27" s="2">
        <v>15</v>
      </c>
      <c r="D27" s="2">
        <v>371304.391</v>
      </c>
      <c r="E27" s="2">
        <v>5569565.865</v>
      </c>
      <c r="F27" s="2">
        <f>E27/1.19</f>
        <v>4680307.449579832</v>
      </c>
      <c r="G27" s="2">
        <v>20</v>
      </c>
      <c r="H27" s="2">
        <v>1596499.376806722</v>
      </c>
      <c r="I27" s="2">
        <v>45</v>
      </c>
      <c r="J27" s="2">
        <v>3550004.296523601</v>
      </c>
      <c r="K27" s="2">
        <v>1183334.765507867</v>
      </c>
      <c r="L27" s="2">
        <v>468626.0744906294</v>
      </c>
      <c r="M27" s="2">
        <v>3437316</v>
      </c>
      <c r="N27" s="3">
        <v>0.5</v>
      </c>
      <c r="O27" s="3">
        <v>0.5</v>
      </c>
      <c r="P27" s="2">
        <v>148526</v>
      </c>
      <c r="Q27" s="2">
        <v>244007</v>
      </c>
      <c r="R27" s="2">
        <v>0</v>
      </c>
      <c r="S27" s="2">
        <v>297052</v>
      </c>
      <c r="T27" s="2">
        <v>1326125</v>
      </c>
      <c r="U27" s="2">
        <f>M27+P27+Q27+R27+S27+T27</f>
        <v>5453026.0</v>
      </c>
      <c r="V27" s="2">
        <f>F27-K27-L27-U27</f>
        <v>-2424679.3904186646</v>
      </c>
      <c r="W27" s="2">
        <v>229601.2252846597</v>
      </c>
      <c r="X27" s="2">
        <v>158052.4463290097</v>
      </c>
      <c r="Y27" s="2">
        <f>W27+X27</f>
        <v>387653.6716136693</v>
      </c>
      <c r="Z27" s="2">
        <v>24039042.68131894</v>
      </c>
      <c r="AA27" s="2">
        <v>0</v>
      </c>
      <c r="AB27" s="2">
        <v>0</v>
      </c>
      <c r="AC27" s="2">
        <v>0</v>
      </c>
      <c r="AD27" s="2">
        <v>0</v>
      </c>
      <c r="AE27" s="2">
        <v>299706.6035932773</v>
      </c>
      <c r="AF27" s="2">
        <f>F27-H27-L27-U27-AA27-AC27-AD27</f>
        <v>-2837844.00171752</v>
      </c>
      <c r="AG27" s="2">
        <f>F27-H27-L27-U27-AA27-AB27-AD27-Y27</f>
        <v>-3225497.6733311894</v>
      </c>
      <c r="AH27" s="2">
        <f>AH26+AG27</f>
        <v>31663306.668335494</v>
      </c>
      <c r="AI27" s="2">
        <v>18646877.81484101</v>
      </c>
      <c r="AJ27" s="2">
        <f>AH27-AI27</f>
        <v>13016428.853494488</v>
      </c>
      <c r="AK27" s="3">
        <v>0.25</v>
      </c>
    </row>
    <row r="28" spans="1:37">
      <c r="A28" s="2">
        <v>27</v>
      </c>
      <c r="B28" s="2">
        <v>2029</v>
      </c>
      <c r="C28" s="2">
        <v>20</v>
      </c>
      <c r="D28" s="2">
        <v>371304.391</v>
      </c>
      <c r="E28" s="2">
        <v>7426087.819999999</v>
      </c>
      <c r="F28" s="2">
        <f>E28/1.19</f>
        <v>6240409.932773109</v>
      </c>
      <c r="G28" s="2">
        <v>30</v>
      </c>
      <c r="H28" s="2">
        <v>2394749.065210084</v>
      </c>
      <c r="I28" s="2">
        <v>55</v>
      </c>
      <c r="J28" s="2">
        <v>4359485.798604703</v>
      </c>
      <c r="K28" s="2">
        <v>1585267.563128983</v>
      </c>
      <c r="L28" s="2">
        <v>625433.7960503186</v>
      </c>
      <c r="M28" s="2">
        <v>3437316</v>
      </c>
      <c r="N28" s="3">
        <v>0.5</v>
      </c>
      <c r="O28" s="3">
        <v>0.5</v>
      </c>
      <c r="P28" s="2">
        <v>148526</v>
      </c>
      <c r="Q28" s="2">
        <v>244007</v>
      </c>
      <c r="R28" s="2">
        <v>0</v>
      </c>
      <c r="S28" s="2">
        <v>297052</v>
      </c>
      <c r="T28" s="2">
        <v>1326125</v>
      </c>
      <c r="U28" s="2">
        <f>M28+P28+Q28+R28+S28+T28</f>
        <v>5453026.0</v>
      </c>
      <c r="V28" s="2">
        <f>F28-K28-L28-U28</f>
        <v>-1423317.4264061926</v>
      </c>
      <c r="W28" s="2">
        <v>228101.4983486394</v>
      </c>
      <c r="X28" s="2">
        <v>159552.1732650299</v>
      </c>
      <c r="Y28" s="2">
        <f>W28+X28</f>
        <v>387653.6716136693</v>
      </c>
      <c r="Z28" s="2">
        <v>23879490.50805391</v>
      </c>
      <c r="AA28" s="2">
        <v>0</v>
      </c>
      <c r="AB28" s="2">
        <v>0</v>
      </c>
      <c r="AC28" s="2">
        <v>0</v>
      </c>
      <c r="AD28" s="2">
        <v>149853.3017966386</v>
      </c>
      <c r="AE28" s="2">
        <v>449559.9053899159</v>
      </c>
      <c r="AF28" s="2">
        <f>F28-H28-L28-U28-AA28-AC28-AD28</f>
        <v>-2382652.2302839328</v>
      </c>
      <c r="AG28" s="2">
        <f>F28-H28-L28-U28-AA28-AB28-AD28-Y28</f>
        <v>-2770305.9018976022</v>
      </c>
      <c r="AH28" s="2">
        <f>AH27+AG28</f>
        <v>28893000.766437892</v>
      </c>
      <c r="AI28" s="2">
        <v>18646877.81484101</v>
      </c>
      <c r="AJ28" s="2">
        <f>AH28-AI28</f>
        <v>10246122.951596886</v>
      </c>
      <c r="AK28" s="3">
        <v>0.25</v>
      </c>
    </row>
    <row r="29" spans="1:37">
      <c r="A29" s="2">
        <v>28</v>
      </c>
      <c r="B29" s="2">
        <v>2029</v>
      </c>
      <c r="C29" s="2">
        <v>25</v>
      </c>
      <c r="D29" s="2">
        <v>371304.391</v>
      </c>
      <c r="E29" s="2">
        <v>9282609.775</v>
      </c>
      <c r="F29" s="2">
        <f>E29/1.19</f>
        <v>7800512.415966387</v>
      </c>
      <c r="G29" s="2">
        <v>40</v>
      </c>
      <c r="H29" s="2">
        <v>3192998.753613445</v>
      </c>
      <c r="I29" s="2">
        <v>70</v>
      </c>
      <c r="J29" s="2">
        <v>5564988.617423898</v>
      </c>
      <c r="K29" s="2">
        <v>1987495.934794249</v>
      </c>
      <c r="L29" s="2">
        <v>782265.16353354</v>
      </c>
      <c r="M29" s="2">
        <v>3437316</v>
      </c>
      <c r="N29" s="3">
        <v>0.5</v>
      </c>
      <c r="O29" s="3">
        <v>0.5</v>
      </c>
      <c r="P29" s="2">
        <v>148526</v>
      </c>
      <c r="Q29" s="2">
        <v>244007</v>
      </c>
      <c r="R29" s="2">
        <v>0</v>
      </c>
      <c r="S29" s="2">
        <v>297052</v>
      </c>
      <c r="T29" s="2">
        <v>1326125</v>
      </c>
      <c r="U29" s="2">
        <f>M29+P29+Q29+R29+S29+T29</f>
        <v>5453026.0</v>
      </c>
      <c r="V29" s="2">
        <f>F29-K29-L29-U29</f>
        <v>-422274.6823614035</v>
      </c>
      <c r="W29" s="2">
        <v>226587.5408142648</v>
      </c>
      <c r="X29" s="2">
        <v>161066.1307994045</v>
      </c>
      <c r="Y29" s="2">
        <f>W29+X29</f>
        <v>387653.6716136693</v>
      </c>
      <c r="Z29" s="2">
        <v>23718424.3772545</v>
      </c>
      <c r="AA29" s="2">
        <v>0</v>
      </c>
      <c r="AB29" s="2">
        <v>0</v>
      </c>
      <c r="AC29" s="2">
        <v>0</v>
      </c>
      <c r="AD29" s="2">
        <v>149853.3017966386</v>
      </c>
      <c r="AE29" s="2">
        <v>599413.2071865546</v>
      </c>
      <c r="AF29" s="2">
        <f>F29-H29-L29-U29-AA29-AC29-AD29</f>
        <v>-1777630.8029772367</v>
      </c>
      <c r="AG29" s="2">
        <f>F29-H29-L29-U29-AA29-AB29-AD29-Y29</f>
        <v>-2165284.474590906</v>
      </c>
      <c r="AH29" s="2">
        <f>AH28+AG29</f>
        <v>26727716.291846987</v>
      </c>
      <c r="AI29" s="2">
        <v>18646877.81484101</v>
      </c>
      <c r="AJ29" s="2">
        <f>AH29-AI29</f>
        <v>8080838.477005981</v>
      </c>
      <c r="AK29" s="3">
        <v>0.25</v>
      </c>
    </row>
    <row r="30" spans="1:37">
      <c r="A30" s="2">
        <v>29</v>
      </c>
      <c r="B30" s="2">
        <v>2029</v>
      </c>
      <c r="C30" s="2">
        <v>30</v>
      </c>
      <c r="D30" s="2">
        <v>371304.391</v>
      </c>
      <c r="E30" s="2">
        <v>11139131.73</v>
      </c>
      <c r="F30" s="2">
        <f>E30/1.19</f>
        <v>9360614.899159664</v>
      </c>
      <c r="G30" s="2">
        <v>40</v>
      </c>
      <c r="H30" s="2">
        <v>3192998.753613445</v>
      </c>
      <c r="I30" s="2">
        <v>80</v>
      </c>
      <c r="J30" s="2">
        <v>6369445.360754431</v>
      </c>
      <c r="K30" s="2">
        <v>2388542.010282911</v>
      </c>
      <c r="L30" s="2">
        <v>939001.947322633</v>
      </c>
      <c r="M30" s="2">
        <v>3437316</v>
      </c>
      <c r="N30" s="3">
        <v>0.5</v>
      </c>
      <c r="O30" s="3">
        <v>0.5</v>
      </c>
      <c r="P30" s="2">
        <v>148526</v>
      </c>
      <c r="Q30" s="2">
        <v>244007</v>
      </c>
      <c r="R30" s="2">
        <v>0</v>
      </c>
      <c r="S30" s="2">
        <v>297052</v>
      </c>
      <c r="T30" s="2">
        <v>1326125</v>
      </c>
      <c r="U30" s="2">
        <f>M30+P30+Q30+R30+S30+T30</f>
        <v>5453026.0</v>
      </c>
      <c r="V30" s="2">
        <f>F30-K30-L30-U30</f>
        <v>580044.9415541198</v>
      </c>
      <c r="W30" s="2">
        <v>225059.2176503348</v>
      </c>
      <c r="X30" s="2">
        <v>162594.4539633345</v>
      </c>
      <c r="Y30" s="2">
        <f>W30+X30</f>
        <v>387653.6716136693</v>
      </c>
      <c r="Z30" s="2">
        <v>23555829.92329117</v>
      </c>
      <c r="AA30" s="2">
        <v>0</v>
      </c>
      <c r="AB30" s="2">
        <v>0</v>
      </c>
      <c r="AC30" s="2">
        <v>0</v>
      </c>
      <c r="AD30" s="2">
        <v>0</v>
      </c>
      <c r="AE30" s="2">
        <v>599413.2071865546</v>
      </c>
      <c r="AF30" s="2">
        <f>F30-H30-L30-U30-AA30-AC30-AD30</f>
        <v>-224411.8017764138</v>
      </c>
      <c r="AG30" s="2">
        <f>F30-H30-L30-U30-AA30-AB30-AD30-Y30</f>
        <v>-612065.4733900831</v>
      </c>
      <c r="AH30" s="2">
        <f>AH29+AG30</f>
        <v>26115650.818456903</v>
      </c>
      <c r="AI30" s="2">
        <v>18646877.81484101</v>
      </c>
      <c r="AJ30" s="2">
        <f>AH30-AI30</f>
        <v>7468773.003615897</v>
      </c>
      <c r="AK30" s="3">
        <v>0.25</v>
      </c>
    </row>
    <row r="31" spans="1:37">
      <c r="A31" s="2">
        <v>30</v>
      </c>
      <c r="B31" s="2">
        <v>2029</v>
      </c>
      <c r="C31" s="2">
        <v>35</v>
      </c>
      <c r="D31" s="2">
        <v>371304.391</v>
      </c>
      <c r="E31" s="2">
        <v>12995653.685</v>
      </c>
      <c r="F31" s="2">
        <f>E31/1.19</f>
        <v>10920717.38235294</v>
      </c>
      <c r="G31" s="2">
        <v>50</v>
      </c>
      <c r="H31" s="2">
        <v>3991248.442016806</v>
      </c>
      <c r="I31" s="2">
        <v>95</v>
      </c>
      <c r="J31" s="2">
        <v>7571276.240486674</v>
      </c>
      <c r="K31" s="2">
        <v>2789417.562284564</v>
      </c>
      <c r="L31" s="2">
        <v>1095725.089232765</v>
      </c>
      <c r="M31" s="2">
        <v>3437316</v>
      </c>
      <c r="N31" s="3">
        <v>0.5</v>
      </c>
      <c r="O31" s="3">
        <v>0.5</v>
      </c>
      <c r="P31" s="2">
        <v>148526</v>
      </c>
      <c r="Q31" s="2">
        <v>244007</v>
      </c>
      <c r="R31" s="2">
        <v>0</v>
      </c>
      <c r="S31" s="2">
        <v>297052</v>
      </c>
      <c r="T31" s="2">
        <v>1326125</v>
      </c>
      <c r="U31" s="2">
        <f>M31+P31+Q31+R31+S31+T31</f>
        <v>5453026.0</v>
      </c>
      <c r="V31" s="2">
        <f>F31-K31-L31-U31</f>
        <v>1582548.730835612</v>
      </c>
      <c r="W31" s="2">
        <v>223516.3925443651</v>
      </c>
      <c r="X31" s="2">
        <v>164137.2790693042</v>
      </c>
      <c r="Y31" s="2">
        <f>W31+X31</f>
        <v>387653.6716136693</v>
      </c>
      <c r="Z31" s="2">
        <v>23391692.64422186</v>
      </c>
      <c r="AA31" s="2">
        <v>0</v>
      </c>
      <c r="AB31" s="2">
        <v>0</v>
      </c>
      <c r="AC31" s="2">
        <v>0</v>
      </c>
      <c r="AD31" s="2">
        <v>149853.3017966386</v>
      </c>
      <c r="AE31" s="2">
        <v>749266.5089831932</v>
      </c>
      <c r="AF31" s="2">
        <f>F31-H31-L31-U31-AA31-AC31-AD31</f>
        <v>230864.5493067305</v>
      </c>
      <c r="AG31" s="2">
        <f>F31-H31-L31-U31-AA31-AB31-AD31-Y31</f>
        <v>-156789.1223069388</v>
      </c>
      <c r="AH31" s="2">
        <f>AH30+AG31</f>
        <v>25958861.696149964</v>
      </c>
      <c r="AI31" s="2">
        <v>18646877.81484101</v>
      </c>
      <c r="AJ31" s="2">
        <f>AH31-AI31</f>
        <v>7311983.881308958</v>
      </c>
      <c r="AK31" s="3">
        <v>0.25</v>
      </c>
    </row>
    <row r="32" spans="1:37">
      <c r="A32" s="2">
        <v>31</v>
      </c>
      <c r="B32" s="2">
        <v>2029</v>
      </c>
      <c r="C32" s="2">
        <v>40</v>
      </c>
      <c r="D32" s="2">
        <v>371304.391</v>
      </c>
      <c r="E32" s="2">
        <v>14852175.64</v>
      </c>
      <c r="F32" s="2">
        <f>E32/1.19</f>
        <v>12480819.865546217</v>
      </c>
      <c r="G32" s="2">
        <v>50</v>
      </c>
      <c r="H32" s="2">
        <v>3991248.442016806</v>
      </c>
      <c r="I32" s="2">
        <v>105</v>
      </c>
      <c r="J32" s="2">
        <v>8372862.70112321</v>
      </c>
      <c r="K32" s="2">
        <v>3189661.98138027</v>
      </c>
      <c r="L32" s="2">
        <v>1252397.740510422</v>
      </c>
      <c r="M32" s="2">
        <v>3437316</v>
      </c>
      <c r="N32" s="3">
        <v>0.5</v>
      </c>
      <c r="O32" s="3">
        <v>0.5</v>
      </c>
      <c r="P32" s="2">
        <v>148526</v>
      </c>
      <c r="Q32" s="2">
        <v>244007</v>
      </c>
      <c r="R32" s="2">
        <v>0</v>
      </c>
      <c r="S32" s="2">
        <v>297052</v>
      </c>
      <c r="T32" s="2">
        <v>1326125</v>
      </c>
      <c r="U32" s="2">
        <f>M32+P32+Q32+R32+S32+T32</f>
        <v>5453026.0</v>
      </c>
      <c r="V32" s="2">
        <f>F32-K32-L32-U32</f>
        <v>2585734.1436555246</v>
      </c>
      <c r="W32" s="2">
        <v>221958.9278904306</v>
      </c>
      <c r="X32" s="2">
        <v>165694.7437232387</v>
      </c>
      <c r="Y32" s="2">
        <f>W32+X32</f>
        <v>387653.6716136693</v>
      </c>
      <c r="Z32" s="2">
        <v>23225997.90049862</v>
      </c>
      <c r="AA32" s="2">
        <v>0</v>
      </c>
      <c r="AB32" s="2">
        <v>0</v>
      </c>
      <c r="AC32" s="2">
        <v>0</v>
      </c>
      <c r="AD32" s="2">
        <v>0</v>
      </c>
      <c r="AE32" s="2">
        <v>749266.5089831932</v>
      </c>
      <c r="AF32" s="2">
        <f>F32-H32-L32-U32-AA32-AC32-AD32</f>
        <v>1784147.683018989</v>
      </c>
      <c r="AG32" s="2">
        <f>F32-H32-L32-U32-AA32-AB32-AD32-Y32</f>
        <v>1396494.0114053197</v>
      </c>
      <c r="AH32" s="2">
        <f>AH31+AG32</f>
        <v>27355355.707555283</v>
      </c>
      <c r="AI32" s="2">
        <v>18646877.81484101</v>
      </c>
      <c r="AJ32" s="2">
        <f>AH32-AI32</f>
        <v>8708477.892714277</v>
      </c>
      <c r="AK32" s="3">
        <v>0.25</v>
      </c>
    </row>
    <row r="33" spans="1:37">
      <c r="A33" s="2">
        <v>32</v>
      </c>
      <c r="B33" s="2">
        <v>2029</v>
      </c>
      <c r="C33" s="2">
        <v>50</v>
      </c>
      <c r="D33" s="2">
        <v>371304.391</v>
      </c>
      <c r="E33" s="2">
        <v>18565219.55</v>
      </c>
      <c r="F33" s="2">
        <f>E33/1.19</f>
        <v>15601024.831932774</v>
      </c>
      <c r="G33" s="2">
        <v>70</v>
      </c>
      <c r="H33" s="2">
        <v>5587747.818823529</v>
      </c>
      <c r="I33" s="2">
        <v>125</v>
      </c>
      <c r="J33" s="2">
        <v>9971864.657104813</v>
      </c>
      <c r="K33" s="2">
        <v>3988745.862841926</v>
      </c>
      <c r="L33" s="2">
        <v>1565630.646527354</v>
      </c>
      <c r="M33" s="2">
        <v>3437316</v>
      </c>
      <c r="N33" s="3">
        <v>0.5</v>
      </c>
      <c r="O33" s="3">
        <v>0.5</v>
      </c>
      <c r="P33" s="2">
        <v>148526</v>
      </c>
      <c r="Q33" s="2">
        <v>244007</v>
      </c>
      <c r="R33" s="2">
        <v>0</v>
      </c>
      <c r="S33" s="2">
        <v>297052</v>
      </c>
      <c r="T33" s="2">
        <v>1326125</v>
      </c>
      <c r="U33" s="2">
        <f>M33+P33+Q33+R33+S33+T33</f>
        <v>5453026.0</v>
      </c>
      <c r="V33" s="2">
        <f>F33-K33-L33-U33</f>
        <v>4593622.3225634955</v>
      </c>
      <c r="W33" s="2">
        <v>220386.684776892</v>
      </c>
      <c r="X33" s="2">
        <v>167266.9868367773</v>
      </c>
      <c r="Y33" s="2">
        <f>W33+X33</f>
        <v>387653.6716136693</v>
      </c>
      <c r="Z33" s="2">
        <v>23058730.91366185</v>
      </c>
      <c r="AA33" s="2">
        <v>0</v>
      </c>
      <c r="AB33" s="2">
        <v>0</v>
      </c>
      <c r="AC33" s="2">
        <v>0</v>
      </c>
      <c r="AD33" s="2">
        <v>299706.6035932775</v>
      </c>
      <c r="AE33" s="2">
        <v>1048973.112576471</v>
      </c>
      <c r="AF33" s="2">
        <f>F33-H33-L33-U33-AA33-AC33-AD33</f>
        <v>2694913.762988613</v>
      </c>
      <c r="AG33" s="2">
        <f>F33-H33-L33-U33-AA33-AB33-AD33-Y33</f>
        <v>2307260.0913749435</v>
      </c>
      <c r="AH33" s="2">
        <f>AH32+AG33</f>
        <v>29662615.798930228</v>
      </c>
      <c r="AI33" s="2">
        <v>18646877.81484101</v>
      </c>
      <c r="AJ33" s="2">
        <f>AH33-AI33</f>
        <v>11015737.984089222</v>
      </c>
      <c r="AK33" s="3">
        <v>0.25</v>
      </c>
    </row>
    <row r="34" spans="1:37">
      <c r="A34" s="2">
        <v>33</v>
      </c>
      <c r="B34" s="2">
        <v>2029</v>
      </c>
      <c r="C34" s="2">
        <v>55</v>
      </c>
      <c r="D34" s="2">
        <v>371304.391</v>
      </c>
      <c r="E34" s="2">
        <v>20421741.505</v>
      </c>
      <c r="F34" s="2">
        <f>E34/1.19</f>
        <v>17161127.31512605</v>
      </c>
      <c r="G34" s="2">
        <v>70</v>
      </c>
      <c r="H34" s="2">
        <v>5587747.818823529</v>
      </c>
      <c r="I34" s="2">
        <v>140</v>
      </c>
      <c r="J34" s="2">
        <v>11171003.82887163</v>
      </c>
      <c r="K34" s="2">
        <v>4388608.647056712</v>
      </c>
      <c r="L34" s="2">
        <v>1722272.767014537</v>
      </c>
      <c r="M34" s="2">
        <v>3437316</v>
      </c>
      <c r="N34" s="3">
        <v>0.5</v>
      </c>
      <c r="O34" s="3">
        <v>0.5</v>
      </c>
      <c r="P34" s="2">
        <v>148526</v>
      </c>
      <c r="Q34" s="2">
        <v>244007</v>
      </c>
      <c r="R34" s="2">
        <v>0</v>
      </c>
      <c r="S34" s="2">
        <v>297052</v>
      </c>
      <c r="T34" s="2">
        <v>1326125</v>
      </c>
      <c r="U34" s="2">
        <f>M34+P34+Q34+R34+S34+T34</f>
        <v>5453026.0</v>
      </c>
      <c r="V34" s="2">
        <f>F34-K34-L34-U34</f>
        <v>5597219.901054801</v>
      </c>
      <c r="W34" s="2">
        <v>218799.5229740062</v>
      </c>
      <c r="X34" s="2">
        <v>168854.1486396632</v>
      </c>
      <c r="Y34" s="2">
        <f>W34+X34</f>
        <v>387653.6716136693</v>
      </c>
      <c r="Z34" s="2">
        <v>22889876.76502218</v>
      </c>
      <c r="AA34" s="2">
        <v>0</v>
      </c>
      <c r="AB34" s="2">
        <v>0</v>
      </c>
      <c r="AC34" s="2">
        <v>0</v>
      </c>
      <c r="AD34" s="2">
        <v>0</v>
      </c>
      <c r="AE34" s="2">
        <v>1048973.112576471</v>
      </c>
      <c r="AF34" s="2">
        <f>F34-H34-L34-U34-AA34-AC34-AD34</f>
        <v>4398080.729287984</v>
      </c>
      <c r="AG34" s="2">
        <f>F34-H34-L34-U34-AA34-AB34-AD34-Y34</f>
        <v>4010427.0576743144</v>
      </c>
      <c r="AH34" s="2">
        <f>AH33+AG34</f>
        <v>33673042.85660454</v>
      </c>
      <c r="AI34" s="2">
        <v>18646877.81484101</v>
      </c>
      <c r="AJ34" s="2">
        <f>AH34-AI34</f>
        <v>15026165.041763533</v>
      </c>
      <c r="AK34" s="3">
        <v>0.25</v>
      </c>
    </row>
    <row r="35" spans="1:37">
      <c r="A35" s="2">
        <v>34</v>
      </c>
      <c r="B35" s="2">
        <v>2029</v>
      </c>
      <c r="C35" s="2">
        <v>65</v>
      </c>
      <c r="D35" s="2">
        <v>371304.391</v>
      </c>
      <c r="E35" s="2">
        <v>24134785.415</v>
      </c>
      <c r="F35" s="2">
        <f>E35/1.19</f>
        <v>20281332.281512607</v>
      </c>
      <c r="G35" s="2">
        <v>80</v>
      </c>
      <c r="H35" s="2">
        <v>6385997.50722689</v>
      </c>
      <c r="I35" s="2">
        <v>155</v>
      </c>
      <c r="J35" s="2">
        <v>12369705.48679668</v>
      </c>
      <c r="K35" s="2">
        <v>5187295.849301836</v>
      </c>
      <c r="L35" s="2">
        <v>2035473.938694147</v>
      </c>
      <c r="M35" s="2">
        <v>3437316</v>
      </c>
      <c r="N35" s="3">
        <v>0.5</v>
      </c>
      <c r="O35" s="3">
        <v>0.5</v>
      </c>
      <c r="P35" s="2">
        <v>148526</v>
      </c>
      <c r="Q35" s="2">
        <v>244007</v>
      </c>
      <c r="R35" s="2">
        <v>0</v>
      </c>
      <c r="S35" s="2">
        <v>297052</v>
      </c>
      <c r="T35" s="2">
        <v>1326125</v>
      </c>
      <c r="U35" s="2">
        <f>M35+P35+Q35+R35+S35+T35</f>
        <v>5453026.0</v>
      </c>
      <c r="V35" s="2">
        <f>F35-K35-L35-U35</f>
        <v>7605536.493516622</v>
      </c>
      <c r="W35" s="2">
        <v>217197.3009214191</v>
      </c>
      <c r="X35" s="2">
        <v>170456.3706922502</v>
      </c>
      <c r="Y35" s="2">
        <f>W35+X35</f>
        <v>387653.6716136693</v>
      </c>
      <c r="Z35" s="2">
        <v>22719420.39432993</v>
      </c>
      <c r="AA35" s="2">
        <v>0</v>
      </c>
      <c r="AB35" s="2">
        <v>0</v>
      </c>
      <c r="AC35" s="2">
        <v>0</v>
      </c>
      <c r="AD35" s="2">
        <v>149853.3017966384</v>
      </c>
      <c r="AE35" s="2">
        <v>1198826.414373109</v>
      </c>
      <c r="AF35" s="2">
        <f>F35-H35-L35-U35-AA35-AC35-AD35</f>
        <v>6256981.533794931</v>
      </c>
      <c r="AG35" s="2">
        <f>F35-H35-L35-U35-AA35-AB35-AD35-Y35</f>
        <v>5869327.862181262</v>
      </c>
      <c r="AH35" s="2">
        <f>AH34+AG35</f>
        <v>39542370.7187858</v>
      </c>
      <c r="AI35" s="2">
        <v>18646877.81484101</v>
      </c>
      <c r="AJ35" s="2">
        <f>AH35-AI35</f>
        <v>20895492.903944794</v>
      </c>
      <c r="AK35" s="3">
        <v>0.25</v>
      </c>
    </row>
    <row r="36" spans="1:37">
      <c r="A36" s="2">
        <v>35</v>
      </c>
      <c r="B36" s="2">
        <v>2029</v>
      </c>
      <c r="C36" s="2">
        <v>70</v>
      </c>
      <c r="D36" s="2">
        <v>371304.391</v>
      </c>
      <c r="E36" s="2">
        <v>25991307.37</v>
      </c>
      <c r="F36" s="2">
        <f>E36/1.19</f>
        <v>21841434.76470588</v>
      </c>
      <c r="G36" s="2">
        <v>20</v>
      </c>
      <c r="H36" s="2">
        <v>1596499.376806722</v>
      </c>
      <c r="I36" s="2">
        <v>105</v>
      </c>
      <c r="J36" s="2">
        <v>8379722.918162044</v>
      </c>
      <c r="K36" s="2">
        <v>5586481.945441362</v>
      </c>
      <c r="L36" s="2">
        <v>2192061.924135309</v>
      </c>
      <c r="M36" s="2">
        <v>3437316</v>
      </c>
      <c r="N36" s="3">
        <v>0.5</v>
      </c>
      <c r="O36" s="3">
        <v>0.5</v>
      </c>
      <c r="P36" s="2">
        <v>148526</v>
      </c>
      <c r="Q36" s="2">
        <v>244007</v>
      </c>
      <c r="R36" s="2">
        <v>0</v>
      </c>
      <c r="S36" s="2">
        <v>297052</v>
      </c>
      <c r="T36" s="2">
        <v>1326125</v>
      </c>
      <c r="U36" s="2">
        <f>M36+P36+Q36+R36+S36+T36</f>
        <v>5453026.0</v>
      </c>
      <c r="V36" s="2">
        <f>F36-K36-L36-U36</f>
        <v>8609864.895129211</v>
      </c>
      <c r="W36" s="2">
        <v>215579.8757155398</v>
      </c>
      <c r="X36" s="2">
        <v>172073.7958981295</v>
      </c>
      <c r="Y36" s="2">
        <f>W36+X36</f>
        <v>387653.6716136693</v>
      </c>
      <c r="Z36" s="2">
        <v>22547346.5984318</v>
      </c>
      <c r="AA36" s="2">
        <v>0</v>
      </c>
      <c r="AB36" s="2">
        <v>0</v>
      </c>
      <c r="AC36" s="2">
        <v>0</v>
      </c>
      <c r="AD36" s="2">
        <v>-899119.8107798318</v>
      </c>
      <c r="AE36" s="2">
        <v>299706.6035932773</v>
      </c>
      <c r="AF36" s="2">
        <f>F36-H36-L36-U36-AA36-AC36-AD36</f>
        <v>13498967.274543684</v>
      </c>
      <c r="AG36" s="2">
        <f>F36-H36-L36-U36-AA36-AB36-AD36-Y36</f>
        <v>13111313.602930015</v>
      </c>
      <c r="AH36" s="2">
        <f>AH35+AG36</f>
        <v>52653684.32171582</v>
      </c>
      <c r="AI36" s="2">
        <v>18646877.81484101</v>
      </c>
      <c r="AJ36" s="2">
        <f>AH36-AI36</f>
        <v>34006806.506874815</v>
      </c>
      <c r="AK36" s="3">
        <v>0.25</v>
      </c>
    </row>
    <row r="37" spans="1:37">
      <c r="A37" s="2">
        <v>36</v>
      </c>
      <c r="B37" s="2">
        <v>2029</v>
      </c>
      <c r="C37" s="2">
        <v>85</v>
      </c>
      <c r="D37" s="2">
        <v>371304.391</v>
      </c>
      <c r="E37" s="2">
        <v>31560873.235</v>
      </c>
      <c r="F37" s="2">
        <f>E37/1.19</f>
        <v>26521742.214285716</v>
      </c>
      <c r="G37" s="2">
        <v>20</v>
      </c>
      <c r="H37" s="2">
        <v>1596499.376806722</v>
      </c>
      <c r="I37" s="2">
        <v>40</v>
      </c>
      <c r="J37" s="2">
        <v>3192391.134390004</v>
      </c>
      <c r="K37" s="2">
        <v>6783831.160578762</v>
      </c>
      <c r="L37" s="2">
        <v>2661809.154596301</v>
      </c>
      <c r="M37" s="2">
        <v>3437316</v>
      </c>
      <c r="N37" s="3">
        <v>0.5</v>
      </c>
      <c r="O37" s="3">
        <v>0.5</v>
      </c>
      <c r="P37" s="2">
        <v>148526</v>
      </c>
      <c r="Q37" s="2">
        <v>244007</v>
      </c>
      <c r="R37" s="2">
        <v>0</v>
      </c>
      <c r="S37" s="2">
        <v>297052</v>
      </c>
      <c r="T37" s="2">
        <v>1326125</v>
      </c>
      <c r="U37" s="2">
        <f>M37+P37+Q37+R37+S37+T37</f>
        <v>5453026.0</v>
      </c>
      <c r="V37" s="2">
        <f>F37-K37-L37-U37</f>
        <v>11623075.899110653</v>
      </c>
      <c r="W37" s="2">
        <v>213947.1030967948</v>
      </c>
      <c r="X37" s="2">
        <v>173706.5685168745</v>
      </c>
      <c r="Y37" s="2">
        <f>W37+X37</f>
        <v>387653.6716136693</v>
      </c>
      <c r="Z37" s="2">
        <v>22373640.02991493</v>
      </c>
      <c r="AA37" s="2">
        <v>0</v>
      </c>
      <c r="AB37" s="2">
        <v>7884659.708510557</v>
      </c>
      <c r="AC37" s="2">
        <v>8552615.244860966</v>
      </c>
      <c r="AD37" s="2">
        <v>0</v>
      </c>
      <c r="AE37" s="2">
        <v>299706.6035932773</v>
      </c>
      <c r="AF37" s="2">
        <f>F37-H37-L37-U37-AA37-AC37-AD37</f>
        <v>8257792.438021731</v>
      </c>
      <c r="AG37" s="2">
        <f>F37-H37-L37-U37-AA37-AB37-AD37-Y37</f>
        <v>8538094.30275847</v>
      </c>
      <c r="AH37" s="2">
        <f>AH36+AG37</f>
        <v>61191778.62447429</v>
      </c>
      <c r="AI37" s="2">
        <v>18646877.81484101</v>
      </c>
      <c r="AJ37" s="2">
        <f>AH37-AI37</f>
        <v>42544900.809633285</v>
      </c>
      <c r="AK37" s="3">
        <v>0.25</v>
      </c>
    </row>
    <row r="38" spans="1:37">
      <c r="A38" s="2">
        <v>37</v>
      </c>
      <c r="B38" s="2">
        <v>2030</v>
      </c>
      <c r="C38" s="2">
        <v>13</v>
      </c>
      <c r="D38" s="2">
        <v>382443.52273</v>
      </c>
      <c r="E38" s="2">
        <v>4971765.79549</v>
      </c>
      <c r="F38" s="2">
        <f>E38/1.19</f>
        <v>4177954.4499915973</v>
      </c>
      <c r="G38" s="2">
        <v>20</v>
      </c>
      <c r="H38" s="2">
        <v>1644394.358110924</v>
      </c>
      <c r="I38" s="2">
        <v>47</v>
      </c>
      <c r="J38" s="2">
        <v>3788815.30245906</v>
      </c>
      <c r="K38" s="2">
        <v>1047970.190041868</v>
      </c>
      <c r="L38" s="2">
        <v>417658.6109778495</v>
      </c>
      <c r="M38" s="2">
        <v>5015616.93</v>
      </c>
      <c r="N38" s="3">
        <v>1</v>
      </c>
      <c r="O38" s="3">
        <v>1</v>
      </c>
      <c r="P38" s="2">
        <v>174836.32</v>
      </c>
      <c r="Q38" s="2">
        <v>314159.0125</v>
      </c>
      <c r="R38" s="2">
        <v>273181.75</v>
      </c>
      <c r="S38" s="2">
        <v>305963.56</v>
      </c>
      <c r="T38" s="2">
        <v>1775681.375</v>
      </c>
      <c r="U38" s="2">
        <f>M38+P38+Q38+R38+S38+T38</f>
        <v>7859438.9475</v>
      </c>
      <c r="V38" s="2">
        <f>F38-K38-L38-U38</f>
        <v>-5147113.29852812</v>
      </c>
      <c r="W38" s="2">
        <v>212298.8374367612</v>
      </c>
      <c r="X38" s="2">
        <v>175354.8341769081</v>
      </c>
      <c r="Y38" s="2">
        <f>W38+X38</f>
        <v>387653.6716136693</v>
      </c>
      <c r="Z38" s="2">
        <v>22198285.19573802</v>
      </c>
      <c r="AA38" s="2">
        <v>1639090.5</v>
      </c>
      <c r="AB38" s="2">
        <v>0</v>
      </c>
      <c r="AC38" s="2">
        <v>0</v>
      </c>
      <c r="AD38" s="2">
        <v>8991.198107798293</v>
      </c>
      <c r="AE38" s="2">
        <v>308697.8017010756</v>
      </c>
      <c r="AF38" s="2">
        <f>F38-H38-L38-U38-AA38-AC38-AD38</f>
        <v>-7391619.164704975</v>
      </c>
      <c r="AG38" s="2">
        <f>F38-H38-L38-U38-AA38-AB38-AD38-Y38</f>
        <v>-7779272.836318644</v>
      </c>
      <c r="AH38" s="2">
        <f>AH37+AG38</f>
        <v>53412505.788155645</v>
      </c>
      <c r="AI38" s="2">
        <v>25866116.65734101</v>
      </c>
      <c r="AJ38" s="2">
        <f>AH38-AI38</f>
        <v>27546389.130814638</v>
      </c>
      <c r="AK38" s="3">
        <v>0.25</v>
      </c>
    </row>
    <row r="39" spans="1:37">
      <c r="A39" s="2">
        <v>38</v>
      </c>
      <c r="B39" s="2">
        <v>2030</v>
      </c>
      <c r="C39" s="2">
        <v>20</v>
      </c>
      <c r="D39" s="2">
        <v>382443.52273</v>
      </c>
      <c r="E39" s="2">
        <v>7648870.4546</v>
      </c>
      <c r="F39" s="2">
        <f>E39/1.19</f>
        <v>6427622.230756302</v>
      </c>
      <c r="G39" s="2">
        <v>40</v>
      </c>
      <c r="H39" s="2">
        <v>3288788.716221849</v>
      </c>
      <c r="I39" s="2">
        <v>67</v>
      </c>
      <c r="J39" s="2">
        <v>5450568.612087596</v>
      </c>
      <c r="K39" s="2">
        <v>1627035.406593312</v>
      </c>
      <c r="L39" s="2">
        <v>643733.595257465</v>
      </c>
      <c r="M39" s="2">
        <v>5015616.93</v>
      </c>
      <c r="N39" s="3">
        <v>1</v>
      </c>
      <c r="O39" s="3">
        <v>1</v>
      </c>
      <c r="P39" s="2">
        <v>174836.32</v>
      </c>
      <c r="Q39" s="2">
        <v>314159.0125</v>
      </c>
      <c r="R39" s="2">
        <v>273181.75</v>
      </c>
      <c r="S39" s="2">
        <v>305963.56</v>
      </c>
      <c r="T39" s="2">
        <v>1775681.375</v>
      </c>
      <c r="U39" s="2">
        <f>M39+P39+Q39+R39+S39+T39</f>
        <v>7859438.9475</v>
      </c>
      <c r="V39" s="2">
        <f>F39-K39-L39-U39</f>
        <v>-3702585.7185944747</v>
      </c>
      <c r="W39" s="2">
        <v>210634.9317251784</v>
      </c>
      <c r="X39" s="2">
        <v>177018.739888491</v>
      </c>
      <c r="Y39" s="2">
        <f>W39+X39</f>
        <v>387653.6716136693</v>
      </c>
      <c r="Z39" s="2">
        <v>22021266.45584953</v>
      </c>
      <c r="AA39" s="2">
        <v>0</v>
      </c>
      <c r="AB39" s="2">
        <v>0</v>
      </c>
      <c r="AC39" s="2">
        <v>0</v>
      </c>
      <c r="AD39" s="2">
        <v>308697.8017010756</v>
      </c>
      <c r="AE39" s="2">
        <v>617395.6034021511</v>
      </c>
      <c r="AF39" s="2">
        <f>F39-H39-L39-U39-AA39-AC39-AD39</f>
        <v>-5673036.829924086</v>
      </c>
      <c r="AG39" s="2">
        <f>F39-H39-L39-U39-AA39-AB39-AD39-Y39</f>
        <v>-6060690.501537755</v>
      </c>
      <c r="AH39" s="2">
        <f>AH38+AG39</f>
        <v>47351815.28661789</v>
      </c>
      <c r="AI39" s="2">
        <v>25866116.65734101</v>
      </c>
      <c r="AJ39" s="2">
        <f>AH39-AI39</f>
        <v>21485698.629276883</v>
      </c>
      <c r="AK39" s="3">
        <v>0.25</v>
      </c>
    </row>
    <row r="40" spans="1:37">
      <c r="A40" s="2">
        <v>39</v>
      </c>
      <c r="B40" s="2">
        <v>2030</v>
      </c>
      <c r="C40" s="2">
        <v>26</v>
      </c>
      <c r="D40" s="2">
        <v>382443.52273</v>
      </c>
      <c r="E40" s="2">
        <v>9943531.590980001</v>
      </c>
      <c r="F40" s="2">
        <f>E40/1.19</f>
        <v>8355908.899983195</v>
      </c>
      <c r="G40" s="2">
        <v>40</v>
      </c>
      <c r="H40" s="2">
        <v>3288788.716221849</v>
      </c>
      <c r="I40" s="2">
        <v>81</v>
      </c>
      <c r="J40" s="2">
        <v>6615775.173766963</v>
      </c>
      <c r="K40" s="2">
        <v>2123582.154542482</v>
      </c>
      <c r="L40" s="2">
        <v>837528.5639123986</v>
      </c>
      <c r="M40" s="2">
        <v>5015616.93</v>
      </c>
      <c r="N40" s="3">
        <v>1</v>
      </c>
      <c r="O40" s="3">
        <v>1</v>
      </c>
      <c r="P40" s="2">
        <v>174836.32</v>
      </c>
      <c r="Q40" s="2">
        <v>314159.0125</v>
      </c>
      <c r="R40" s="2">
        <v>273181.75</v>
      </c>
      <c r="S40" s="2">
        <v>305963.56</v>
      </c>
      <c r="T40" s="2">
        <v>1775681.375</v>
      </c>
      <c r="U40" s="2">
        <f>M40+P40+Q40+R40+S40+T40</f>
        <v>7859438.9475</v>
      </c>
      <c r="V40" s="2">
        <f>F40-K40-L40-U40</f>
        <v>-2464640.7659716867</v>
      </c>
      <c r="W40" s="2">
        <v>208955.2375568357</v>
      </c>
      <c r="X40" s="2">
        <v>178698.4340568336</v>
      </c>
      <c r="Y40" s="2">
        <f>W40+X40</f>
        <v>387653.6716136693</v>
      </c>
      <c r="Z40" s="2">
        <v>21842568.0217927</v>
      </c>
      <c r="AA40" s="2">
        <v>0</v>
      </c>
      <c r="AB40" s="2">
        <v>0</v>
      </c>
      <c r="AC40" s="2">
        <v>0</v>
      </c>
      <c r="AD40" s="2">
        <v>0</v>
      </c>
      <c r="AE40" s="2">
        <v>617395.6034021511</v>
      </c>
      <c r="AF40" s="2">
        <f>F40-H40-L40-U40-AA40-AC40-AD40</f>
        <v>-3629847.327651052</v>
      </c>
      <c r="AG40" s="2">
        <f>F40-H40-L40-U40-AA40-AB40-AD40-Y40</f>
        <v>-4017500.9992647213</v>
      </c>
      <c r="AH40" s="2">
        <f>AH39+AG40</f>
        <v>43334314.287353165</v>
      </c>
      <c r="AI40" s="2">
        <v>25866116.65734101</v>
      </c>
      <c r="AJ40" s="2">
        <f>AH40-AI40</f>
        <v>17468197.63001216</v>
      </c>
      <c r="AK40" s="3">
        <v>0.25</v>
      </c>
    </row>
    <row r="41" spans="1:37">
      <c r="A41" s="2">
        <v>40</v>
      </c>
      <c r="B41" s="2">
        <v>2030</v>
      </c>
      <c r="C41" s="2">
        <v>33</v>
      </c>
      <c r="D41" s="2">
        <v>382443.52273</v>
      </c>
      <c r="E41" s="2">
        <v>12620636.25009</v>
      </c>
      <c r="F41" s="2">
        <f>E41/1.19</f>
        <v>10605576.680747898</v>
      </c>
      <c r="G41" s="2">
        <v>40</v>
      </c>
      <c r="H41" s="2">
        <v>3288788.716221849</v>
      </c>
      <c r="I41" s="2">
        <v>88</v>
      </c>
      <c r="J41" s="2">
        <v>7203319.192719135</v>
      </c>
      <c r="K41" s="2">
        <v>2701244.697269676</v>
      </c>
      <c r="L41" s="2">
        <v>1063491.334286074</v>
      </c>
      <c r="M41" s="2">
        <v>5015616.93</v>
      </c>
      <c r="N41" s="3">
        <v>1</v>
      </c>
      <c r="O41" s="3">
        <v>1</v>
      </c>
      <c r="P41" s="2">
        <v>174836.32</v>
      </c>
      <c r="Q41" s="2">
        <v>314159.0125</v>
      </c>
      <c r="R41" s="2">
        <v>273181.75</v>
      </c>
      <c r="S41" s="2">
        <v>305963.56</v>
      </c>
      <c r="T41" s="2">
        <v>1775681.375</v>
      </c>
      <c r="U41" s="2">
        <f>M41+P41+Q41+R41+S41+T41</f>
        <v>7859438.9475</v>
      </c>
      <c r="V41" s="2">
        <f>F41-K41-L41-U41</f>
        <v>-1018598.2983078519</v>
      </c>
      <c r="W41" s="2">
        <v>207259.6051183361</v>
      </c>
      <c r="X41" s="2">
        <v>180394.0664953332</v>
      </c>
      <c r="Y41" s="2">
        <f>W41+X41</f>
        <v>387653.6716136693</v>
      </c>
      <c r="Z41" s="2">
        <v>21662173.95529737</v>
      </c>
      <c r="AA41" s="2">
        <v>0</v>
      </c>
      <c r="AB41" s="2">
        <v>0</v>
      </c>
      <c r="AC41" s="2">
        <v>0</v>
      </c>
      <c r="AD41" s="2">
        <v>0</v>
      </c>
      <c r="AE41" s="2">
        <v>617395.6034021511</v>
      </c>
      <c r="AF41" s="2">
        <f>F41-H41-L41-U41-AA41-AC41-AD41</f>
        <v>-1606142.3172600241</v>
      </c>
      <c r="AG41" s="2">
        <f>F41-H41-L41-U41-AA41-AB41-AD41-Y41</f>
        <v>-1993795.9888736934</v>
      </c>
      <c r="AH41" s="2">
        <f>AH40+AG41</f>
        <v>41340518.298479475</v>
      </c>
      <c r="AI41" s="2">
        <v>25866116.65734101</v>
      </c>
      <c r="AJ41" s="2">
        <f>AH41-AI41</f>
        <v>15474401.641138468</v>
      </c>
      <c r="AK41" s="3">
        <v>0.25</v>
      </c>
    </row>
    <row r="42" spans="1:37">
      <c r="A42" s="2">
        <v>41</v>
      </c>
      <c r="B42" s="2">
        <v>2030</v>
      </c>
      <c r="C42" s="2">
        <v>39</v>
      </c>
      <c r="D42" s="2">
        <v>382443.52273</v>
      </c>
      <c r="E42" s="2">
        <v>14915297.38647</v>
      </c>
      <c r="F42" s="2">
        <f>E42/1.19</f>
        <v>12533863.34997479</v>
      </c>
      <c r="G42" s="2">
        <v>50</v>
      </c>
      <c r="H42" s="2">
        <v>4110985.89527731</v>
      </c>
      <c r="I42" s="2">
        <v>99</v>
      </c>
      <c r="J42" s="2">
        <v>8116784.084867015</v>
      </c>
      <c r="K42" s="2">
        <v>3197521.00312943</v>
      </c>
      <c r="L42" s="2">
        <v>1257264.667573854</v>
      </c>
      <c r="M42" s="2">
        <v>5015616.93</v>
      </c>
      <c r="N42" s="3">
        <v>1</v>
      </c>
      <c r="O42" s="3">
        <v>1</v>
      </c>
      <c r="P42" s="2">
        <v>174836.32</v>
      </c>
      <c r="Q42" s="2">
        <v>314159.0125</v>
      </c>
      <c r="R42" s="2">
        <v>273181.75</v>
      </c>
      <c r="S42" s="2">
        <v>305963.56</v>
      </c>
      <c r="T42" s="2">
        <v>1775681.375</v>
      </c>
      <c r="U42" s="2">
        <f>M42+P42+Q42+R42+S42+T42</f>
        <v>7859438.9475</v>
      </c>
      <c r="V42" s="2">
        <f>F42-K42-L42-U42</f>
        <v>219638.73177150637</v>
      </c>
      <c r="W42" s="2">
        <v>205547.8831747345</v>
      </c>
      <c r="X42" s="2">
        <v>182105.7884389348</v>
      </c>
      <c r="Y42" s="2">
        <f>W42+X42</f>
        <v>387653.6716136693</v>
      </c>
      <c r="Z42" s="2">
        <v>21480068.16685843</v>
      </c>
      <c r="AA42" s="2">
        <v>0</v>
      </c>
      <c r="AB42" s="2">
        <v>0</v>
      </c>
      <c r="AC42" s="2">
        <v>0</v>
      </c>
      <c r="AD42" s="2">
        <v>154348.9008505378</v>
      </c>
      <c r="AE42" s="2">
        <v>771744.504252689</v>
      </c>
      <c r="AF42" s="2">
        <f>F42-H42-L42-U42-AA42-AC42-AD42</f>
        <v>-848175.0612269115</v>
      </c>
      <c r="AG42" s="2">
        <f>F42-H42-L42-U42-AA42-AB42-AD42-Y42</f>
        <v>-1235828.7328405809</v>
      </c>
      <c r="AH42" s="2">
        <f>AH41+AG42</f>
        <v>40104689.56563889</v>
      </c>
      <c r="AI42" s="2">
        <v>25866116.65734101</v>
      </c>
      <c r="AJ42" s="2">
        <f>AH42-AI42</f>
        <v>14238572.908297885</v>
      </c>
      <c r="AK42" s="3">
        <v>0.25</v>
      </c>
    </row>
    <row r="43" spans="1:37">
      <c r="A43" s="2">
        <v>42</v>
      </c>
      <c r="B43" s="2">
        <v>2030</v>
      </c>
      <c r="C43" s="2">
        <v>46</v>
      </c>
      <c r="D43" s="2">
        <v>382443.52273</v>
      </c>
      <c r="E43" s="2">
        <v>17592402.04558</v>
      </c>
      <c r="F43" s="2">
        <f>E43/1.19</f>
        <v>14783531.130739497</v>
      </c>
      <c r="G43" s="2">
        <v>70</v>
      </c>
      <c r="H43" s="2">
        <v>5755380.253388235</v>
      </c>
      <c r="I43" s="2">
        <v>123</v>
      </c>
      <c r="J43" s="2">
        <v>10096308.95624495</v>
      </c>
      <c r="K43" s="2">
        <v>3775855.382010305</v>
      </c>
      <c r="L43" s="2">
        <v>1483281.184839824</v>
      </c>
      <c r="M43" s="2">
        <v>5015616.93</v>
      </c>
      <c r="N43" s="3">
        <v>1</v>
      </c>
      <c r="O43" s="3">
        <v>1</v>
      </c>
      <c r="P43" s="2">
        <v>174836.32</v>
      </c>
      <c r="Q43" s="2">
        <v>314159.0125</v>
      </c>
      <c r="R43" s="2">
        <v>273181.75</v>
      </c>
      <c r="S43" s="2">
        <v>305963.56</v>
      </c>
      <c r="T43" s="2">
        <v>1775681.375</v>
      </c>
      <c r="U43" s="2">
        <f>M43+P43+Q43+R43+S43+T43</f>
        <v>7859438.9475</v>
      </c>
      <c r="V43" s="2">
        <f>F43-K43-L43-U43</f>
        <v>1664955.6163893677</v>
      </c>
      <c r="W43" s="2">
        <v>203819.9190560485</v>
      </c>
      <c r="X43" s="2">
        <v>183833.7525576208</v>
      </c>
      <c r="Y43" s="2">
        <f>W43+X43</f>
        <v>387653.6716136693</v>
      </c>
      <c r="Z43" s="2">
        <v>21296234.41430081</v>
      </c>
      <c r="AA43" s="2">
        <v>0</v>
      </c>
      <c r="AB43" s="2">
        <v>0</v>
      </c>
      <c r="AC43" s="2">
        <v>0</v>
      </c>
      <c r="AD43" s="2">
        <v>308697.8017010756</v>
      </c>
      <c r="AE43" s="2">
        <v>1080442.305953765</v>
      </c>
      <c r="AF43" s="2">
        <f>F43-H43-L43-U43-AA43-AC43-AD43</f>
        <v>-623267.056689638</v>
      </c>
      <c r="AG43" s="2">
        <f>F43-H43-L43-U43-AA43-AB43-AD43-Y43</f>
        <v>-1010920.7283033072</v>
      </c>
      <c r="AH43" s="2">
        <f>AH42+AG43</f>
        <v>39093768.83733559</v>
      </c>
      <c r="AI43" s="2">
        <v>25866116.65734101</v>
      </c>
      <c r="AJ43" s="2">
        <f>AH43-AI43</f>
        <v>13227652.17999458</v>
      </c>
      <c r="AK43" s="3">
        <v>0.25</v>
      </c>
    </row>
    <row r="44" spans="1:37">
      <c r="A44" s="2">
        <v>43</v>
      </c>
      <c r="B44" s="2">
        <v>2030</v>
      </c>
      <c r="C44" s="2">
        <v>52</v>
      </c>
      <c r="D44" s="2">
        <v>382443.52273</v>
      </c>
      <c r="E44" s="2">
        <v>19887063.18196</v>
      </c>
      <c r="F44" s="2">
        <f>E44/1.19</f>
        <v>16711817.79996639</v>
      </c>
      <c r="G44" s="2">
        <v>70</v>
      </c>
      <c r="H44" s="2">
        <v>5755380.253388235</v>
      </c>
      <c r="I44" s="2">
        <v>141</v>
      </c>
      <c r="J44" s="2">
        <v>11580767.76455067</v>
      </c>
      <c r="K44" s="2">
        <v>4270921.445082515</v>
      </c>
      <c r="L44" s="2">
        <v>1676957.698704601</v>
      </c>
      <c r="M44" s="2">
        <v>5015616.93</v>
      </c>
      <c r="N44" s="3">
        <v>1</v>
      </c>
      <c r="O44" s="3">
        <v>1</v>
      </c>
      <c r="P44" s="2">
        <v>174836.32</v>
      </c>
      <c r="Q44" s="2">
        <v>314159.0125</v>
      </c>
      <c r="R44" s="2">
        <v>273181.75</v>
      </c>
      <c r="S44" s="2">
        <v>305963.56</v>
      </c>
      <c r="T44" s="2">
        <v>1775681.375</v>
      </c>
      <c r="U44" s="2">
        <f>M44+P44+Q44+R44+S44+T44</f>
        <v>7859438.9475</v>
      </c>
      <c r="V44" s="2">
        <f>F44-K44-L44-U44</f>
        <v>2904499.7086792756</v>
      </c>
      <c r="W44" s="2">
        <v>202075.5586436419</v>
      </c>
      <c r="X44" s="2">
        <v>185578.1129700275</v>
      </c>
      <c r="Y44" s="2">
        <f>W44+X44</f>
        <v>387653.6716136693</v>
      </c>
      <c r="Z44" s="2">
        <v>21110656.30133078</v>
      </c>
      <c r="AA44" s="2">
        <v>0</v>
      </c>
      <c r="AB44" s="2">
        <v>0</v>
      </c>
      <c r="AC44" s="2">
        <v>0</v>
      </c>
      <c r="AD44" s="2">
        <v>0</v>
      </c>
      <c r="AE44" s="2">
        <v>1080442.305953765</v>
      </c>
      <c r="AF44" s="2">
        <f>F44-H44-L44-U44-AA44-AC44-AD44</f>
        <v>1420040.9003735539</v>
      </c>
      <c r="AG44" s="2">
        <f>F44-H44-L44-U44-AA44-AB44-AD44-Y44</f>
        <v>1032387.2287598846</v>
      </c>
      <c r="AH44" s="2">
        <f>AH43+AG44</f>
        <v>40126156.06609547</v>
      </c>
      <c r="AI44" s="2">
        <v>25866116.65734101</v>
      </c>
      <c r="AJ44" s="2">
        <f>AH44-AI44</f>
        <v>14260039.408754464</v>
      </c>
      <c r="AK44" s="3">
        <v>0.25</v>
      </c>
    </row>
    <row r="45" spans="1:37">
      <c r="A45" s="2">
        <v>44</v>
      </c>
      <c r="B45" s="2">
        <v>2030</v>
      </c>
      <c r="C45" s="2">
        <v>65</v>
      </c>
      <c r="D45" s="2">
        <v>382443.52273</v>
      </c>
      <c r="E45" s="2">
        <v>24858828.97745</v>
      </c>
      <c r="F45" s="2">
        <f>E45/1.19</f>
        <v>20889772.249957982</v>
      </c>
      <c r="G45" s="2">
        <v>80</v>
      </c>
      <c r="H45" s="2">
        <v>6577577.432443697</v>
      </c>
      <c r="I45" s="2">
        <v>156</v>
      </c>
      <c r="J45" s="2">
        <v>12817655.43317249</v>
      </c>
      <c r="K45" s="2">
        <v>5340689.763821872</v>
      </c>
      <c r="L45" s="2">
        <v>2096360.15997825</v>
      </c>
      <c r="M45" s="2">
        <v>5015616.93</v>
      </c>
      <c r="N45" s="3">
        <v>1</v>
      </c>
      <c r="O45" s="3">
        <v>1</v>
      </c>
      <c r="P45" s="2">
        <v>174836.32</v>
      </c>
      <c r="Q45" s="2">
        <v>314159.0125</v>
      </c>
      <c r="R45" s="2">
        <v>273181.75</v>
      </c>
      <c r="S45" s="2">
        <v>305963.56</v>
      </c>
      <c r="T45" s="2">
        <v>1775681.375</v>
      </c>
      <c r="U45" s="2">
        <f>M45+P45+Q45+R45+S45+T45</f>
        <v>7859438.9475</v>
      </c>
      <c r="V45" s="2">
        <f>F45-K45-L45-U45</f>
        <v>5593283.378657861</v>
      </c>
      <c r="W45" s="2">
        <v>200314.6463564786</v>
      </c>
      <c r="X45" s="2">
        <v>187339.0252571907</v>
      </c>
      <c r="Y45" s="2">
        <f>W45+X45</f>
        <v>387653.6716136693</v>
      </c>
      <c r="Z45" s="2">
        <v>20923317.27607359</v>
      </c>
      <c r="AA45" s="2">
        <v>0</v>
      </c>
      <c r="AB45" s="2">
        <v>0</v>
      </c>
      <c r="AC45" s="2">
        <v>0</v>
      </c>
      <c r="AD45" s="2">
        <v>154348.9008505377</v>
      </c>
      <c r="AE45" s="2">
        <v>1234791.206804302</v>
      </c>
      <c r="AF45" s="2">
        <f>F45-H45-L45-U45-AA45-AC45-AD45</f>
        <v>4202046.809185497</v>
      </c>
      <c r="AG45" s="2">
        <f>F45-H45-L45-U45-AA45-AB45-AD45-Y45</f>
        <v>3814393.137571828</v>
      </c>
      <c r="AH45" s="2">
        <f>AH44+AG45</f>
        <v>43940549.2036673</v>
      </c>
      <c r="AI45" s="2">
        <v>25866116.65734101</v>
      </c>
      <c r="AJ45" s="2">
        <f>AH45-AI45</f>
        <v>18074432.54632629</v>
      </c>
      <c r="AK45" s="3">
        <v>0.25</v>
      </c>
    </row>
    <row r="46" spans="1:37">
      <c r="A46" s="2">
        <v>45</v>
      </c>
      <c r="B46" s="2">
        <v>2030</v>
      </c>
      <c r="C46" s="2">
        <v>71</v>
      </c>
      <c r="D46" s="2">
        <v>382443.52273</v>
      </c>
      <c r="E46" s="2">
        <v>27153490.11383</v>
      </c>
      <c r="F46" s="2">
        <f>E46/1.19</f>
        <v>22818058.919184875</v>
      </c>
      <c r="G46" s="2">
        <v>90</v>
      </c>
      <c r="H46" s="2">
        <v>7399774.611499159</v>
      </c>
      <c r="I46" s="2">
        <v>175</v>
      </c>
      <c r="J46" s="2">
        <v>14382318.12120951</v>
      </c>
      <c r="K46" s="2">
        <v>5835111.923462143</v>
      </c>
      <c r="L46" s="2">
        <v>2289985.161568472</v>
      </c>
      <c r="M46" s="2">
        <v>5015616.93</v>
      </c>
      <c r="N46" s="3">
        <v>1</v>
      </c>
      <c r="O46" s="3">
        <v>1</v>
      </c>
      <c r="P46" s="2">
        <v>174836.32</v>
      </c>
      <c r="Q46" s="2">
        <v>314159.0125</v>
      </c>
      <c r="R46" s="2">
        <v>273181.75</v>
      </c>
      <c r="S46" s="2">
        <v>305963.56</v>
      </c>
      <c r="T46" s="2">
        <v>1775681.375</v>
      </c>
      <c r="U46" s="2">
        <f>M46+P46+Q46+R46+S46+T46</f>
        <v>7859438.9475</v>
      </c>
      <c r="V46" s="2">
        <f>F46-K46-L46-U46</f>
        <v>6833522.8866542615</v>
      </c>
      <c r="W46" s="2">
        <v>198537.0251372465</v>
      </c>
      <c r="X46" s="2">
        <v>189116.6464764228</v>
      </c>
      <c r="Y46" s="2">
        <f>W46+X46</f>
        <v>387653.6716136693</v>
      </c>
      <c r="Z46" s="2">
        <v>20734200.62959717</v>
      </c>
      <c r="AA46" s="2">
        <v>0</v>
      </c>
      <c r="AB46" s="2">
        <v>0</v>
      </c>
      <c r="AC46" s="2">
        <v>0</v>
      </c>
      <c r="AD46" s="2">
        <v>154348.9008505379</v>
      </c>
      <c r="AE46" s="2">
        <v>1389140.10765484</v>
      </c>
      <c r="AF46" s="2">
        <f>F46-H46-L46-U46-AA46-AC46-AD46</f>
        <v>5114511.297766706</v>
      </c>
      <c r="AG46" s="2">
        <f>F46-H46-L46-U46-AA46-AB46-AD46-Y46</f>
        <v>4726857.626153037</v>
      </c>
      <c r="AH46" s="2">
        <f>AH45+AG46</f>
        <v>48667406.829820335</v>
      </c>
      <c r="AI46" s="2">
        <v>25866116.65734101</v>
      </c>
      <c r="AJ46" s="2">
        <f>AH46-AI46</f>
        <v>22801290.172479328</v>
      </c>
      <c r="AK46" s="3">
        <v>0.25</v>
      </c>
    </row>
    <row r="47" spans="1:37">
      <c r="A47" s="2">
        <v>46</v>
      </c>
      <c r="B47" s="2">
        <v>2030</v>
      </c>
      <c r="C47" s="2">
        <v>84</v>
      </c>
      <c r="D47" s="2">
        <v>382443.52273</v>
      </c>
      <c r="E47" s="2">
        <v>32125255.90932</v>
      </c>
      <c r="F47" s="2">
        <f>E47/1.19</f>
        <v>26996013.369176473</v>
      </c>
      <c r="G47" s="2">
        <v>110</v>
      </c>
      <c r="H47" s="2">
        <v>9044168.969610084</v>
      </c>
      <c r="I47" s="2">
        <v>201</v>
      </c>
      <c r="J47" s="2">
        <v>16521838.26405171</v>
      </c>
      <c r="K47" s="2">
        <v>6904648.82676788</v>
      </c>
      <c r="L47" s="2">
        <v>2709369.109607431</v>
      </c>
      <c r="M47" s="2">
        <v>5015616.93</v>
      </c>
      <c r="N47" s="3">
        <v>1</v>
      </c>
      <c r="O47" s="3">
        <v>1</v>
      </c>
      <c r="P47" s="2">
        <v>174836.32</v>
      </c>
      <c r="Q47" s="2">
        <v>314159.0125</v>
      </c>
      <c r="R47" s="2">
        <v>273181.75</v>
      </c>
      <c r="S47" s="2">
        <v>305963.56</v>
      </c>
      <c r="T47" s="2">
        <v>1775681.375</v>
      </c>
      <c r="U47" s="2">
        <f>M47+P47+Q47+R47+S47+T47</f>
        <v>7859438.9475</v>
      </c>
      <c r="V47" s="2">
        <f>F47-K47-L47-U47</f>
        <v>9522556.485301161</v>
      </c>
      <c r="W47" s="2">
        <v>196742.5364383489</v>
      </c>
      <c r="X47" s="2">
        <v>190911.1351753204</v>
      </c>
      <c r="Y47" s="2">
        <f>W47+X47</f>
        <v>387653.6716136693</v>
      </c>
      <c r="Z47" s="2">
        <v>20543289.49442185</v>
      </c>
      <c r="AA47" s="2">
        <v>0</v>
      </c>
      <c r="AB47" s="2">
        <v>0</v>
      </c>
      <c r="AC47" s="2">
        <v>0</v>
      </c>
      <c r="AD47" s="2">
        <v>308697.8017010756</v>
      </c>
      <c r="AE47" s="2">
        <v>1697837.909355916</v>
      </c>
      <c r="AF47" s="2">
        <f>F47-H47-L47-U47-AA47-AC47-AD47</f>
        <v>7074338.540757884</v>
      </c>
      <c r="AG47" s="2">
        <f>F47-H47-L47-U47-AA47-AB47-AD47-Y47</f>
        <v>6686684.869144215</v>
      </c>
      <c r="AH47" s="2">
        <f>AH46+AG47</f>
        <v>55354091.69896455</v>
      </c>
      <c r="AI47" s="2">
        <v>25866116.65734101</v>
      </c>
      <c r="AJ47" s="2">
        <f>AH47-AI47</f>
        <v>29487975.041623544</v>
      </c>
      <c r="AK47" s="3">
        <v>0.25</v>
      </c>
    </row>
    <row r="48" spans="1:37">
      <c r="A48" s="2">
        <v>47</v>
      </c>
      <c r="B48" s="2">
        <v>2030</v>
      </c>
      <c r="C48" s="2">
        <v>91</v>
      </c>
      <c r="D48" s="2">
        <v>382443.52273</v>
      </c>
      <c r="E48" s="2">
        <v>34802360.56843</v>
      </c>
      <c r="F48" s="2">
        <f>E48/1.19</f>
        <v>29245681.149941176</v>
      </c>
      <c r="G48" s="2">
        <v>20</v>
      </c>
      <c r="H48" s="2">
        <v>1644394.358110924</v>
      </c>
      <c r="I48" s="2">
        <v>130</v>
      </c>
      <c r="J48" s="2">
        <v>10686019.18950743</v>
      </c>
      <c r="K48" s="2">
        <v>7480213.432655204</v>
      </c>
      <c r="L48" s="2">
        <v>2935164.045033916</v>
      </c>
      <c r="M48" s="2">
        <v>5015616.93</v>
      </c>
      <c r="N48" s="3">
        <v>1</v>
      </c>
      <c r="O48" s="3">
        <v>1</v>
      </c>
      <c r="P48" s="2">
        <v>174836.32</v>
      </c>
      <c r="Q48" s="2">
        <v>314159.0125</v>
      </c>
      <c r="R48" s="2">
        <v>273181.75</v>
      </c>
      <c r="S48" s="2">
        <v>305963.56</v>
      </c>
      <c r="T48" s="2">
        <v>1775681.375</v>
      </c>
      <c r="U48" s="2">
        <f>M48+P48+Q48+R48+S48+T48</f>
        <v>7859438.9475</v>
      </c>
      <c r="V48" s="2">
        <f>F48-K48-L48-U48</f>
        <v>10970864.724752055</v>
      </c>
      <c r="W48" s="2">
        <v>194931.0202077641</v>
      </c>
      <c r="X48" s="2">
        <v>192722.6514059052</v>
      </c>
      <c r="Y48" s="2">
        <f>W48+X48</f>
        <v>387653.6716136693</v>
      </c>
      <c r="Z48" s="2">
        <v>20350566.84301594</v>
      </c>
      <c r="AA48" s="2">
        <v>0</v>
      </c>
      <c r="AB48" s="2">
        <v>0</v>
      </c>
      <c r="AC48" s="2">
        <v>0</v>
      </c>
      <c r="AD48" s="2">
        <v>-1389140.10765484</v>
      </c>
      <c r="AE48" s="2">
        <v>308697.8017010756</v>
      </c>
      <c r="AF48" s="2">
        <f>F48-H48-L48-U48-AA48-AC48-AD48</f>
        <v>18195823.906951174</v>
      </c>
      <c r="AG48" s="2">
        <f>F48-H48-L48-U48-AA48-AB48-AD48-Y48</f>
        <v>17808170.235337503</v>
      </c>
      <c r="AH48" s="2">
        <f>AH47+AG48</f>
        <v>73162261.93430206</v>
      </c>
      <c r="AI48" s="2">
        <v>25866116.65734101</v>
      </c>
      <c r="AJ48" s="2">
        <f>AH48-AI48</f>
        <v>47296145.27696106</v>
      </c>
      <c r="AK48" s="3">
        <v>0.25</v>
      </c>
    </row>
    <row r="49" spans="1:37">
      <c r="A49" s="2">
        <v>48</v>
      </c>
      <c r="B49" s="2">
        <v>2030</v>
      </c>
      <c r="C49" s="2">
        <v>110</v>
      </c>
      <c r="D49" s="2">
        <v>382443.52273</v>
      </c>
      <c r="E49" s="2">
        <v>42068787.5003</v>
      </c>
      <c r="F49" s="2">
        <f>E49/1.19</f>
        <v>35351922.26915966</v>
      </c>
      <c r="G49" s="2">
        <v>30</v>
      </c>
      <c r="H49" s="2">
        <v>2466591.537166386</v>
      </c>
      <c r="I49" s="2">
        <v>50</v>
      </c>
      <c r="J49" s="2">
        <v>4110190.852085568</v>
      </c>
      <c r="K49" s="2">
        <v>9042419.874588251</v>
      </c>
      <c r="L49" s="2">
        <v>3548032.78498206</v>
      </c>
      <c r="M49" s="2">
        <v>5015616.93</v>
      </c>
      <c r="N49" s="3">
        <v>1</v>
      </c>
      <c r="O49" s="3">
        <v>1</v>
      </c>
      <c r="P49" s="2">
        <v>174836.32</v>
      </c>
      <c r="Q49" s="2">
        <v>314159.0125</v>
      </c>
      <c r="R49" s="2">
        <v>273181.75</v>
      </c>
      <c r="S49" s="2">
        <v>305963.56</v>
      </c>
      <c r="T49" s="2">
        <v>1775681.375</v>
      </c>
      <c r="U49" s="2">
        <f>M49+P49+Q49+R49+S49+T49</f>
        <v>7859438.9475</v>
      </c>
      <c r="V49" s="2">
        <f>F49-K49-L49-U49</f>
        <v>14902030.66208935</v>
      </c>
      <c r="W49" s="2">
        <v>193102.3148747697</v>
      </c>
      <c r="X49" s="2">
        <v>194551.3567388996</v>
      </c>
      <c r="Y49" s="2">
        <f>W49+X49</f>
        <v>387653.6716136693</v>
      </c>
      <c r="Z49" s="2">
        <v>20156015.48627704</v>
      </c>
      <c r="AA49" s="2">
        <v>0</v>
      </c>
      <c r="AB49" s="2">
        <v>8821826.094867751</v>
      </c>
      <c r="AC49" s="2">
        <v>9430380.973799285</v>
      </c>
      <c r="AD49" s="2">
        <v>154348.9008505379</v>
      </c>
      <c r="AE49" s="2">
        <v>463046.7025516134</v>
      </c>
      <c r="AF49" s="2">
        <f>F49-H49-L49-U49-AA49-AC49-AD49</f>
        <v>11893129.12486139</v>
      </c>
      <c r="AG49" s="2">
        <f>F49-H49-L49-U49-AA49-AB49-AD49-Y49</f>
        <v>12114030.332179254</v>
      </c>
      <c r="AH49" s="2">
        <f>AH48+AG49</f>
        <v>85276292.26648131</v>
      </c>
      <c r="AI49" s="2">
        <v>25866116.65734101</v>
      </c>
      <c r="AJ49" s="2">
        <f>AH49-AI49</f>
        <v>59410175.60914031</v>
      </c>
      <c r="AK49" s="3">
        <v>0.25</v>
      </c>
    </row>
    <row r="50" spans="1:37">
      <c r="A50" s="2">
        <v>49</v>
      </c>
      <c r="B50" s="2">
        <v>2031</v>
      </c>
      <c r="C50" s="2">
        <v>17</v>
      </c>
      <c r="D50" s="2">
        <v>393916.8284119</v>
      </c>
      <c r="E50" s="2">
        <v>6696586.083002301</v>
      </c>
      <c r="F50" s="2">
        <f>E50/1.19</f>
        <v>5627383.263027144</v>
      </c>
      <c r="G50" s="2">
        <v>30</v>
      </c>
      <c r="H50" s="2">
        <v>2540589.283281378</v>
      </c>
      <c r="I50" s="2">
        <v>63</v>
      </c>
      <c r="J50" s="2">
        <v>5237489.35660147</v>
      </c>
      <c r="K50" s="2">
        <v>1413290.778765476</v>
      </c>
      <c r="L50" s="2">
        <v>562694.4650713531</v>
      </c>
      <c r="M50" s="2">
        <v>6837466.020750001</v>
      </c>
      <c r="N50" s="3">
        <v>1.5</v>
      </c>
      <c r="O50" s="3">
        <v>1.5</v>
      </c>
      <c r="P50" s="2">
        <v>202591.5858</v>
      </c>
      <c r="Q50" s="2">
        <v>407996.9436250001</v>
      </c>
      <c r="R50" s="2">
        <v>281377.2025</v>
      </c>
      <c r="S50" s="2">
        <v>315142.4668000001</v>
      </c>
      <c r="T50" s="2">
        <v>2391706.22125</v>
      </c>
      <c r="U50" s="2">
        <f>M50+P50+Q50+R50+S50+T50</f>
        <v>10436280.440725002</v>
      </c>
      <c r="V50" s="2">
        <f>F50-K50-L50-U50</f>
        <v>-6784882.421534688</v>
      </c>
      <c r="W50" s="2">
        <v>191256.2573355321</v>
      </c>
      <c r="X50" s="2">
        <v>196397.4142781372</v>
      </c>
      <c r="Y50" s="2">
        <f>W50+X50</f>
        <v>387653.6716136693</v>
      </c>
      <c r="Z50" s="2">
        <v>19959618.07199891</v>
      </c>
      <c r="AA50" s="2">
        <v>0</v>
      </c>
      <c r="AB50" s="2">
        <v>0</v>
      </c>
      <c r="AC50" s="2">
        <v>0</v>
      </c>
      <c r="AD50" s="2">
        <v>13891.40107654844</v>
      </c>
      <c r="AE50" s="2">
        <v>476938.1036281619</v>
      </c>
      <c r="AF50" s="2">
        <f>F50-H50-L50-U50-AA50-AC50-AD50</f>
        <v>-7926072.327127139</v>
      </c>
      <c r="AG50" s="2">
        <f>F50-H50-L50-U50-AA50-AB50-AD50-Y50</f>
        <v>-8313725.998740808</v>
      </c>
      <c r="AH50" s="2">
        <f>AH49+AG50</f>
        <v>76962566.2677405</v>
      </c>
      <c r="AI50" s="2">
        <v>33596641.13701601</v>
      </c>
      <c r="AJ50" s="2">
        <f>AH50-AI50</f>
        <v>43365925.13072449</v>
      </c>
      <c r="AK50" s="3">
        <v>0.25</v>
      </c>
    </row>
    <row r="51" spans="1:37">
      <c r="A51" s="2">
        <v>50</v>
      </c>
      <c r="B51" s="2">
        <v>2031</v>
      </c>
      <c r="C51" s="2">
        <v>26</v>
      </c>
      <c r="D51" s="2">
        <v>393916.8284119</v>
      </c>
      <c r="E51" s="2">
        <v>10241837.5387094</v>
      </c>
      <c r="F51" s="2">
        <f>E51/1.19</f>
        <v>8606586.166982692</v>
      </c>
      <c r="G51" s="2">
        <v>40</v>
      </c>
      <c r="H51" s="2">
        <v>3387452.377708504</v>
      </c>
      <c r="I51" s="2">
        <v>77</v>
      </c>
      <c r="J51" s="2">
        <v>6447771.976134641</v>
      </c>
      <c r="K51" s="2">
        <v>2177169.758175333</v>
      </c>
      <c r="L51" s="2">
        <v>861844.8319494969</v>
      </c>
      <c r="M51" s="2">
        <v>6837466.020750001</v>
      </c>
      <c r="N51" s="3">
        <v>1.5</v>
      </c>
      <c r="O51" s="3">
        <v>1.5</v>
      </c>
      <c r="P51" s="2">
        <v>202591.5858</v>
      </c>
      <c r="Q51" s="2">
        <v>407996.9436250001</v>
      </c>
      <c r="R51" s="2">
        <v>281377.2025</v>
      </c>
      <c r="S51" s="2">
        <v>315142.4668000001</v>
      </c>
      <c r="T51" s="2">
        <v>2391706.22125</v>
      </c>
      <c r="U51" s="2">
        <f>M51+P51+Q51+R51+S51+T51</f>
        <v>10436280.440725002</v>
      </c>
      <c r="V51" s="2">
        <f>F51-K51-L51-U51</f>
        <v>-4868708.863867141</v>
      </c>
      <c r="W51" s="2">
        <v>189392.6829385593</v>
      </c>
      <c r="X51" s="2">
        <v>198260.98867511</v>
      </c>
      <c r="Y51" s="2">
        <f>W51+X51</f>
        <v>387653.6716136693</v>
      </c>
      <c r="Z51" s="2">
        <v>19761357.0833238</v>
      </c>
      <c r="AA51" s="2">
        <v>0</v>
      </c>
      <c r="AB51" s="2">
        <v>0</v>
      </c>
      <c r="AC51" s="2">
        <v>0</v>
      </c>
      <c r="AD51" s="2">
        <v>158979.367876054</v>
      </c>
      <c r="AE51" s="2">
        <v>635917.4715042158</v>
      </c>
      <c r="AF51" s="2">
        <f>F51-H51-L51-U51-AA51-AC51-AD51</f>
        <v>-6237970.851276365</v>
      </c>
      <c r="AG51" s="2">
        <f>F51-H51-L51-U51-AA51-AB51-AD51-Y51</f>
        <v>-6625624.522890034</v>
      </c>
      <c r="AH51" s="2">
        <f>AH50+AG51</f>
        <v>70336941.74485047</v>
      </c>
      <c r="AI51" s="2">
        <v>33596641.13701601</v>
      </c>
      <c r="AJ51" s="2">
        <f>AH51-AI51</f>
        <v>36740300.60783446</v>
      </c>
      <c r="AK51" s="3">
        <v>0.25</v>
      </c>
    </row>
    <row r="52" spans="1:37">
      <c r="A52" s="2">
        <v>51</v>
      </c>
      <c r="B52" s="2">
        <v>2031</v>
      </c>
      <c r="C52" s="2">
        <v>34</v>
      </c>
      <c r="D52" s="2">
        <v>393916.8284119</v>
      </c>
      <c r="E52" s="2">
        <v>13393172.1660046</v>
      </c>
      <c r="F52" s="2">
        <f>E52/1.19</f>
        <v>11254766.526054287</v>
      </c>
      <c r="G52" s="2">
        <v>60</v>
      </c>
      <c r="H52" s="2">
        <v>5081178.566562757</v>
      </c>
      <c r="I52" s="2">
        <v>103</v>
      </c>
      <c r="J52" s="2">
        <v>8667751.137940381</v>
      </c>
      <c r="K52" s="2">
        <v>2861199.404757018</v>
      </c>
      <c r="L52" s="2">
        <v>1128158.357920791</v>
      </c>
      <c r="M52" s="2">
        <v>6837466.020750001</v>
      </c>
      <c r="N52" s="3">
        <v>1.5</v>
      </c>
      <c r="O52" s="3">
        <v>1.5</v>
      </c>
      <c r="P52" s="2">
        <v>202591.5858</v>
      </c>
      <c r="Q52" s="2">
        <v>407996.9436250001</v>
      </c>
      <c r="R52" s="2">
        <v>281377.2025</v>
      </c>
      <c r="S52" s="2">
        <v>315142.4668000001</v>
      </c>
      <c r="T52" s="2">
        <v>2391706.22125</v>
      </c>
      <c r="U52" s="2">
        <f>M52+P52+Q52+R52+S52+T52</f>
        <v>10436280.440725002</v>
      </c>
      <c r="V52" s="2">
        <f>F52-K52-L52-U52</f>
        <v>-3170871.6773485243</v>
      </c>
      <c r="W52" s="2">
        <v>187511.4254700154</v>
      </c>
      <c r="X52" s="2">
        <v>200142.2461436539</v>
      </c>
      <c r="Y52" s="2">
        <f>W52+X52</f>
        <v>387653.6716136693</v>
      </c>
      <c r="Z52" s="2">
        <v>19561214.83718014</v>
      </c>
      <c r="AA52" s="2">
        <v>0</v>
      </c>
      <c r="AB52" s="2">
        <v>0</v>
      </c>
      <c r="AC52" s="2">
        <v>0</v>
      </c>
      <c r="AD52" s="2">
        <v>317958.7357521079</v>
      </c>
      <c r="AE52" s="2">
        <v>953876.2072563238</v>
      </c>
      <c r="AF52" s="2">
        <f>F52-H52-L52-U52-AA52-AC52-AD52</f>
        <v>-5708809.5749063715</v>
      </c>
      <c r="AG52" s="2">
        <f>F52-H52-L52-U52-AA52-AB52-AD52-Y52</f>
        <v>-6096463.246520041</v>
      </c>
      <c r="AH52" s="2">
        <f>AH51+AG52</f>
        <v>64240478.49833043</v>
      </c>
      <c r="AI52" s="2">
        <v>33596641.13701601</v>
      </c>
      <c r="AJ52" s="2">
        <f>AH52-AI52</f>
        <v>30643837.361314416</v>
      </c>
      <c r="AK52" s="3">
        <v>0.25</v>
      </c>
    </row>
    <row r="53" spans="1:37">
      <c r="A53" s="2">
        <v>52</v>
      </c>
      <c r="B53" s="2">
        <v>2031</v>
      </c>
      <c r="C53" s="2">
        <v>43</v>
      </c>
      <c r="D53" s="2">
        <v>393916.8284119</v>
      </c>
      <c r="E53" s="2">
        <v>16938423.6217117</v>
      </c>
      <c r="F53" s="2">
        <f>E53/1.19</f>
        <v>14233969.430009834</v>
      </c>
      <c r="G53" s="2">
        <v>60</v>
      </c>
      <c r="H53" s="2">
        <v>5081178.566562757</v>
      </c>
      <c r="I53" s="2">
        <v>120</v>
      </c>
      <c r="J53" s="2">
        <v>10121911.43889802</v>
      </c>
      <c r="K53" s="2">
        <v>3627018.265605122</v>
      </c>
      <c r="L53" s="2">
        <v>1427463.915313995</v>
      </c>
      <c r="M53" s="2">
        <v>6837466.020750001</v>
      </c>
      <c r="N53" s="3">
        <v>1.5</v>
      </c>
      <c r="O53" s="3">
        <v>1.5</v>
      </c>
      <c r="P53" s="2">
        <v>202591.5858</v>
      </c>
      <c r="Q53" s="2">
        <v>407996.9436250001</v>
      </c>
      <c r="R53" s="2">
        <v>281377.2025</v>
      </c>
      <c r="S53" s="2">
        <v>315142.4668000001</v>
      </c>
      <c r="T53" s="2">
        <v>2391706.22125</v>
      </c>
      <c r="U53" s="2">
        <f>M53+P53+Q53+R53+S53+T53</f>
        <v>10436280.440725002</v>
      </c>
      <c r="V53" s="2">
        <f>F53-K53-L53-U53</f>
        <v>-1256793.1916342843</v>
      </c>
      <c r="W53" s="2">
        <v>185612.317138896</v>
      </c>
      <c r="X53" s="2">
        <v>202041.3544747733</v>
      </c>
      <c r="Y53" s="2">
        <f>W53+X53</f>
        <v>387653.6716136693</v>
      </c>
      <c r="Z53" s="2">
        <v>19359173.48270537</v>
      </c>
      <c r="AA53" s="2">
        <v>0</v>
      </c>
      <c r="AB53" s="2">
        <v>0</v>
      </c>
      <c r="AC53" s="2">
        <v>0</v>
      </c>
      <c r="AD53" s="2">
        <v>0</v>
      </c>
      <c r="AE53" s="2">
        <v>953876.2072563238</v>
      </c>
      <c r="AF53" s="2">
        <f>F53-H53-L53-U53-AA53-AC53-AD53</f>
        <v>-2710953.4925919194</v>
      </c>
      <c r="AG53" s="2">
        <f>F53-H53-L53-U53-AA53-AB53-AD53-Y53</f>
        <v>-3098607.164205589</v>
      </c>
      <c r="AH53" s="2">
        <f>AH52+AG53</f>
        <v>61141871.33412484</v>
      </c>
      <c r="AI53" s="2">
        <v>33596641.13701601</v>
      </c>
      <c r="AJ53" s="2">
        <f>AH53-AI53</f>
        <v>27545230.197108828</v>
      </c>
      <c r="AK53" s="3">
        <v>0.25</v>
      </c>
    </row>
    <row r="54" spans="1:37">
      <c r="A54" s="2">
        <v>53</v>
      </c>
      <c r="B54" s="2">
        <v>2031</v>
      </c>
      <c r="C54" s="2">
        <v>51</v>
      </c>
      <c r="D54" s="2">
        <v>393916.8284119</v>
      </c>
      <c r="E54" s="2">
        <v>20089758.2490069</v>
      </c>
      <c r="F54" s="2">
        <f>E54/1.19</f>
        <v>16882149.789081432</v>
      </c>
      <c r="G54" s="2">
        <v>60</v>
      </c>
      <c r="H54" s="2">
        <v>5081178.566562757</v>
      </c>
      <c r="I54" s="2">
        <v>129</v>
      </c>
      <c r="J54" s="2">
        <v>10895547.83724689</v>
      </c>
      <c r="K54" s="2">
        <v>4307542.168213885</v>
      </c>
      <c r="L54" s="2">
        <v>1693496.981767456</v>
      </c>
      <c r="M54" s="2">
        <v>6837466.020750001</v>
      </c>
      <c r="N54" s="3">
        <v>1.5</v>
      </c>
      <c r="O54" s="3">
        <v>1.5</v>
      </c>
      <c r="P54" s="2">
        <v>202591.5858</v>
      </c>
      <c r="Q54" s="2">
        <v>407996.9436250001</v>
      </c>
      <c r="R54" s="2">
        <v>281377.2025</v>
      </c>
      <c r="S54" s="2">
        <v>315142.4668000001</v>
      </c>
      <c r="T54" s="2">
        <v>2391706.22125</v>
      </c>
      <c r="U54" s="2">
        <f>M54+P54+Q54+R54+S54+T54</f>
        <v>10436280.440725002</v>
      </c>
      <c r="V54" s="2">
        <f>F54-K54-L54-U54</f>
        <v>444830.19837508723</v>
      </c>
      <c r="W54" s="2">
        <v>183695.1885620622</v>
      </c>
      <c r="X54" s="2">
        <v>203958.4830516072</v>
      </c>
      <c r="Y54" s="2">
        <f>W54+X54</f>
        <v>387653.6716136693</v>
      </c>
      <c r="Z54" s="2">
        <v>19155214.99965376</v>
      </c>
      <c r="AA54" s="2">
        <v>0</v>
      </c>
      <c r="AB54" s="2">
        <v>0</v>
      </c>
      <c r="AC54" s="2">
        <v>0</v>
      </c>
      <c r="AD54" s="2">
        <v>0</v>
      </c>
      <c r="AE54" s="2">
        <v>953876.2072563238</v>
      </c>
      <c r="AF54" s="2">
        <f>F54-H54-L54-U54-AA54-AC54-AD54</f>
        <v>-328806.1999737844</v>
      </c>
      <c r="AG54" s="2">
        <f>F54-H54-L54-U54-AA54-AB54-AD54-Y54</f>
        <v>-716459.8715874536</v>
      </c>
      <c r="AH54" s="2">
        <f>AH53+AG54</f>
        <v>60425411.462537386</v>
      </c>
      <c r="AI54" s="2">
        <v>33596641.13701601</v>
      </c>
      <c r="AJ54" s="2">
        <f>AH54-AI54</f>
        <v>26828770.325521372</v>
      </c>
      <c r="AK54" s="3">
        <v>0.25</v>
      </c>
    </row>
    <row r="55" spans="1:37">
      <c r="A55" s="2">
        <v>54</v>
      </c>
      <c r="B55" s="2">
        <v>2031</v>
      </c>
      <c r="C55" s="2">
        <v>60</v>
      </c>
      <c r="D55" s="2">
        <v>393916.8284119</v>
      </c>
      <c r="E55" s="2">
        <v>23635009.704714</v>
      </c>
      <c r="F55" s="2">
        <f>E55/1.19</f>
        <v>19861352.693036977</v>
      </c>
      <c r="G55" s="2">
        <v>90</v>
      </c>
      <c r="H55" s="2">
        <v>7621767.849844134</v>
      </c>
      <c r="I55" s="2">
        <v>159</v>
      </c>
      <c r="J55" s="2">
        <v>13444078.51254554</v>
      </c>
      <c r="K55" s="2">
        <v>5073237.174545486</v>
      </c>
      <c r="L55" s="2">
        <v>1992792.630799339</v>
      </c>
      <c r="M55" s="2">
        <v>6837466.020750001</v>
      </c>
      <c r="N55" s="3">
        <v>1.5</v>
      </c>
      <c r="O55" s="3">
        <v>1.5</v>
      </c>
      <c r="P55" s="2">
        <v>202591.5858</v>
      </c>
      <c r="Q55" s="2">
        <v>407996.9436250001</v>
      </c>
      <c r="R55" s="2">
        <v>281377.2025</v>
      </c>
      <c r="S55" s="2">
        <v>315142.4668000001</v>
      </c>
      <c r="T55" s="2">
        <v>2391706.22125</v>
      </c>
      <c r="U55" s="2">
        <f>M55+P55+Q55+R55+S55+T55</f>
        <v>10436280.440725002</v>
      </c>
      <c r="V55" s="2">
        <f>F55-K55-L55-U55</f>
        <v>2359042.446967151</v>
      </c>
      <c r="W55" s="2">
        <v>181759.8687491338</v>
      </c>
      <c r="X55" s="2">
        <v>205893.8028645355</v>
      </c>
      <c r="Y55" s="2">
        <f>W55+X55</f>
        <v>387653.6716136693</v>
      </c>
      <c r="Z55" s="2">
        <v>18949321.19678923</v>
      </c>
      <c r="AA55" s="2">
        <v>0</v>
      </c>
      <c r="AB55" s="2">
        <v>0</v>
      </c>
      <c r="AC55" s="2">
        <v>0</v>
      </c>
      <c r="AD55" s="2">
        <v>476938.1036281617</v>
      </c>
      <c r="AE55" s="2">
        <v>1430814.310884485</v>
      </c>
      <c r="AF55" s="2">
        <f>F55-H55-L55-U55-AA55-AC55-AD55</f>
        <v>-666426.3319596605</v>
      </c>
      <c r="AG55" s="2">
        <f>F55-H55-L55-U55-AA55-AB55-AD55-Y55</f>
        <v>-1054080.00357333</v>
      </c>
      <c r="AH55" s="2">
        <f>AH54+AG55</f>
        <v>59371331.45896406</v>
      </c>
      <c r="AI55" s="2">
        <v>33596641.13701601</v>
      </c>
      <c r="AJ55" s="2">
        <f>AH55-AI55</f>
        <v>25774690.321948044</v>
      </c>
      <c r="AK55" s="3">
        <v>0.25</v>
      </c>
    </row>
    <row r="56" spans="1:37">
      <c r="A56" s="2">
        <v>55</v>
      </c>
      <c r="B56" s="2">
        <v>2031</v>
      </c>
      <c r="C56" s="2">
        <v>68</v>
      </c>
      <c r="D56" s="2">
        <v>393916.8284119</v>
      </c>
      <c r="E56" s="2">
        <v>26786344.3320092</v>
      </c>
      <c r="F56" s="2">
        <f>E56/1.19</f>
        <v>22509533.052108575</v>
      </c>
      <c r="G56" s="2">
        <v>90</v>
      </c>
      <c r="H56" s="2">
        <v>7621767.849844134</v>
      </c>
      <c r="I56" s="2">
        <v>181</v>
      </c>
      <c r="J56" s="2">
        <v>15312924.46422703</v>
      </c>
      <c r="K56" s="2">
        <v>5752921.898162642</v>
      </c>
      <c r="L56" s="2">
        <v>2258758.562933472</v>
      </c>
      <c r="M56" s="2">
        <v>6837466.020750001</v>
      </c>
      <c r="N56" s="3">
        <v>1.5</v>
      </c>
      <c r="O56" s="3">
        <v>1.5</v>
      </c>
      <c r="P56" s="2">
        <v>202591.5858</v>
      </c>
      <c r="Q56" s="2">
        <v>407996.9436250001</v>
      </c>
      <c r="R56" s="2">
        <v>281377.2025</v>
      </c>
      <c r="S56" s="2">
        <v>315142.4668000001</v>
      </c>
      <c r="T56" s="2">
        <v>2391706.22125</v>
      </c>
      <c r="U56" s="2">
        <f>M56+P56+Q56+R56+S56+T56</f>
        <v>10436280.440725002</v>
      </c>
      <c r="V56" s="2">
        <f>F56-K56-L56-U56</f>
        <v>4061572.1502874605</v>
      </c>
      <c r="W56" s="2">
        <v>179806.1850872384</v>
      </c>
      <c r="X56" s="2">
        <v>207847.486526431</v>
      </c>
      <c r="Y56" s="2">
        <f>W56+X56</f>
        <v>387653.6716136693</v>
      </c>
      <c r="Z56" s="2">
        <v>18741473.7102628</v>
      </c>
      <c r="AA56" s="2">
        <v>0</v>
      </c>
      <c r="AB56" s="2">
        <v>0</v>
      </c>
      <c r="AC56" s="2">
        <v>0</v>
      </c>
      <c r="AD56" s="2">
        <v>0</v>
      </c>
      <c r="AE56" s="2">
        <v>1430814.310884485</v>
      </c>
      <c r="AF56" s="2">
        <f>F56-H56-L56-U56-AA56-AC56-AD56</f>
        <v>2192726.198605966</v>
      </c>
      <c r="AG56" s="2">
        <f>F56-H56-L56-U56-AA56-AB56-AD56-Y56</f>
        <v>1805072.5269922966</v>
      </c>
      <c r="AH56" s="2">
        <f>AH55+AG56</f>
        <v>61176403.985956356</v>
      </c>
      <c r="AI56" s="2">
        <v>33596641.13701601</v>
      </c>
      <c r="AJ56" s="2">
        <f>AH56-AI56</f>
        <v>27579762.848940343</v>
      </c>
      <c r="AK56" s="3">
        <v>0.25</v>
      </c>
    </row>
    <row r="57" spans="1:37">
      <c r="A57" s="2">
        <v>56</v>
      </c>
      <c r="B57" s="2">
        <v>2031</v>
      </c>
      <c r="C57" s="2">
        <v>85</v>
      </c>
      <c r="D57" s="2">
        <v>393916.8284119</v>
      </c>
      <c r="E57" s="2">
        <v>33482930.4150115</v>
      </c>
      <c r="F57" s="2">
        <f>E57/1.19</f>
        <v>28136916.315135717</v>
      </c>
      <c r="G57" s="2">
        <v>110</v>
      </c>
      <c r="H57" s="2">
        <v>9315494.038698386</v>
      </c>
      <c r="I57" s="2">
        <v>206</v>
      </c>
      <c r="J57" s="2">
        <v>17434550.55533552</v>
      </c>
      <c r="K57" s="2">
        <v>7193867.947589898</v>
      </c>
      <c r="L57" s="2">
        <v>2823665.449657767</v>
      </c>
      <c r="M57" s="2">
        <v>6837466.020750001</v>
      </c>
      <c r="N57" s="3">
        <v>1.5</v>
      </c>
      <c r="O57" s="3">
        <v>1.5</v>
      </c>
      <c r="P57" s="2">
        <v>202591.5858</v>
      </c>
      <c r="Q57" s="2">
        <v>407996.9436250001</v>
      </c>
      <c r="R57" s="2">
        <v>281377.2025</v>
      </c>
      <c r="S57" s="2">
        <v>315142.4668000001</v>
      </c>
      <c r="T57" s="2">
        <v>2391706.22125</v>
      </c>
      <c r="U57" s="2">
        <f>M57+P57+Q57+R57+S57+T57</f>
        <v>10436280.440725002</v>
      </c>
      <c r="V57" s="2">
        <f>F57-K57-L57-U57</f>
        <v>7683102.47716305</v>
      </c>
      <c r="W57" s="2">
        <v>177833.9633256155</v>
      </c>
      <c r="X57" s="2">
        <v>209819.7082880538</v>
      </c>
      <c r="Y57" s="2">
        <f>W57+X57</f>
        <v>387653.6716136693</v>
      </c>
      <c r="Z57" s="2">
        <v>18531654.00197474</v>
      </c>
      <c r="AA57" s="2">
        <v>0</v>
      </c>
      <c r="AB57" s="2">
        <v>0</v>
      </c>
      <c r="AC57" s="2">
        <v>0</v>
      </c>
      <c r="AD57" s="2">
        <v>317958.7357521078</v>
      </c>
      <c r="AE57" s="2">
        <v>1748773.046636593</v>
      </c>
      <c r="AF57" s="2">
        <f>F57-H57-L57-U57-AA57-AC57-AD57</f>
        <v>5243517.650302453</v>
      </c>
      <c r="AG57" s="2">
        <f>F57-H57-L57-U57-AA57-AB57-AD57-Y57</f>
        <v>4855863.978688784</v>
      </c>
      <c r="AH57" s="2">
        <f>AH56+AG57</f>
        <v>66032267.96464514</v>
      </c>
      <c r="AI57" s="2">
        <v>33596641.13701601</v>
      </c>
      <c r="AJ57" s="2">
        <f>AH57-AI57</f>
        <v>32435626.827629127</v>
      </c>
      <c r="AK57" s="3">
        <v>0.25</v>
      </c>
    </row>
    <row r="58" spans="1:37">
      <c r="A58" s="2">
        <v>57</v>
      </c>
      <c r="B58" s="2">
        <v>2031</v>
      </c>
      <c r="C58" s="2">
        <v>93</v>
      </c>
      <c r="D58" s="2">
        <v>393916.8284119</v>
      </c>
      <c r="E58" s="2">
        <v>36634265.04230671</v>
      </c>
      <c r="F58" s="2">
        <f>E58/1.19</f>
        <v>30785096.67420732</v>
      </c>
      <c r="G58" s="2">
        <v>120</v>
      </c>
      <c r="H58" s="2">
        <v>10162357.13312551</v>
      </c>
      <c r="I58" s="2">
        <v>233</v>
      </c>
      <c r="J58" s="2">
        <v>19724170.21905344</v>
      </c>
      <c r="K58" s="2">
        <v>7872737.469407595</v>
      </c>
      <c r="L58" s="2">
        <v>3089566.165647943</v>
      </c>
      <c r="M58" s="2">
        <v>6837466.020750001</v>
      </c>
      <c r="N58" s="3">
        <v>1.5</v>
      </c>
      <c r="O58" s="3">
        <v>1.5</v>
      </c>
      <c r="P58" s="2">
        <v>202591.5858</v>
      </c>
      <c r="Q58" s="2">
        <v>407996.9436250001</v>
      </c>
      <c r="R58" s="2">
        <v>281377.2025</v>
      </c>
      <c r="S58" s="2">
        <v>315142.4668000001</v>
      </c>
      <c r="T58" s="2">
        <v>2391706.22125</v>
      </c>
      <c r="U58" s="2">
        <f>M58+P58+Q58+R58+S58+T58</f>
        <v>10436280.440725002</v>
      </c>
      <c r="V58" s="2">
        <f>F58-K58-L58-U58</f>
        <v>9386512.598426778</v>
      </c>
      <c r="W58" s="2">
        <v>175843.0275600756</v>
      </c>
      <c r="X58" s="2">
        <v>211810.6440535937</v>
      </c>
      <c r="Y58" s="2">
        <f>W58+X58</f>
        <v>387653.6716136693</v>
      </c>
      <c r="Z58" s="2">
        <v>18319843.35792115</v>
      </c>
      <c r="AA58" s="2">
        <v>0</v>
      </c>
      <c r="AB58" s="2">
        <v>0</v>
      </c>
      <c r="AC58" s="2">
        <v>0</v>
      </c>
      <c r="AD58" s="2">
        <v>158979.3678760543</v>
      </c>
      <c r="AE58" s="2">
        <v>1907752.414512648</v>
      </c>
      <c r="AF58" s="2">
        <f>F58-H58-L58-U58-AA58-AC58-AD58</f>
        <v>6937913.566832805</v>
      </c>
      <c r="AG58" s="2">
        <f>F58-H58-L58-U58-AA58-AB58-AD58-Y58</f>
        <v>6550259.895219136</v>
      </c>
      <c r="AH58" s="2">
        <f>AH57+AG58</f>
        <v>72582527.85986428</v>
      </c>
      <c r="AI58" s="2">
        <v>33596641.13701601</v>
      </c>
      <c r="AJ58" s="2">
        <f>AH58-AI58</f>
        <v>38985886.72284827</v>
      </c>
      <c r="AK58" s="3">
        <v>0.25</v>
      </c>
    </row>
    <row r="59" spans="1:37">
      <c r="A59" s="2">
        <v>58</v>
      </c>
      <c r="B59" s="2">
        <v>2031</v>
      </c>
      <c r="C59" s="2">
        <v>110</v>
      </c>
      <c r="D59" s="2">
        <v>393916.8284119</v>
      </c>
      <c r="E59" s="2">
        <v>43330851.12530901</v>
      </c>
      <c r="F59" s="2">
        <f>E59/1.19</f>
        <v>36412479.93723446</v>
      </c>
      <c r="G59" s="2">
        <v>140</v>
      </c>
      <c r="H59" s="2">
        <v>11856083.32197977</v>
      </c>
      <c r="I59" s="2">
        <v>263</v>
      </c>
      <c r="J59" s="2">
        <v>22267042.0409966</v>
      </c>
      <c r="K59" s="2">
        <v>9313211.500036601</v>
      </c>
      <c r="L59" s="2">
        <v>3654435.290868379</v>
      </c>
      <c r="M59" s="2">
        <v>6837466.020750001</v>
      </c>
      <c r="N59" s="3">
        <v>1.5</v>
      </c>
      <c r="O59" s="3">
        <v>1.5</v>
      </c>
      <c r="P59" s="2">
        <v>202591.5858</v>
      </c>
      <c r="Q59" s="2">
        <v>407996.9436250001</v>
      </c>
      <c r="R59" s="2">
        <v>281377.2025</v>
      </c>
      <c r="S59" s="2">
        <v>315142.4668000001</v>
      </c>
      <c r="T59" s="2">
        <v>2391706.22125</v>
      </c>
      <c r="U59" s="2">
        <f>M59+P59+Q59+R59+S59+T59</f>
        <v>10436280.440725002</v>
      </c>
      <c r="V59" s="2">
        <f>F59-K59-L59-U59</f>
        <v>13008552.705604479</v>
      </c>
      <c r="W59" s="2">
        <v>173833.2002173103</v>
      </c>
      <c r="X59" s="2">
        <v>213820.471396359</v>
      </c>
      <c r="Y59" s="2">
        <f>W59+X59</f>
        <v>387653.6716136693</v>
      </c>
      <c r="Z59" s="2">
        <v>18106022.88652479</v>
      </c>
      <c r="AA59" s="2">
        <v>0</v>
      </c>
      <c r="AB59" s="2">
        <v>0</v>
      </c>
      <c r="AC59" s="2">
        <v>0</v>
      </c>
      <c r="AD59" s="2">
        <v>317958.7357521083</v>
      </c>
      <c r="AE59" s="2">
        <v>2225711.150264756</v>
      </c>
      <c r="AF59" s="2">
        <f>F59-H59-L59-U59-AA59-AC59-AD59</f>
        <v>10147722.147909204</v>
      </c>
      <c r="AG59" s="2">
        <f>F59-H59-L59-U59-AA59-AB59-AD59-Y59</f>
        <v>9760068.476295535</v>
      </c>
      <c r="AH59" s="2">
        <f>AH58+AG59</f>
        <v>82342596.33615981</v>
      </c>
      <c r="AI59" s="2">
        <v>33596641.13701601</v>
      </c>
      <c r="AJ59" s="2">
        <f>AH59-AI59</f>
        <v>48745955.1991438</v>
      </c>
      <c r="AK59" s="3">
        <v>0.25</v>
      </c>
    </row>
    <row r="60" spans="1:37">
      <c r="A60" s="2">
        <v>59</v>
      </c>
      <c r="B60" s="2">
        <v>2031</v>
      </c>
      <c r="C60" s="2">
        <v>119</v>
      </c>
      <c r="D60" s="2">
        <v>393916.8284119</v>
      </c>
      <c r="E60" s="2">
        <v>46876102.58101611</v>
      </c>
      <c r="F60" s="2">
        <f>E60/1.19</f>
        <v>39391682.84119001</v>
      </c>
      <c r="G60" s="2">
        <v>20</v>
      </c>
      <c r="H60" s="2">
        <v>1693726.188854252</v>
      </c>
      <c r="I60" s="2">
        <v>164</v>
      </c>
      <c r="J60" s="2">
        <v>13885392.18973689</v>
      </c>
      <c r="K60" s="2">
        <v>10075376.04011396</v>
      </c>
      <c r="L60" s="2">
        <v>3953448.502599923</v>
      </c>
      <c r="M60" s="2">
        <v>6837466.020750001</v>
      </c>
      <c r="N60" s="3">
        <v>1.5</v>
      </c>
      <c r="O60" s="3">
        <v>1.5</v>
      </c>
      <c r="P60" s="2">
        <v>202591.5858</v>
      </c>
      <c r="Q60" s="2">
        <v>407996.9436250001</v>
      </c>
      <c r="R60" s="2">
        <v>281377.2025</v>
      </c>
      <c r="S60" s="2">
        <v>315142.4668000001</v>
      </c>
      <c r="T60" s="2">
        <v>2391706.22125</v>
      </c>
      <c r="U60" s="2">
        <f>M60+P60+Q60+R60+S60+T60</f>
        <v>10436280.440725002</v>
      </c>
      <c r="V60" s="2">
        <f>F60-K60-L60-U60</f>
        <v>14926577.85775112</v>
      </c>
      <c r="W60" s="2">
        <v>171804.3020390553</v>
      </c>
      <c r="X60" s="2">
        <v>215849.369574614</v>
      </c>
      <c r="Y60" s="2">
        <f>W60+X60</f>
        <v>387653.6716136693</v>
      </c>
      <c r="Z60" s="2">
        <v>17890173.51695018</v>
      </c>
      <c r="AA60" s="2">
        <v>0</v>
      </c>
      <c r="AB60" s="2">
        <v>0</v>
      </c>
      <c r="AC60" s="2">
        <v>0</v>
      </c>
      <c r="AD60" s="2">
        <v>-1907752.414512648</v>
      </c>
      <c r="AE60" s="2">
        <v>317958.7357521079</v>
      </c>
      <c r="AF60" s="2">
        <f>F60-H60-L60-U60-AA60-AC60-AD60</f>
        <v>25215980.123523477</v>
      </c>
      <c r="AG60" s="2">
        <f>F60-H60-L60-U60-AA60-AB60-AD60-Y60</f>
        <v>24828326.451909807</v>
      </c>
      <c r="AH60" s="2">
        <f>AH59+AG60</f>
        <v>107170922.78806962</v>
      </c>
      <c r="AI60" s="2">
        <v>33596641.13701601</v>
      </c>
      <c r="AJ60" s="2">
        <f>AH60-AI60</f>
        <v>73574281.65105361</v>
      </c>
      <c r="AK60" s="3">
        <v>0.25</v>
      </c>
    </row>
    <row r="61" spans="1:37">
      <c r="A61" s="2">
        <v>60</v>
      </c>
      <c r="B61" s="2">
        <v>2031</v>
      </c>
      <c r="C61" s="2">
        <v>144</v>
      </c>
      <c r="D61" s="2">
        <v>393916.8284119</v>
      </c>
      <c r="E61" s="2">
        <v>56724023.2913136</v>
      </c>
      <c r="F61" s="2">
        <f>E61/1.19</f>
        <v>47667246.46328875</v>
      </c>
      <c r="G61" s="2">
        <v>30</v>
      </c>
      <c r="H61" s="2">
        <v>2540589.283281378</v>
      </c>
      <c r="I61" s="2">
        <v>50</v>
      </c>
      <c r="J61" s="2">
        <v>4233500.379643884</v>
      </c>
      <c r="K61" s="2">
        <v>12192481.09337439</v>
      </c>
      <c r="L61" s="2">
        <v>4784039.263875632</v>
      </c>
      <c r="M61" s="2">
        <v>6837466.020750001</v>
      </c>
      <c r="N61" s="3">
        <v>1.5</v>
      </c>
      <c r="O61" s="3">
        <v>1.5</v>
      </c>
      <c r="P61" s="2">
        <v>202591.5858</v>
      </c>
      <c r="Q61" s="2">
        <v>407996.9436250001</v>
      </c>
      <c r="R61" s="2">
        <v>281377.2025</v>
      </c>
      <c r="S61" s="2">
        <v>315142.4668000001</v>
      </c>
      <c r="T61" s="2">
        <v>2391706.22125</v>
      </c>
      <c r="U61" s="2">
        <f>M61+P61+Q61+R61+S61+T61</f>
        <v>10436280.440725002</v>
      </c>
      <c r="V61" s="2">
        <f>F61-K61-L61-U61</f>
        <v>20254445.665313724</v>
      </c>
      <c r="W61" s="2">
        <v>169756.1520661016</v>
      </c>
      <c r="X61" s="2">
        <v>217897.5195475678</v>
      </c>
      <c r="Y61" s="2">
        <f>W61+X61</f>
        <v>387653.6716136693</v>
      </c>
      <c r="Z61" s="2">
        <v>17672275.99740261</v>
      </c>
      <c r="AA61" s="2">
        <v>0</v>
      </c>
      <c r="AB61" s="2">
        <v>13437991.46186407</v>
      </c>
      <c r="AC61" s="2">
        <v>13980017.60448647</v>
      </c>
      <c r="AD61" s="2">
        <v>158979.367876054</v>
      </c>
      <c r="AE61" s="2">
        <v>476938.1036281619</v>
      </c>
      <c r="AF61" s="2">
        <f>F61-H61-L61-U61-AA61-AC61-AD61</f>
        <v>15767340.503044205</v>
      </c>
      <c r="AG61" s="2">
        <f>F61-H61-L61-U61-AA61-AB61-AD61-Y61</f>
        <v>15921712.974052936</v>
      </c>
      <c r="AH61" s="2">
        <f>AH60+AG61</f>
        <v>123092635.76212256</v>
      </c>
      <c r="AI61" s="2">
        <v>33596641.13701601</v>
      </c>
      <c r="AJ61" s="2">
        <f>AH61-AI61</f>
        <v>89495994.62510654</v>
      </c>
      <c r="AK61" s="3">
        <v>0.25</v>
      </c>
    </row>
    <row r="62" spans="1:37">
      <c r="A62" s="2">
        <v>61</v>
      </c>
      <c r="B62" s="2">
        <v>2032</v>
      </c>
      <c r="C62" s="2">
        <v>18</v>
      </c>
      <c r="D62" s="2">
        <v>405734.333264257</v>
      </c>
      <c r="E62" s="2">
        <v>7303217.998756627</v>
      </c>
      <c r="F62" s="2">
        <f>E62/1.19</f>
        <v>6137157.982148426</v>
      </c>
      <c r="G62" s="2">
        <v>40</v>
      </c>
      <c r="H62" s="2">
        <v>3489075.94903976</v>
      </c>
      <c r="I62" s="2">
        <v>72</v>
      </c>
      <c r="J62" s="2">
        <v>6178061.062946915</v>
      </c>
      <c r="K62" s="2">
        <v>1544515.265736729</v>
      </c>
      <c r="L62" s="2">
        <v>613923.7212211697</v>
      </c>
      <c r="M62" s="2">
        <v>7629472.501486875</v>
      </c>
      <c r="N62" s="3">
        <v>1.5</v>
      </c>
      <c r="O62" s="3">
        <v>2</v>
      </c>
      <c r="P62" s="2">
        <v>220262.074117</v>
      </c>
      <c r="Q62" s="2">
        <v>498024.14231928</v>
      </c>
      <c r="R62" s="2">
        <v>289818.518575</v>
      </c>
      <c r="S62" s="2">
        <v>324596.740804</v>
      </c>
      <c r="T62" s="2">
        <v>2585181.185689</v>
      </c>
      <c r="U62" s="2">
        <f>M62+P62+Q62+R62+S62+T62</f>
        <v>11547355.162991155</v>
      </c>
      <c r="V62" s="2">
        <f>F62-K62-L62-U62</f>
        <v>-7568636.167800628</v>
      </c>
      <c r="W62" s="2">
        <v>167688.5676221554</v>
      </c>
      <c r="X62" s="2">
        <v>219965.1039915139</v>
      </c>
      <c r="Y62" s="2">
        <f>W62+X62</f>
        <v>387653.6716136693</v>
      </c>
      <c r="Z62" s="2">
        <v>17452310.8934111</v>
      </c>
      <c r="AA62" s="2">
        <v>0</v>
      </c>
      <c r="AB62" s="2">
        <v>0</v>
      </c>
      <c r="AC62" s="2">
        <v>0</v>
      </c>
      <c r="AD62" s="2">
        <v>178056.8920211804</v>
      </c>
      <c r="AE62" s="2">
        <v>654994.9956493423</v>
      </c>
      <c r="AF62" s="2">
        <f>F62-H62-L62-U62-AA62-AC62-AD62</f>
        <v>-9691253.743124839</v>
      </c>
      <c r="AG62" s="2">
        <f>F62-H62-L62-U62-AA62-AB62-AD62-Y62</f>
        <v>-10078907.414738508</v>
      </c>
      <c r="AH62" s="2">
        <f>AH61+AG62</f>
        <v>113013728.34738405</v>
      </c>
      <c r="AI62" s="2">
        <v>36929865.30381447</v>
      </c>
      <c r="AJ62" s="2">
        <f>AH62-AI62</f>
        <v>76083863.04356958</v>
      </c>
      <c r="AK62" s="3">
        <v>0.25</v>
      </c>
    </row>
    <row r="63" spans="1:37">
      <c r="A63" s="2">
        <v>62</v>
      </c>
      <c r="B63" s="2">
        <v>2032</v>
      </c>
      <c r="C63" s="2">
        <v>27</v>
      </c>
      <c r="D63" s="2">
        <v>405734.333264257</v>
      </c>
      <c r="E63" s="2">
        <v>10954826.99813494</v>
      </c>
      <c r="F63" s="2">
        <f>E63/1.19</f>
        <v>9205736.973222638</v>
      </c>
      <c r="G63" s="2">
        <v>40</v>
      </c>
      <c r="H63" s="2">
        <v>3489075.94903976</v>
      </c>
      <c r="I63" s="2">
        <v>85</v>
      </c>
      <c r="J63" s="2">
        <v>7336666.482311316</v>
      </c>
      <c r="K63" s="2">
        <v>2330470.529675359</v>
      </c>
      <c r="L63" s="2">
        <v>921981.3923173758</v>
      </c>
      <c r="M63" s="2">
        <v>7629472.501486875</v>
      </c>
      <c r="N63" s="3">
        <v>1.5</v>
      </c>
      <c r="O63" s="3">
        <v>2</v>
      </c>
      <c r="P63" s="2">
        <v>220262.074117</v>
      </c>
      <c r="Q63" s="2">
        <v>498024.14231928</v>
      </c>
      <c r="R63" s="2">
        <v>289818.518575</v>
      </c>
      <c r="S63" s="2">
        <v>324596.740804</v>
      </c>
      <c r="T63" s="2">
        <v>2585181.185689</v>
      </c>
      <c r="U63" s="2">
        <f>M63+P63+Q63+R63+S63+T63</f>
        <v>11547355.162991155</v>
      </c>
      <c r="V63" s="2">
        <f>F63-K63-L63-U63</f>
        <v>-5594070.111761252</v>
      </c>
      <c r="W63" s="2">
        <v>165601.3642975459</v>
      </c>
      <c r="X63" s="2">
        <v>222052.3073161234</v>
      </c>
      <c r="Y63" s="2">
        <f>W63+X63</f>
        <v>387653.6716136693</v>
      </c>
      <c r="Z63" s="2">
        <v>17230258.58609497</v>
      </c>
      <c r="AA63" s="2">
        <v>0</v>
      </c>
      <c r="AB63" s="2">
        <v>0</v>
      </c>
      <c r="AC63" s="2">
        <v>0</v>
      </c>
      <c r="AD63" s="2">
        <v>0</v>
      </c>
      <c r="AE63" s="2">
        <v>654994.9956493423</v>
      </c>
      <c r="AF63" s="2">
        <f>F63-H63-L63-U63-AA63-AC63-AD63</f>
        <v>-6752675.531125653</v>
      </c>
      <c r="AG63" s="2">
        <f>F63-H63-L63-U63-AA63-AB63-AD63-Y63</f>
        <v>-7140329.202739322</v>
      </c>
      <c r="AH63" s="2">
        <f>AH62+AG63</f>
        <v>105873399.14464472</v>
      </c>
      <c r="AI63" s="2">
        <v>36929865.30381447</v>
      </c>
      <c r="AJ63" s="2">
        <f>AH63-AI63</f>
        <v>68943533.84083025</v>
      </c>
      <c r="AK63" s="3">
        <v>0.25</v>
      </c>
    </row>
    <row r="64" spans="1:37">
      <c r="A64" s="2">
        <v>63</v>
      </c>
      <c r="B64" s="2">
        <v>2032</v>
      </c>
      <c r="C64" s="2">
        <v>36</v>
      </c>
      <c r="D64" s="2">
        <v>405734.333264257</v>
      </c>
      <c r="E64" s="2">
        <v>14606435.99751325</v>
      </c>
      <c r="F64" s="2">
        <f>E64/1.19</f>
        <v>12274315.964296851</v>
      </c>
      <c r="G64" s="2">
        <v>50</v>
      </c>
      <c r="H64" s="2">
        <v>4361344.936299698</v>
      </c>
      <c r="I64" s="2">
        <v>99</v>
      </c>
      <c r="J64" s="2">
        <v>8578541.706981409</v>
      </c>
      <c r="K64" s="2">
        <v>3119469.711629604</v>
      </c>
      <c r="L64" s="2">
        <v>1230282.576854831</v>
      </c>
      <c r="M64" s="2">
        <v>7629472.501486875</v>
      </c>
      <c r="N64" s="3">
        <v>1.5</v>
      </c>
      <c r="O64" s="3">
        <v>2</v>
      </c>
      <c r="P64" s="2">
        <v>220262.074117</v>
      </c>
      <c r="Q64" s="2">
        <v>498024.14231928</v>
      </c>
      <c r="R64" s="2">
        <v>289818.518575</v>
      </c>
      <c r="S64" s="2">
        <v>324596.740804</v>
      </c>
      <c r="T64" s="2">
        <v>2585181.185689</v>
      </c>
      <c r="U64" s="2">
        <f>M64+P64+Q64+R64+S64+T64</f>
        <v>11547355.162991155</v>
      </c>
      <c r="V64" s="2">
        <f>F64-K64-L64-U64</f>
        <v>-3622791.4871787373</v>
      </c>
      <c r="W64" s="2">
        <v>163494.3559327768</v>
      </c>
      <c r="X64" s="2">
        <v>224159.3156808925</v>
      </c>
      <c r="Y64" s="2">
        <f>W64+X64</f>
        <v>387653.6716136693</v>
      </c>
      <c r="Z64" s="2">
        <v>17006099.27041408</v>
      </c>
      <c r="AA64" s="2">
        <v>0</v>
      </c>
      <c r="AB64" s="2">
        <v>0</v>
      </c>
      <c r="AC64" s="2">
        <v>0</v>
      </c>
      <c r="AD64" s="2">
        <v>163748.7489123354</v>
      </c>
      <c r="AE64" s="2">
        <v>818743.7445616777</v>
      </c>
      <c r="AF64" s="2">
        <f>F64-H64-L64-U64-AA64-AC64-AD64</f>
        <v>-5028415.460761168</v>
      </c>
      <c r="AG64" s="2">
        <f>F64-H64-L64-U64-AA64-AB64-AD64-Y64</f>
        <v>-5416069.132374837</v>
      </c>
      <c r="AH64" s="2">
        <f>AH63+AG64</f>
        <v>100457330.01226988</v>
      </c>
      <c r="AI64" s="2">
        <v>36929865.30381447</v>
      </c>
      <c r="AJ64" s="2">
        <f>AH64-AI64</f>
        <v>63527464.70845541</v>
      </c>
      <c r="AK64" s="3">
        <v>0.25</v>
      </c>
    </row>
    <row r="65" spans="1:37">
      <c r="A65" s="2">
        <v>64</v>
      </c>
      <c r="B65" s="2">
        <v>2032</v>
      </c>
      <c r="C65" s="2">
        <v>45</v>
      </c>
      <c r="D65" s="2">
        <v>405734.333264257</v>
      </c>
      <c r="E65" s="2">
        <v>18258044.99689157</v>
      </c>
      <c r="F65" s="2">
        <f>E65/1.19</f>
        <v>15342894.955371065</v>
      </c>
      <c r="G65" s="2">
        <v>70</v>
      </c>
      <c r="H65" s="2">
        <v>6105882.910819579</v>
      </c>
      <c r="I65" s="2">
        <v>124</v>
      </c>
      <c r="J65" s="2">
        <v>10774370.72548711</v>
      </c>
      <c r="K65" s="2">
        <v>3910053.892313873</v>
      </c>
      <c r="L65" s="2">
        <v>1538710.561290688</v>
      </c>
      <c r="M65" s="2">
        <v>7629472.501486875</v>
      </c>
      <c r="N65" s="3">
        <v>1.5</v>
      </c>
      <c r="O65" s="3">
        <v>2</v>
      </c>
      <c r="P65" s="2">
        <v>220262.074117</v>
      </c>
      <c r="Q65" s="2">
        <v>498024.14231928</v>
      </c>
      <c r="R65" s="2">
        <v>289818.518575</v>
      </c>
      <c r="S65" s="2">
        <v>324596.740804</v>
      </c>
      <c r="T65" s="2">
        <v>2585181.185689</v>
      </c>
      <c r="U65" s="2">
        <f>M65+P65+Q65+R65+S65+T65</f>
        <v>11547355.162991155</v>
      </c>
      <c r="V65" s="2">
        <f>F65-K65-L65-U65</f>
        <v>-1653224.661224652</v>
      </c>
      <c r="W65" s="2">
        <v>161367.354601923</v>
      </c>
      <c r="X65" s="2">
        <v>226286.3170117463</v>
      </c>
      <c r="Y65" s="2">
        <f>W65+X65</f>
        <v>387653.6716136693</v>
      </c>
      <c r="Z65" s="2">
        <v>16779812.95340233</v>
      </c>
      <c r="AA65" s="2">
        <v>0</v>
      </c>
      <c r="AB65" s="2">
        <v>0</v>
      </c>
      <c r="AC65" s="2">
        <v>0</v>
      </c>
      <c r="AD65" s="2">
        <v>327497.4978246711</v>
      </c>
      <c r="AE65" s="2">
        <v>1146241.242386349</v>
      </c>
      <c r="AF65" s="2">
        <f>F65-H65-L65-U65-AA65-AC65-AD65</f>
        <v>-4176551.177555028</v>
      </c>
      <c r="AG65" s="2">
        <f>F65-H65-L65-U65-AA65-AB65-AD65-Y65</f>
        <v>-4564204.849168697</v>
      </c>
      <c r="AH65" s="2">
        <f>AH64+AG65</f>
        <v>95893125.16310118</v>
      </c>
      <c r="AI65" s="2">
        <v>36929865.30381447</v>
      </c>
      <c r="AJ65" s="2">
        <f>AH65-AI65</f>
        <v>58963259.85928671</v>
      </c>
      <c r="AK65" s="3">
        <v>0.25</v>
      </c>
    </row>
    <row r="66" spans="1:37">
      <c r="A66" s="2">
        <v>65</v>
      </c>
      <c r="B66" s="2">
        <v>2032</v>
      </c>
      <c r="C66" s="2">
        <v>53</v>
      </c>
      <c r="D66" s="2">
        <v>405734.333264257</v>
      </c>
      <c r="E66" s="2">
        <v>21503919.66300562</v>
      </c>
      <c r="F66" s="2">
        <f>E66/1.19</f>
        <v>18070520.72521481</v>
      </c>
      <c r="G66" s="2">
        <v>70</v>
      </c>
      <c r="H66" s="2">
        <v>6105882.910819579</v>
      </c>
      <c r="I66" s="2">
        <v>141</v>
      </c>
      <c r="J66" s="2">
        <v>12268637.95216105</v>
      </c>
      <c r="K66" s="2">
        <v>4611615.684145643</v>
      </c>
      <c r="L66" s="2">
        <v>1812774.393509333</v>
      </c>
      <c r="M66" s="2">
        <v>7629472.501486875</v>
      </c>
      <c r="N66" s="3">
        <v>1.5</v>
      </c>
      <c r="O66" s="3">
        <v>2</v>
      </c>
      <c r="P66" s="2">
        <v>220262.074117</v>
      </c>
      <c r="Q66" s="2">
        <v>498024.14231928</v>
      </c>
      <c r="R66" s="2">
        <v>289818.518575</v>
      </c>
      <c r="S66" s="2">
        <v>324596.740804</v>
      </c>
      <c r="T66" s="2">
        <v>2585181.185689</v>
      </c>
      <c r="U66" s="2">
        <f>M66+P66+Q66+R66+S66+T66</f>
        <v>11547355.162991155</v>
      </c>
      <c r="V66" s="2">
        <f>F66-K66-L66-U66</f>
        <v>98775.48456867784</v>
      </c>
      <c r="W66" s="2">
        <v>159220.1705958691</v>
      </c>
      <c r="X66" s="2">
        <v>228433.5010178002</v>
      </c>
      <c r="Y66" s="2">
        <f>W66+X66</f>
        <v>387653.6716136693</v>
      </c>
      <c r="Z66" s="2">
        <v>16551379.45238453</v>
      </c>
      <c r="AA66" s="2">
        <v>0</v>
      </c>
      <c r="AB66" s="2">
        <v>0</v>
      </c>
      <c r="AC66" s="2">
        <v>0</v>
      </c>
      <c r="AD66" s="2">
        <v>0</v>
      </c>
      <c r="AE66" s="2">
        <v>1146241.242386349</v>
      </c>
      <c r="AF66" s="2">
        <f>F66-H66-L66-U66-AA66-AC66-AD66</f>
        <v>-1395491.7421052568</v>
      </c>
      <c r="AG66" s="2">
        <f>F66-H66-L66-U66-AA66-AB66-AD66-Y66</f>
        <v>-1783145.413718926</v>
      </c>
      <c r="AH66" s="2">
        <f>AH65+AG66</f>
        <v>94109979.74938226</v>
      </c>
      <c r="AI66" s="2">
        <v>36929865.30381447</v>
      </c>
      <c r="AJ66" s="2">
        <f>AH66-AI66</f>
        <v>57180114.44556779</v>
      </c>
      <c r="AK66" s="3">
        <v>0.25</v>
      </c>
    </row>
    <row r="67" spans="1:37">
      <c r="A67" s="2">
        <v>66</v>
      </c>
      <c r="B67" s="2">
        <v>2032</v>
      </c>
      <c r="C67" s="2">
        <v>62</v>
      </c>
      <c r="D67" s="2">
        <v>405734.333264257</v>
      </c>
      <c r="E67" s="2">
        <v>25155528.66238394</v>
      </c>
      <c r="F67" s="2">
        <f>E67/1.19</f>
        <v>21139099.716289025</v>
      </c>
      <c r="G67" s="2">
        <v>90</v>
      </c>
      <c r="H67" s="2">
        <v>7850420.885339458</v>
      </c>
      <c r="I67" s="2">
        <v>169</v>
      </c>
      <c r="J67" s="2">
        <v>14719138.28371249</v>
      </c>
      <c r="K67" s="2">
        <v>5399920.553788016</v>
      </c>
      <c r="L67" s="2">
        <v>2121020.033061838</v>
      </c>
      <c r="M67" s="2">
        <v>7629472.501486875</v>
      </c>
      <c r="N67" s="3">
        <v>1.5</v>
      </c>
      <c r="O67" s="3">
        <v>2</v>
      </c>
      <c r="P67" s="2">
        <v>220262.074117</v>
      </c>
      <c r="Q67" s="2">
        <v>498024.14231928</v>
      </c>
      <c r="R67" s="2">
        <v>289818.518575</v>
      </c>
      <c r="S67" s="2">
        <v>324596.740804</v>
      </c>
      <c r="T67" s="2">
        <v>2585181.185689</v>
      </c>
      <c r="U67" s="2">
        <f>M67+P67+Q67+R67+S67+T67</f>
        <v>11547355.162991155</v>
      </c>
      <c r="V67" s="2">
        <f>F67-K67-L67-U67</f>
        <v>2070803.9664480165</v>
      </c>
      <c r="W67" s="2">
        <v>157052.6124053894</v>
      </c>
      <c r="X67" s="2">
        <v>230601.0592082799</v>
      </c>
      <c r="Y67" s="2">
        <f>W67+X67</f>
        <v>387653.6716136693</v>
      </c>
      <c r="Z67" s="2">
        <v>16320778.39317625</v>
      </c>
      <c r="AA67" s="2">
        <v>0</v>
      </c>
      <c r="AB67" s="2">
        <v>0</v>
      </c>
      <c r="AC67" s="2">
        <v>0</v>
      </c>
      <c r="AD67" s="2">
        <v>327497.4978246712</v>
      </c>
      <c r="AE67" s="2">
        <v>1473738.74021102</v>
      </c>
      <c r="AF67" s="2">
        <f>F67-H67-L67-U67-AA67-AC67-AD67</f>
        <v>-707193.8629280967</v>
      </c>
      <c r="AG67" s="2">
        <f>F67-H67-L67-U67-AA67-AB67-AD67-Y67</f>
        <v>-1094847.534541766</v>
      </c>
      <c r="AH67" s="2">
        <f>AH66+AG67</f>
        <v>93015132.21484049</v>
      </c>
      <c r="AI67" s="2">
        <v>36929865.30381447</v>
      </c>
      <c r="AJ67" s="2">
        <f>AH67-AI67</f>
        <v>56085266.911026016</v>
      </c>
      <c r="AK67" s="3">
        <v>0.25</v>
      </c>
    </row>
    <row r="68" spans="1:37">
      <c r="A68" s="2">
        <v>67</v>
      </c>
      <c r="B68" s="2">
        <v>2032</v>
      </c>
      <c r="C68" s="2">
        <v>71</v>
      </c>
      <c r="D68" s="2">
        <v>405734.333264257</v>
      </c>
      <c r="E68" s="2">
        <v>28807137.66176225</v>
      </c>
      <c r="F68" s="2">
        <f>E68/1.19</f>
        <v>24207678.707363237</v>
      </c>
      <c r="G68" s="2">
        <v>90</v>
      </c>
      <c r="H68" s="2">
        <v>7850420.885339458</v>
      </c>
      <c r="I68" s="2">
        <v>188</v>
      </c>
      <c r="J68" s="2">
        <v>16382537.15745856</v>
      </c>
      <c r="K68" s="2">
        <v>6187022.011593392</v>
      </c>
      <c r="L68" s="2">
        <v>2429169.399667384</v>
      </c>
      <c r="M68" s="2">
        <v>7629472.501486875</v>
      </c>
      <c r="N68" s="3">
        <v>1.5</v>
      </c>
      <c r="O68" s="3">
        <v>2</v>
      </c>
      <c r="P68" s="2">
        <v>220262.074117</v>
      </c>
      <c r="Q68" s="2">
        <v>498024.14231928</v>
      </c>
      <c r="R68" s="2">
        <v>289818.518575</v>
      </c>
      <c r="S68" s="2">
        <v>324596.740804</v>
      </c>
      <c r="T68" s="2">
        <v>2585181.185689</v>
      </c>
      <c r="U68" s="2">
        <f>M68+P68+Q68+R68+S68+T68</f>
        <v>11547355.162991155</v>
      </c>
      <c r="V68" s="2">
        <f>F68-K68-L68-U68</f>
        <v>4044132.1331113074</v>
      </c>
      <c r="W68" s="2">
        <v>154864.4867040665</v>
      </c>
      <c r="X68" s="2">
        <v>232789.1849096028</v>
      </c>
      <c r="Y68" s="2">
        <f>W68+X68</f>
        <v>387653.6716136693</v>
      </c>
      <c r="Z68" s="2">
        <v>16087989.20826665</v>
      </c>
      <c r="AA68" s="2">
        <v>0</v>
      </c>
      <c r="AB68" s="2">
        <v>0</v>
      </c>
      <c r="AC68" s="2">
        <v>0</v>
      </c>
      <c r="AD68" s="2">
        <v>0</v>
      </c>
      <c r="AE68" s="2">
        <v>1473738.74021102</v>
      </c>
      <c r="AF68" s="2">
        <f>F68-H68-L68-U68-AA68-AC68-AD68</f>
        <v>2380733.25936524</v>
      </c>
      <c r="AG68" s="2">
        <f>F68-H68-L68-U68-AA68-AB68-AD68-Y68</f>
        <v>1993079.5877515709</v>
      </c>
      <c r="AH68" s="2">
        <f>AH67+AG68</f>
        <v>95008211.80259205</v>
      </c>
      <c r="AI68" s="2">
        <v>36929865.30381447</v>
      </c>
      <c r="AJ68" s="2">
        <f>AH68-AI68</f>
        <v>58078346.49877758</v>
      </c>
      <c r="AK68" s="3">
        <v>0.25</v>
      </c>
    </row>
    <row r="69" spans="1:37">
      <c r="A69" s="2">
        <v>68</v>
      </c>
      <c r="B69" s="2">
        <v>2032</v>
      </c>
      <c r="C69" s="2">
        <v>89</v>
      </c>
      <c r="D69" s="2">
        <v>405734.333264257</v>
      </c>
      <c r="E69" s="2">
        <v>36110355.66051888</v>
      </c>
      <c r="F69" s="2">
        <f>E69/1.19</f>
        <v>30344836.689511664</v>
      </c>
      <c r="G69" s="2">
        <v>120</v>
      </c>
      <c r="H69" s="2">
        <v>10467227.84711928</v>
      </c>
      <c r="I69" s="2">
        <v>219</v>
      </c>
      <c r="J69" s="2">
        <v>19091229.01299528</v>
      </c>
      <c r="K69" s="2">
        <v>7758535.991582557</v>
      </c>
      <c r="L69" s="2">
        <v>3045253.018028748</v>
      </c>
      <c r="M69" s="2">
        <v>7629472.501486875</v>
      </c>
      <c r="N69" s="3">
        <v>1.5</v>
      </c>
      <c r="O69" s="3">
        <v>2</v>
      </c>
      <c r="P69" s="2">
        <v>220262.074117</v>
      </c>
      <c r="Q69" s="2">
        <v>498024.14231928</v>
      </c>
      <c r="R69" s="2">
        <v>289818.518575</v>
      </c>
      <c r="S69" s="2">
        <v>324596.740804</v>
      </c>
      <c r="T69" s="2">
        <v>2585181.185689</v>
      </c>
      <c r="U69" s="2">
        <f>M69+P69+Q69+R69+S69+T69</f>
        <v>11547355.162991155</v>
      </c>
      <c r="V69" s="2">
        <f>F69-K69-L69-U69</f>
        <v>7993692.516909204</v>
      </c>
      <c r="W69" s="2">
        <v>152655.5983310489</v>
      </c>
      <c r="X69" s="2">
        <v>234998.0732826204</v>
      </c>
      <c r="Y69" s="2">
        <f>W69+X69</f>
        <v>387653.6716136693</v>
      </c>
      <c r="Z69" s="2">
        <v>15852991.13498403</v>
      </c>
      <c r="AA69" s="2">
        <v>0</v>
      </c>
      <c r="AB69" s="2">
        <v>0</v>
      </c>
      <c r="AC69" s="2">
        <v>0</v>
      </c>
      <c r="AD69" s="2">
        <v>491246.2467370073</v>
      </c>
      <c r="AE69" s="2">
        <v>1964984.986948027</v>
      </c>
      <c r="AF69" s="2">
        <f>F69-H69-L69-U69-AA69-AC69-AD69</f>
        <v>4793754.414635476</v>
      </c>
      <c r="AG69" s="2">
        <f>F69-H69-L69-U69-AA69-AB69-AD69-Y69</f>
        <v>4406100.743021807</v>
      </c>
      <c r="AH69" s="2">
        <f>AH68+AG69</f>
        <v>99414312.54561386</v>
      </c>
      <c r="AI69" s="2">
        <v>36929865.30381447</v>
      </c>
      <c r="AJ69" s="2">
        <f>AH69-AI69</f>
        <v>62484447.241799384</v>
      </c>
      <c r="AK69" s="3">
        <v>0.25</v>
      </c>
    </row>
    <row r="70" spans="1:37">
      <c r="A70" s="2">
        <v>69</v>
      </c>
      <c r="B70" s="2">
        <v>2032</v>
      </c>
      <c r="C70" s="2">
        <v>98</v>
      </c>
      <c r="D70" s="2">
        <v>405734.333264257</v>
      </c>
      <c r="E70" s="2">
        <v>39761964.65989719</v>
      </c>
      <c r="F70" s="2">
        <f>E70/1.19</f>
        <v>33413415.680585872</v>
      </c>
      <c r="G70" s="2">
        <v>120</v>
      </c>
      <c r="H70" s="2">
        <v>10467227.84711928</v>
      </c>
      <c r="I70" s="2">
        <v>241</v>
      </c>
      <c r="J70" s="2">
        <v>21013534.22798705</v>
      </c>
      <c r="K70" s="2">
        <v>8544922.632127512</v>
      </c>
      <c r="L70" s="2">
        <v>3353345.19925346</v>
      </c>
      <c r="M70" s="2">
        <v>7629472.501486875</v>
      </c>
      <c r="N70" s="3">
        <v>1.5</v>
      </c>
      <c r="O70" s="3">
        <v>2</v>
      </c>
      <c r="P70" s="2">
        <v>220262.074117</v>
      </c>
      <c r="Q70" s="2">
        <v>498024.14231928</v>
      </c>
      <c r="R70" s="2">
        <v>289818.518575</v>
      </c>
      <c r="S70" s="2">
        <v>324596.740804</v>
      </c>
      <c r="T70" s="2">
        <v>2585181.185689</v>
      </c>
      <c r="U70" s="2">
        <f>M70+P70+Q70+R70+S70+T70</f>
        <v>11547355.162991155</v>
      </c>
      <c r="V70" s="2">
        <f>F70-K70-L70-U70</f>
        <v>9967792.686213743</v>
      </c>
      <c r="W70" s="2">
        <v>150425.7502736441</v>
      </c>
      <c r="X70" s="2">
        <v>237227.9213400252</v>
      </c>
      <c r="Y70" s="2">
        <f>W70+X70</f>
        <v>387653.6716136693</v>
      </c>
      <c r="Z70" s="2">
        <v>15615763.21364401</v>
      </c>
      <c r="AA70" s="2">
        <v>0</v>
      </c>
      <c r="AB70" s="2">
        <v>0</v>
      </c>
      <c r="AC70" s="2">
        <v>0</v>
      </c>
      <c r="AD70" s="2">
        <v>0</v>
      </c>
      <c r="AE70" s="2">
        <v>1964984.986948027</v>
      </c>
      <c r="AF70" s="2">
        <f>F70-H70-L70-U70-AA70-AC70-AD70</f>
        <v>8045487.47122198</v>
      </c>
      <c r="AG70" s="2">
        <f>F70-H70-L70-U70-AA70-AB70-AD70-Y70</f>
        <v>7657833.799608311</v>
      </c>
      <c r="AH70" s="2">
        <f>AH69+AG70</f>
        <v>107072146.34522216</v>
      </c>
      <c r="AI70" s="2">
        <v>36929865.30381447</v>
      </c>
      <c r="AJ70" s="2">
        <f>AH70-AI70</f>
        <v>70142281.04140769</v>
      </c>
      <c r="AK70" s="3">
        <v>0.25</v>
      </c>
    </row>
    <row r="71" spans="1:37">
      <c r="A71" s="2">
        <v>70</v>
      </c>
      <c r="B71" s="2">
        <v>2032</v>
      </c>
      <c r="C71" s="2">
        <v>116</v>
      </c>
      <c r="D71" s="2">
        <v>405734.333264257</v>
      </c>
      <c r="E71" s="2">
        <v>47065182.65865382</v>
      </c>
      <c r="F71" s="2">
        <f>E71/1.19</f>
        <v>39550573.6627343</v>
      </c>
      <c r="G71" s="2">
        <v>160</v>
      </c>
      <c r="H71" s="2">
        <v>13956303.79615904</v>
      </c>
      <c r="I71" s="2">
        <v>285</v>
      </c>
      <c r="J71" s="2">
        <v>24853874.90494173</v>
      </c>
      <c r="K71" s="2">
        <v>10115963.11920436</v>
      </c>
      <c r="L71" s="2">
        <v>3969390.938181839</v>
      </c>
      <c r="M71" s="2">
        <v>7629472.501486875</v>
      </c>
      <c r="N71" s="3">
        <v>1.5</v>
      </c>
      <c r="O71" s="3">
        <v>2</v>
      </c>
      <c r="P71" s="2">
        <v>220262.074117</v>
      </c>
      <c r="Q71" s="2">
        <v>498024.14231928</v>
      </c>
      <c r="R71" s="2">
        <v>289818.518575</v>
      </c>
      <c r="S71" s="2">
        <v>324596.740804</v>
      </c>
      <c r="T71" s="2">
        <v>2585181.185689</v>
      </c>
      <c r="U71" s="2">
        <f>M71+P71+Q71+R71+S71+T71</f>
        <v>11547355.162991155</v>
      </c>
      <c r="V71" s="2">
        <f>F71-K71-L71-U71</f>
        <v>13917864.442356948</v>
      </c>
      <c r="W71" s="2">
        <v>148174.7436497471</v>
      </c>
      <c r="X71" s="2">
        <v>239478.9279639222</v>
      </c>
      <c r="Y71" s="2">
        <f>W71+X71</f>
        <v>387653.6716136693</v>
      </c>
      <c r="Z71" s="2">
        <v>15376284.28568008</v>
      </c>
      <c r="AA71" s="2">
        <v>0</v>
      </c>
      <c r="AB71" s="2">
        <v>0</v>
      </c>
      <c r="AC71" s="2">
        <v>0</v>
      </c>
      <c r="AD71" s="2">
        <v>654994.995649342</v>
      </c>
      <c r="AE71" s="2">
        <v>2619979.982597369</v>
      </c>
      <c r="AF71" s="2">
        <f>F71-H71-L71-U71-AA71-AC71-AD71</f>
        <v>9422528.769752927</v>
      </c>
      <c r="AG71" s="2">
        <f>F71-H71-L71-U71-AA71-AB71-AD71-Y71</f>
        <v>9034875.098139258</v>
      </c>
      <c r="AH71" s="2">
        <f>AH70+AG71</f>
        <v>116107021.44336142</v>
      </c>
      <c r="AI71" s="2">
        <v>36929865.30381447</v>
      </c>
      <c r="AJ71" s="2">
        <f>AH71-AI71</f>
        <v>79177156.13954695</v>
      </c>
      <c r="AK71" s="3">
        <v>0.25</v>
      </c>
    </row>
    <row r="72" spans="1:37">
      <c r="A72" s="2">
        <v>71</v>
      </c>
      <c r="B72" s="2">
        <v>2032</v>
      </c>
      <c r="C72" s="2">
        <v>125</v>
      </c>
      <c r="D72" s="2">
        <v>405734.333264257</v>
      </c>
      <c r="E72" s="2">
        <v>50716791.65803213</v>
      </c>
      <c r="F72" s="2">
        <f>E72/1.19</f>
        <v>42619152.65380851</v>
      </c>
      <c r="G72" s="2">
        <v>20</v>
      </c>
      <c r="H72" s="2">
        <v>1744537.97451988</v>
      </c>
      <c r="I72" s="2">
        <v>180</v>
      </c>
      <c r="J72" s="2">
        <v>15697423.99443636</v>
      </c>
      <c r="K72" s="2">
        <v>10900988.88502525</v>
      </c>
      <c r="L72" s="2">
        <v>4277374.249428626</v>
      </c>
      <c r="M72" s="2">
        <v>7629472.501486875</v>
      </c>
      <c r="N72" s="3">
        <v>1.5</v>
      </c>
      <c r="O72" s="3">
        <v>2</v>
      </c>
      <c r="P72" s="2">
        <v>220262.074117</v>
      </c>
      <c r="Q72" s="2">
        <v>498024.14231928</v>
      </c>
      <c r="R72" s="2">
        <v>289818.518575</v>
      </c>
      <c r="S72" s="2">
        <v>324596.740804</v>
      </c>
      <c r="T72" s="2">
        <v>2585181.185689</v>
      </c>
      <c r="U72" s="2">
        <f>M72+P72+Q72+R72+S72+T72</f>
        <v>11547355.162991155</v>
      </c>
      <c r="V72" s="2">
        <f>F72-K72-L72-U72</f>
        <v>15893434.356363483</v>
      </c>
      <c r="W72" s="2">
        <v>145902.3776901015</v>
      </c>
      <c r="X72" s="2">
        <v>241751.2939235678</v>
      </c>
      <c r="Y72" s="2">
        <f>W72+X72</f>
        <v>387653.6716136693</v>
      </c>
      <c r="Z72" s="2">
        <v>15134532.99175652</v>
      </c>
      <c r="AA72" s="2">
        <v>0</v>
      </c>
      <c r="AB72" s="2">
        <v>0</v>
      </c>
      <c r="AC72" s="2">
        <v>0</v>
      </c>
      <c r="AD72" s="2">
        <v>-2292482.484772698</v>
      </c>
      <c r="AE72" s="2">
        <v>327497.4978246712</v>
      </c>
      <c r="AF72" s="2">
        <f>F72-H72-L72-U72-AA72-AC72-AD72</f>
        <v>27342367.751641553</v>
      </c>
      <c r="AG72" s="2">
        <f>F72-H72-L72-U72-AA72-AB72-AD72-Y72</f>
        <v>26954714.080027882</v>
      </c>
      <c r="AH72" s="2">
        <f>AH71+AG72</f>
        <v>143061735.5233893</v>
      </c>
      <c r="AI72" s="2">
        <v>36929865.30381447</v>
      </c>
      <c r="AJ72" s="2">
        <f>AH72-AI72</f>
        <v>106131870.21957484</v>
      </c>
      <c r="AK72" s="3">
        <v>0.25</v>
      </c>
    </row>
    <row r="73" spans="1:37">
      <c r="A73" s="2">
        <v>72</v>
      </c>
      <c r="B73" s="2">
        <v>2032</v>
      </c>
      <c r="C73" s="2">
        <v>152</v>
      </c>
      <c r="D73" s="2">
        <v>405734.333264257</v>
      </c>
      <c r="E73" s="2">
        <v>61671618.65616707</v>
      </c>
      <c r="F73" s="2">
        <f>E73/1.19</f>
        <v>51824889.627031155</v>
      </c>
      <c r="G73" s="2">
        <v>20</v>
      </c>
      <c r="H73" s="2">
        <v>1744537.97451988</v>
      </c>
      <c r="I73" s="2">
        <v>48</v>
      </c>
      <c r="J73" s="2">
        <v>4186070.8725495</v>
      </c>
      <c r="K73" s="2">
        <v>13255891.09640674</v>
      </c>
      <c r="L73" s="2">
        <v>5201310.176282493</v>
      </c>
      <c r="M73" s="2">
        <v>7629472.501486875</v>
      </c>
      <c r="N73" s="3">
        <v>1.5</v>
      </c>
      <c r="O73" s="3">
        <v>2</v>
      </c>
      <c r="P73" s="2">
        <v>220262.074117</v>
      </c>
      <c r="Q73" s="2">
        <v>498024.14231928</v>
      </c>
      <c r="R73" s="2">
        <v>289818.518575</v>
      </c>
      <c r="S73" s="2">
        <v>324596.740804</v>
      </c>
      <c r="T73" s="2">
        <v>2585181.185689</v>
      </c>
      <c r="U73" s="2">
        <f>M73+P73+Q73+R73+S73+T73</f>
        <v>11547355.162991155</v>
      </c>
      <c r="V73" s="2">
        <f>F73-K73-L73-U73</f>
        <v>21820333.19135076</v>
      </c>
      <c r="W73" s="2">
        <v>143608.4497203932</v>
      </c>
      <c r="X73" s="2">
        <v>244045.2218932761</v>
      </c>
      <c r="Y73" s="2">
        <f>W73+X73</f>
        <v>387653.6716136693</v>
      </c>
      <c r="Z73" s="2">
        <v>14890487.76986324</v>
      </c>
      <c r="AA73" s="2">
        <v>0</v>
      </c>
      <c r="AB73" s="2">
        <v>13886370.00615665</v>
      </c>
      <c r="AC73" s="2">
        <v>14353883.96411282</v>
      </c>
      <c r="AD73" s="2">
        <v>0</v>
      </c>
      <c r="AE73" s="2">
        <v>327497.4978246712</v>
      </c>
      <c r="AF73" s="2">
        <f>F73-H73-L73-U73-AA73-AC73-AD73</f>
        <v>18977802.349124808</v>
      </c>
      <c r="AG73" s="2">
        <f>F73-H73-L73-U73-AA73-AB73-AD73-Y73</f>
        <v>19057662.635467302</v>
      </c>
      <c r="AH73" s="2">
        <f>AH72+AG73</f>
        <v>162119398.1588566</v>
      </c>
      <c r="AI73" s="2">
        <v>36929865.30381447</v>
      </c>
      <c r="AJ73" s="2">
        <f>AH73-AI73</f>
        <v>125189532.85504213</v>
      </c>
      <c r="AK73" s="3">
        <v>0.25</v>
      </c>
    </row>
    <row r="74" spans="1:37">
      <c r="A74" s="2">
        <v>73</v>
      </c>
      <c r="B74" s="2">
        <v>2033</v>
      </c>
      <c r="C74" s="2">
        <v>19</v>
      </c>
      <c r="D74" s="2">
        <v>417906.3632621848</v>
      </c>
      <c r="E74" s="2">
        <v>7940220.90198151</v>
      </c>
      <c r="F74" s="2">
        <f>E74/1.19</f>
        <v>6672454.539480261</v>
      </c>
      <c r="G74" s="2">
        <v>40</v>
      </c>
      <c r="H74" s="2">
        <v>3593748.227510952</v>
      </c>
      <c r="I74" s="2">
        <v>69</v>
      </c>
      <c r="J74" s="2">
        <v>6100085.430729219</v>
      </c>
      <c r="K74" s="2">
        <v>1679733.669331234</v>
      </c>
      <c r="L74" s="2">
        <v>667511.7004498802</v>
      </c>
      <c r="M74" s="2">
        <v>7858356.676531482</v>
      </c>
      <c r="N74" s="3">
        <v>1.5</v>
      </c>
      <c r="O74" s="3">
        <v>2</v>
      </c>
      <c r="P74" s="2">
        <v>226869.93634051</v>
      </c>
      <c r="Q74" s="2">
        <v>580369.1187279205</v>
      </c>
      <c r="R74" s="2">
        <v>298513.07413225</v>
      </c>
      <c r="S74" s="2">
        <v>334334.64302812</v>
      </c>
      <c r="T74" s="2">
        <v>2797067.504619183</v>
      </c>
      <c r="U74" s="2">
        <f>M74+P74+Q74+R74+S74+T74</f>
        <v>12095510.953379465</v>
      </c>
      <c r="V74" s="2">
        <f>F74-K74-L74-U74</f>
        <v>-7770301.783680319</v>
      </c>
      <c r="W74" s="2">
        <v>141292.7551431736</v>
      </c>
      <c r="X74" s="2">
        <v>246360.9164704958</v>
      </c>
      <c r="Y74" s="2">
        <f>W74+X74</f>
        <v>387653.6716136693</v>
      </c>
      <c r="Z74" s="2">
        <v>14644126.85339274</v>
      </c>
      <c r="AA74" s="2">
        <v>1791078.4447935</v>
      </c>
      <c r="AB74" s="2">
        <v>0</v>
      </c>
      <c r="AC74" s="2">
        <v>0</v>
      </c>
      <c r="AD74" s="2">
        <v>347147.3476941514</v>
      </c>
      <c r="AE74" s="2">
        <v>674644.8455188225</v>
      </c>
      <c r="AF74" s="2">
        <f>F74-H74-L74-U74-AA74-AC74-AD74</f>
        <v>-11822542.134347688</v>
      </c>
      <c r="AG74" s="2">
        <f>F74-H74-L74-U74-AA74-AB74-AD74-Y74</f>
        <v>-12210195.805961357</v>
      </c>
      <c r="AH74" s="2">
        <f>AH73+AG74</f>
        <v>149909202.35289523</v>
      </c>
      <c r="AI74" s="2">
        <v>38574332.6749794</v>
      </c>
      <c r="AJ74" s="2">
        <f>AH74-AI74</f>
        <v>111334869.67791583</v>
      </c>
      <c r="AK74" s="3">
        <v>0.25</v>
      </c>
    </row>
    <row r="75" spans="1:37">
      <c r="A75" s="2">
        <v>74</v>
      </c>
      <c r="B75" s="2">
        <v>2033</v>
      </c>
      <c r="C75" s="2">
        <v>28</v>
      </c>
      <c r="D75" s="2">
        <v>417906.3632621848</v>
      </c>
      <c r="E75" s="2">
        <v>11701378.17134117</v>
      </c>
      <c r="F75" s="2">
        <f>E75/1.19</f>
        <v>9833090.9002867</v>
      </c>
      <c r="G75" s="2">
        <v>50</v>
      </c>
      <c r="H75" s="2">
        <v>4492185.28438869</v>
      </c>
      <c r="I75" s="2">
        <v>91</v>
      </c>
      <c r="J75" s="2">
        <v>8099971.723325459</v>
      </c>
      <c r="K75" s="2">
        <v>2492298.991792449</v>
      </c>
      <c r="L75" s="2">
        <v>985053.6137273267</v>
      </c>
      <c r="M75" s="2">
        <v>7858356.676531482</v>
      </c>
      <c r="N75" s="3">
        <v>1.5</v>
      </c>
      <c r="O75" s="3">
        <v>2</v>
      </c>
      <c r="P75" s="2">
        <v>226869.93634051</v>
      </c>
      <c r="Q75" s="2">
        <v>580369.1187279205</v>
      </c>
      <c r="R75" s="2">
        <v>298513.07413225</v>
      </c>
      <c r="S75" s="2">
        <v>334334.64302812</v>
      </c>
      <c r="T75" s="2">
        <v>2797067.504619183</v>
      </c>
      <c r="U75" s="2">
        <f>M75+P75+Q75+R75+S75+T75</f>
        <v>12095510.953379465</v>
      </c>
      <c r="V75" s="2">
        <f>F75-K75-L75-U75</f>
        <v>-5739772.658612541</v>
      </c>
      <c r="W75" s="2">
        <v>138955.0874196109</v>
      </c>
      <c r="X75" s="2">
        <v>248698.5841940584</v>
      </c>
      <c r="Y75" s="2">
        <f>W75+X75</f>
        <v>387653.6716136693</v>
      </c>
      <c r="Z75" s="2">
        <v>14395428.26919869</v>
      </c>
      <c r="AA75" s="2">
        <v>0</v>
      </c>
      <c r="AB75" s="2">
        <v>0</v>
      </c>
      <c r="AC75" s="2">
        <v>0</v>
      </c>
      <c r="AD75" s="2">
        <v>168661.2113797057</v>
      </c>
      <c r="AE75" s="2">
        <v>843306.0568985282</v>
      </c>
      <c r="AF75" s="2">
        <f>F75-H75-L75-U75-AA75-AC75-AD75</f>
        <v>-7908320.162588487</v>
      </c>
      <c r="AG75" s="2">
        <f>F75-H75-L75-U75-AA75-AB75-AD75-Y75</f>
        <v>-8295973.834202156</v>
      </c>
      <c r="AH75" s="2">
        <f>AH74+AG75</f>
        <v>141613228.51869306</v>
      </c>
      <c r="AI75" s="2">
        <v>38574332.6749794</v>
      </c>
      <c r="AJ75" s="2">
        <f>AH75-AI75</f>
        <v>103038895.84371366</v>
      </c>
      <c r="AK75" s="3">
        <v>0.25</v>
      </c>
    </row>
    <row r="76" spans="1:37">
      <c r="A76" s="2">
        <v>75</v>
      </c>
      <c r="B76" s="2">
        <v>2033</v>
      </c>
      <c r="C76" s="2">
        <v>37</v>
      </c>
      <c r="D76" s="2">
        <v>417906.3632621848</v>
      </c>
      <c r="E76" s="2">
        <v>15462535.44070084</v>
      </c>
      <c r="F76" s="2">
        <f>E76/1.19</f>
        <v>12993727.26109314</v>
      </c>
      <c r="G76" s="2">
        <v>50</v>
      </c>
      <c r="H76" s="2">
        <v>4492185.28438869</v>
      </c>
      <c r="I76" s="2">
        <v>104</v>
      </c>
      <c r="J76" s="2">
        <v>9287832.119165046</v>
      </c>
      <c r="K76" s="2">
        <v>3304324.888549103</v>
      </c>
      <c r="L76" s="2">
        <v>1302552.372948408</v>
      </c>
      <c r="M76" s="2">
        <v>7858356.676531482</v>
      </c>
      <c r="N76" s="3">
        <v>1.5</v>
      </c>
      <c r="O76" s="3">
        <v>2</v>
      </c>
      <c r="P76" s="2">
        <v>226869.93634051</v>
      </c>
      <c r="Q76" s="2">
        <v>580369.1187279205</v>
      </c>
      <c r="R76" s="2">
        <v>298513.07413225</v>
      </c>
      <c r="S76" s="2">
        <v>334334.64302812</v>
      </c>
      <c r="T76" s="2">
        <v>2797067.504619183</v>
      </c>
      <c r="U76" s="2">
        <f>M76+P76+Q76+R76+S76+T76</f>
        <v>12095510.953379465</v>
      </c>
      <c r="V76" s="2">
        <f>F76-K76-L76-U76</f>
        <v>-3708660.953783836</v>
      </c>
      <c r="W76" s="2">
        <v>136595.2380510695</v>
      </c>
      <c r="X76" s="2">
        <v>251058.4335625998</v>
      </c>
      <c r="Y76" s="2">
        <f>W76+X76</f>
        <v>387653.6716136693</v>
      </c>
      <c r="Z76" s="2">
        <v>14144369.83563609</v>
      </c>
      <c r="AA76" s="2">
        <v>0</v>
      </c>
      <c r="AB76" s="2">
        <v>0</v>
      </c>
      <c r="AC76" s="2">
        <v>0</v>
      </c>
      <c r="AD76" s="2">
        <v>0</v>
      </c>
      <c r="AE76" s="2">
        <v>843306.0568985282</v>
      </c>
      <c r="AF76" s="2">
        <f>F76-H76-L76-U76-AA76-AC76-AD76</f>
        <v>-4896521.349623425</v>
      </c>
      <c r="AG76" s="2">
        <f>F76-H76-L76-U76-AA76-AB76-AD76-Y76</f>
        <v>-5284175.021237094</v>
      </c>
      <c r="AH76" s="2">
        <f>AH75+AG76</f>
        <v>136329053.49745595</v>
      </c>
      <c r="AI76" s="2">
        <v>38574332.6749794</v>
      </c>
      <c r="AJ76" s="2">
        <f>AH76-AI76</f>
        <v>97754720.82247655</v>
      </c>
      <c r="AK76" s="3">
        <v>0.25</v>
      </c>
    </row>
    <row r="77" spans="1:37">
      <c r="A77" s="2">
        <v>76</v>
      </c>
      <c r="B77" s="2">
        <v>2033</v>
      </c>
      <c r="C77" s="2">
        <v>47</v>
      </c>
      <c r="D77" s="2">
        <v>417906.3632621848</v>
      </c>
      <c r="E77" s="2">
        <v>19641599.07332268</v>
      </c>
      <c r="F77" s="2">
        <f>E77/1.19</f>
        <v>16505545.439766962</v>
      </c>
      <c r="G77" s="2">
        <v>70</v>
      </c>
      <c r="H77" s="2">
        <v>6289059.398144167</v>
      </c>
      <c r="I77" s="2">
        <v>127</v>
      </c>
      <c r="J77" s="2">
        <v>11369340.36033488</v>
      </c>
      <c r="K77" s="2">
        <v>4207551.156974328</v>
      </c>
      <c r="L77" s="2">
        <v>1655406.793845259</v>
      </c>
      <c r="M77" s="2">
        <v>7858356.676531482</v>
      </c>
      <c r="N77" s="3">
        <v>1.5</v>
      </c>
      <c r="O77" s="3">
        <v>2</v>
      </c>
      <c r="P77" s="2">
        <v>226869.93634051</v>
      </c>
      <c r="Q77" s="2">
        <v>580369.1187279205</v>
      </c>
      <c r="R77" s="2">
        <v>298513.07413225</v>
      </c>
      <c r="S77" s="2">
        <v>334334.64302812</v>
      </c>
      <c r="T77" s="2">
        <v>2797067.504619183</v>
      </c>
      <c r="U77" s="2">
        <f>M77+P77+Q77+R77+S77+T77</f>
        <v>12095510.953379465</v>
      </c>
      <c r="V77" s="2">
        <f>F77-K77-L77-U77</f>
        <v>-1452923.4644320887</v>
      </c>
      <c r="W77" s="2">
        <v>134212.9965605132</v>
      </c>
      <c r="X77" s="2">
        <v>253440.6750531561</v>
      </c>
      <c r="Y77" s="2">
        <f>W77+X77</f>
        <v>387653.6716136693</v>
      </c>
      <c r="Z77" s="2">
        <v>13890929.16058293</v>
      </c>
      <c r="AA77" s="2">
        <v>0</v>
      </c>
      <c r="AB77" s="2">
        <v>0</v>
      </c>
      <c r="AC77" s="2">
        <v>0</v>
      </c>
      <c r="AD77" s="2">
        <v>337322.4227594114</v>
      </c>
      <c r="AE77" s="2">
        <v>1180628.47965794</v>
      </c>
      <c r="AF77" s="2">
        <f>F77-H77-L77-U77-AA77-AC77-AD77</f>
        <v>-3871754.12836134</v>
      </c>
      <c r="AG77" s="2">
        <f>F77-H77-L77-U77-AA77-AB77-AD77-Y77</f>
        <v>-4259407.79997501</v>
      </c>
      <c r="AH77" s="2">
        <f>AH76+AG77</f>
        <v>132069645.69748095</v>
      </c>
      <c r="AI77" s="2">
        <v>38574332.6749794</v>
      </c>
      <c r="AJ77" s="2">
        <f>AH77-AI77</f>
        <v>93495313.02250154</v>
      </c>
      <c r="AK77" s="3">
        <v>0.25</v>
      </c>
    </row>
    <row r="78" spans="1:37">
      <c r="A78" s="2">
        <v>77</v>
      </c>
      <c r="B78" s="2">
        <v>2033</v>
      </c>
      <c r="C78" s="2">
        <v>56</v>
      </c>
      <c r="D78" s="2">
        <v>417906.3632621848</v>
      </c>
      <c r="E78" s="2">
        <v>23402756.34268235</v>
      </c>
      <c r="F78" s="2">
        <f>E78/1.19</f>
        <v>19666181.8005734</v>
      </c>
      <c r="G78" s="2">
        <v>70</v>
      </c>
      <c r="H78" s="2">
        <v>6289059.398144167</v>
      </c>
      <c r="I78" s="2">
        <v>141</v>
      </c>
      <c r="J78" s="2">
        <v>12638753.12662714</v>
      </c>
      <c r="K78" s="2">
        <v>5019646.631851913</v>
      </c>
      <c r="L78" s="2">
        <v>1972911.119316015</v>
      </c>
      <c r="M78" s="2">
        <v>7858356.676531482</v>
      </c>
      <c r="N78" s="3">
        <v>1.5</v>
      </c>
      <c r="O78" s="3">
        <v>2</v>
      </c>
      <c r="P78" s="2">
        <v>226869.93634051</v>
      </c>
      <c r="Q78" s="2">
        <v>580369.1187279205</v>
      </c>
      <c r="R78" s="2">
        <v>298513.07413225</v>
      </c>
      <c r="S78" s="2">
        <v>334334.64302812</v>
      </c>
      <c r="T78" s="2">
        <v>2797067.504619183</v>
      </c>
      <c r="U78" s="2">
        <f>M78+P78+Q78+R78+S78+T78</f>
        <v>12095510.953379465</v>
      </c>
      <c r="V78" s="2">
        <f>F78-K78-L78-U78</f>
        <v>578113.0960260071</v>
      </c>
      <c r="W78" s="2">
        <v>131808.1504737329</v>
      </c>
      <c r="X78" s="2">
        <v>255845.5211399364</v>
      </c>
      <c r="Y78" s="2">
        <f>W78+X78</f>
        <v>387653.6716136693</v>
      </c>
      <c r="Z78" s="2">
        <v>13635083.63944299</v>
      </c>
      <c r="AA78" s="2">
        <v>0</v>
      </c>
      <c r="AB78" s="2">
        <v>0</v>
      </c>
      <c r="AC78" s="2">
        <v>0</v>
      </c>
      <c r="AD78" s="2">
        <v>0</v>
      </c>
      <c r="AE78" s="2">
        <v>1180628.47965794</v>
      </c>
      <c r="AF78" s="2">
        <f>F78-H78-L78-U78-AA78-AC78-AD78</f>
        <v>-691299.6702662464</v>
      </c>
      <c r="AG78" s="2">
        <f>F78-H78-L78-U78-AA78-AB78-AD78-Y78</f>
        <v>-1078953.3418799157</v>
      </c>
      <c r="AH78" s="2">
        <f>AH77+AG78</f>
        <v>130990692.35560103</v>
      </c>
      <c r="AI78" s="2">
        <v>38574332.6749794</v>
      </c>
      <c r="AJ78" s="2">
        <f>AH78-AI78</f>
        <v>92416359.68062162</v>
      </c>
      <c r="AK78" s="3">
        <v>0.25</v>
      </c>
    </row>
    <row r="79" spans="1:37">
      <c r="A79" s="2">
        <v>78</v>
      </c>
      <c r="B79" s="2">
        <v>2033</v>
      </c>
      <c r="C79" s="2">
        <v>66</v>
      </c>
      <c r="D79" s="2">
        <v>417906.3632621848</v>
      </c>
      <c r="E79" s="2">
        <v>27581819.97530419</v>
      </c>
      <c r="F79" s="2">
        <f>E79/1.19</f>
        <v>23177999.979247224</v>
      </c>
      <c r="G79" s="2">
        <v>100</v>
      </c>
      <c r="H79" s="2">
        <v>8984370.568777381</v>
      </c>
      <c r="I79" s="2">
        <v>175</v>
      </c>
      <c r="J79" s="2">
        <v>15701438.36803233</v>
      </c>
      <c r="K79" s="2">
        <v>5921685.327372192</v>
      </c>
      <c r="L79" s="2">
        <v>2325670.534380469</v>
      </c>
      <c r="M79" s="2">
        <v>7858356.676531482</v>
      </c>
      <c r="N79" s="3">
        <v>1.5</v>
      </c>
      <c r="O79" s="3">
        <v>2</v>
      </c>
      <c r="P79" s="2">
        <v>226869.93634051</v>
      </c>
      <c r="Q79" s="2">
        <v>580369.1187279205</v>
      </c>
      <c r="R79" s="2">
        <v>298513.07413225</v>
      </c>
      <c r="S79" s="2">
        <v>334334.64302812</v>
      </c>
      <c r="T79" s="2">
        <v>2797067.504619183</v>
      </c>
      <c r="U79" s="2">
        <f>M79+P79+Q79+R79+S79+T79</f>
        <v>12095510.953379465</v>
      </c>
      <c r="V79" s="2">
        <f>F79-K79-L79-U79</f>
        <v>2835133.1641150955</v>
      </c>
      <c r="W79" s="2">
        <v>129380.4853003956</v>
      </c>
      <c r="X79" s="2">
        <v>258273.1863132738</v>
      </c>
      <c r="Y79" s="2">
        <f>W79+X79</f>
        <v>387653.6716136693</v>
      </c>
      <c r="Z79" s="2">
        <v>13376810.45312972</v>
      </c>
      <c r="AA79" s="2">
        <v>0</v>
      </c>
      <c r="AB79" s="2">
        <v>0</v>
      </c>
      <c r="AC79" s="2">
        <v>0</v>
      </c>
      <c r="AD79" s="2">
        <v>505983.6341391169</v>
      </c>
      <c r="AE79" s="2">
        <v>1686612.113797056</v>
      </c>
      <c r="AF79" s="2">
        <f>F79-H79-L79-U79-AA79-AC79-AD79</f>
        <v>-733535.7114292085</v>
      </c>
      <c r="AG79" s="2">
        <f>F79-H79-L79-U79-AA79-AB79-AD79-Y79</f>
        <v>-1121189.3830428778</v>
      </c>
      <c r="AH79" s="2">
        <f>AH78+AG79</f>
        <v>129869502.97255816</v>
      </c>
      <c r="AI79" s="2">
        <v>38574332.6749794</v>
      </c>
      <c r="AJ79" s="2">
        <f>AH79-AI79</f>
        <v>91295170.29757875</v>
      </c>
      <c r="AK79" s="3">
        <v>0.25</v>
      </c>
    </row>
    <row r="80" spans="1:37">
      <c r="A80" s="2">
        <v>79</v>
      </c>
      <c r="B80" s="2">
        <v>2033</v>
      </c>
      <c r="C80" s="2">
        <v>75</v>
      </c>
      <c r="D80" s="2">
        <v>417906.3632621848</v>
      </c>
      <c r="E80" s="2">
        <v>31342977.24466386</v>
      </c>
      <c r="F80" s="2">
        <f>E80/1.19</f>
        <v>26338636.340053663</v>
      </c>
      <c r="G80" s="2">
        <v>100</v>
      </c>
      <c r="H80" s="2">
        <v>8984370.568777381</v>
      </c>
      <c r="I80" s="2">
        <v>200</v>
      </c>
      <c r="J80" s="2">
        <v>17953315.59040706</v>
      </c>
      <c r="K80" s="2">
        <v>6732493.346402646</v>
      </c>
      <c r="L80" s="2">
        <v>2643071.863383454</v>
      </c>
      <c r="M80" s="2">
        <v>7858356.676531482</v>
      </c>
      <c r="N80" s="3">
        <v>1.5</v>
      </c>
      <c r="O80" s="3">
        <v>2</v>
      </c>
      <c r="P80" s="2">
        <v>226869.93634051</v>
      </c>
      <c r="Q80" s="2">
        <v>580369.1187279205</v>
      </c>
      <c r="R80" s="2">
        <v>298513.07413225</v>
      </c>
      <c r="S80" s="2">
        <v>334334.64302812</v>
      </c>
      <c r="T80" s="2">
        <v>2797067.504619183</v>
      </c>
      <c r="U80" s="2">
        <f>M80+P80+Q80+R80+S80+T80</f>
        <v>12095510.953379465</v>
      </c>
      <c r="V80" s="2">
        <f>F80-K80-L80-U80</f>
        <v>4867560.176888099</v>
      </c>
      <c r="W80" s="2">
        <v>126929.7845149139</v>
      </c>
      <c r="X80" s="2">
        <v>260723.8870987554</v>
      </c>
      <c r="Y80" s="2">
        <f>W80+X80</f>
        <v>387653.6716136693</v>
      </c>
      <c r="Z80" s="2">
        <v>13116086.56603096</v>
      </c>
      <c r="AA80" s="2">
        <v>0</v>
      </c>
      <c r="AB80" s="2">
        <v>0</v>
      </c>
      <c r="AC80" s="2">
        <v>0</v>
      </c>
      <c r="AD80" s="2">
        <v>0</v>
      </c>
      <c r="AE80" s="2">
        <v>1686612.113797056</v>
      </c>
      <c r="AF80" s="2">
        <f>F80-H80-L80-U80-AA80-AC80-AD80</f>
        <v>2615682.9545133617</v>
      </c>
      <c r="AG80" s="2">
        <f>F80-H80-L80-U80-AA80-AB80-AD80-Y80</f>
        <v>2228029.282899692</v>
      </c>
      <c r="AH80" s="2">
        <f>AH79+AG80</f>
        <v>132097532.25545785</v>
      </c>
      <c r="AI80" s="2">
        <v>38574332.6749794</v>
      </c>
      <c r="AJ80" s="2">
        <f>AH80-AI80</f>
        <v>93523199.58047844</v>
      </c>
      <c r="AK80" s="3">
        <v>0.25</v>
      </c>
    </row>
    <row r="81" spans="1:37">
      <c r="A81" s="2">
        <v>80</v>
      </c>
      <c r="B81" s="2">
        <v>2033</v>
      </c>
      <c r="C81" s="2">
        <v>94</v>
      </c>
      <c r="D81" s="2">
        <v>417906.3632621848</v>
      </c>
      <c r="E81" s="2">
        <v>39283198.14664537</v>
      </c>
      <c r="F81" s="2">
        <f>E81/1.19</f>
        <v>33011090.879533924</v>
      </c>
      <c r="G81" s="2">
        <v>120</v>
      </c>
      <c r="H81" s="2">
        <v>10781244.68253286</v>
      </c>
      <c r="I81" s="2">
        <v>226</v>
      </c>
      <c r="J81" s="2">
        <v>20293783.19276382</v>
      </c>
      <c r="K81" s="2">
        <v>8440777.0801761</v>
      </c>
      <c r="L81" s="2">
        <v>3312867.568988713</v>
      </c>
      <c r="M81" s="2">
        <v>7858356.676531482</v>
      </c>
      <c r="N81" s="3">
        <v>1.5</v>
      </c>
      <c r="O81" s="3">
        <v>2</v>
      </c>
      <c r="P81" s="2">
        <v>226869.93634051</v>
      </c>
      <c r="Q81" s="2">
        <v>580369.1187279205</v>
      </c>
      <c r="R81" s="2">
        <v>298513.07413225</v>
      </c>
      <c r="S81" s="2">
        <v>334334.64302812</v>
      </c>
      <c r="T81" s="2">
        <v>2797067.504619183</v>
      </c>
      <c r="U81" s="2">
        <f>M81+P81+Q81+R81+S81+T81</f>
        <v>12095510.953379465</v>
      </c>
      <c r="V81" s="2">
        <f>F81-K81-L81-U81</f>
        <v>9161935.276989648</v>
      </c>
      <c r="W81" s="2">
        <v>124455.8295371342</v>
      </c>
      <c r="X81" s="2">
        <v>263197.8420765351</v>
      </c>
      <c r="Y81" s="2">
        <f>W81+X81</f>
        <v>387653.6716136693</v>
      </c>
      <c r="Z81" s="2">
        <v>12852888.72395443</v>
      </c>
      <c r="AA81" s="2">
        <v>0</v>
      </c>
      <c r="AB81" s="2">
        <v>0</v>
      </c>
      <c r="AC81" s="2">
        <v>0</v>
      </c>
      <c r="AD81" s="2">
        <v>337322.4227594114</v>
      </c>
      <c r="AE81" s="2">
        <v>2023934.536556468</v>
      </c>
      <c r="AF81" s="2">
        <f>F81-H81-L81-U81-AA81-AC81-AD81</f>
        <v>6484145.251873475</v>
      </c>
      <c r="AG81" s="2">
        <f>F81-H81-L81-U81-AA81-AB81-AD81-Y81</f>
        <v>6096491.580259806</v>
      </c>
      <c r="AH81" s="2">
        <f>AH80+AG81</f>
        <v>138194023.83571765</v>
      </c>
      <c r="AI81" s="2">
        <v>38574332.6749794</v>
      </c>
      <c r="AJ81" s="2">
        <f>AH81-AI81</f>
        <v>99619691.16073824</v>
      </c>
      <c r="AK81" s="3">
        <v>0.25</v>
      </c>
    </row>
    <row r="82" spans="1:37">
      <c r="A82" s="2">
        <v>81</v>
      </c>
      <c r="B82" s="2">
        <v>2033</v>
      </c>
      <c r="C82" s="2">
        <v>103</v>
      </c>
      <c r="D82" s="2">
        <v>417906.3632621848</v>
      </c>
      <c r="E82" s="2">
        <v>43044355.41600503</v>
      </c>
      <c r="F82" s="2">
        <f>E82/1.19</f>
        <v>36171727.24034036</v>
      </c>
      <c r="G82" s="2">
        <v>130</v>
      </c>
      <c r="H82" s="2">
        <v>11679681.73941059</v>
      </c>
      <c r="I82" s="2">
        <v>253</v>
      </c>
      <c r="J82" s="2">
        <v>22722715.24674193</v>
      </c>
      <c r="K82" s="2">
        <v>9250749.685432484</v>
      </c>
      <c r="L82" s="2">
        <v>3630202.064889772</v>
      </c>
      <c r="M82" s="2">
        <v>7858356.676531482</v>
      </c>
      <c r="N82" s="3">
        <v>1.5</v>
      </c>
      <c r="O82" s="3">
        <v>2</v>
      </c>
      <c r="P82" s="2">
        <v>226869.93634051</v>
      </c>
      <c r="Q82" s="2">
        <v>580369.1187279205</v>
      </c>
      <c r="R82" s="2">
        <v>298513.07413225</v>
      </c>
      <c r="S82" s="2">
        <v>334334.64302812</v>
      </c>
      <c r="T82" s="2">
        <v>2797067.504619183</v>
      </c>
      <c r="U82" s="2">
        <f>M82+P82+Q82+R82+S82+T82</f>
        <v>12095510.953379465</v>
      </c>
      <c r="V82" s="2">
        <f>F82-K82-L82-U82</f>
        <v>11195264.536638634</v>
      </c>
      <c r="W82" s="2">
        <v>121958.3997128409</v>
      </c>
      <c r="X82" s="2">
        <v>265695.2719008284</v>
      </c>
      <c r="Y82" s="2">
        <f>W82+X82</f>
        <v>387653.6716136693</v>
      </c>
      <c r="Z82" s="2">
        <v>12587193.4520536</v>
      </c>
      <c r="AA82" s="2">
        <v>0</v>
      </c>
      <c r="AB82" s="2">
        <v>0</v>
      </c>
      <c r="AC82" s="2">
        <v>0</v>
      </c>
      <c r="AD82" s="2">
        <v>168661.2113797055</v>
      </c>
      <c r="AE82" s="2">
        <v>2192595.747936173</v>
      </c>
      <c r="AF82" s="2">
        <f>F82-H82-L82-U82-AA82-AC82-AD82</f>
        <v>8597671.271280821</v>
      </c>
      <c r="AG82" s="2">
        <f>F82-H82-L82-U82-AA82-AB82-AD82-Y82</f>
        <v>8210017.599667152</v>
      </c>
      <c r="AH82" s="2">
        <f>AH81+AG82</f>
        <v>146404041.4353848</v>
      </c>
      <c r="AI82" s="2">
        <v>38574332.6749794</v>
      </c>
      <c r="AJ82" s="2">
        <f>AH82-AI82</f>
        <v>107829708.7604054</v>
      </c>
      <c r="AK82" s="3">
        <v>0.25</v>
      </c>
    </row>
    <row r="83" spans="1:37">
      <c r="A83" s="2">
        <v>82</v>
      </c>
      <c r="B83" s="2">
        <v>2033</v>
      </c>
      <c r="C83" s="2">
        <v>122</v>
      </c>
      <c r="D83" s="2">
        <v>417906.3632621848</v>
      </c>
      <c r="E83" s="2">
        <v>50984576.31798654</v>
      </c>
      <c r="F83" s="2">
        <f>E83/1.19</f>
        <v>42844181.77982062</v>
      </c>
      <c r="G83" s="2">
        <v>160</v>
      </c>
      <c r="H83" s="2">
        <v>14374992.91004381</v>
      </c>
      <c r="I83" s="2">
        <v>291</v>
      </c>
      <c r="J83" s="2">
        <v>26139063.13226307</v>
      </c>
      <c r="K83" s="2">
        <v>10958645.02452267</v>
      </c>
      <c r="L83" s="2">
        <v>4299966.698920369</v>
      </c>
      <c r="M83" s="2">
        <v>7858356.676531482</v>
      </c>
      <c r="N83" s="3">
        <v>1.5</v>
      </c>
      <c r="O83" s="3">
        <v>2</v>
      </c>
      <c r="P83" s="2">
        <v>226869.93634051</v>
      </c>
      <c r="Q83" s="2">
        <v>580369.1187279205</v>
      </c>
      <c r="R83" s="2">
        <v>298513.07413225</v>
      </c>
      <c r="S83" s="2">
        <v>334334.64302812</v>
      </c>
      <c r="T83" s="2">
        <v>2797067.504619183</v>
      </c>
      <c r="U83" s="2">
        <f>M83+P83+Q83+R83+S83+T83</f>
        <v>12095510.953379465</v>
      </c>
      <c r="V83" s="2">
        <f>F83-K83-L83-U83</f>
        <v>15490059.10299812</v>
      </c>
      <c r="W83" s="2">
        <v>119437.2722940762</v>
      </c>
      <c r="X83" s="2">
        <v>268216.3993195931</v>
      </c>
      <c r="Y83" s="2">
        <f>W83+X83</f>
        <v>387653.67161366926</v>
      </c>
      <c r="Z83" s="2">
        <v>12318977.05273401</v>
      </c>
      <c r="AA83" s="2">
        <v>0</v>
      </c>
      <c r="AB83" s="2">
        <v>0</v>
      </c>
      <c r="AC83" s="2">
        <v>0</v>
      </c>
      <c r="AD83" s="2">
        <v>505983.6341391169</v>
      </c>
      <c r="AE83" s="2">
        <v>2698579.38207529</v>
      </c>
      <c r="AF83" s="2">
        <f>F83-H83-L83-U83-AA83-AC83-AD83</f>
        <v>11567727.58333786</v>
      </c>
      <c r="AG83" s="2">
        <f>F83-H83-L83-U83-AA83-AB83-AD83-Y83</f>
        <v>11180073.911724191</v>
      </c>
      <c r="AH83" s="2">
        <f>AH82+AG83</f>
        <v>157584115.347109</v>
      </c>
      <c r="AI83" s="2">
        <v>38574332.6749794</v>
      </c>
      <c r="AJ83" s="2">
        <f>AH83-AI83</f>
        <v>119009782.67212959</v>
      </c>
      <c r="AK83" s="3">
        <v>0.25</v>
      </c>
    </row>
    <row r="84" spans="1:37">
      <c r="A84" s="2">
        <v>83</v>
      </c>
      <c r="B84" s="2">
        <v>2033</v>
      </c>
      <c r="C84" s="2">
        <v>131</v>
      </c>
      <c r="D84" s="2">
        <v>417906.3632621848</v>
      </c>
      <c r="E84" s="2">
        <v>54745733.5873462</v>
      </c>
      <c r="F84" s="2">
        <f>E84/1.19</f>
        <v>46004818.140627064</v>
      </c>
      <c r="G84" s="2">
        <v>20</v>
      </c>
      <c r="H84" s="2">
        <v>1796874.113755476</v>
      </c>
      <c r="I84" s="2">
        <v>180</v>
      </c>
      <c r="J84" s="2">
        <v>16168709.66007504</v>
      </c>
      <c r="K84" s="2">
        <v>11767227.5859435</v>
      </c>
      <c r="L84" s="2">
        <v>4617189.991314584</v>
      </c>
      <c r="M84" s="2">
        <v>7858356.676531482</v>
      </c>
      <c r="N84" s="3">
        <v>1.5</v>
      </c>
      <c r="O84" s="3">
        <v>2</v>
      </c>
      <c r="P84" s="2">
        <v>226869.93634051</v>
      </c>
      <c r="Q84" s="2">
        <v>580369.1187279205</v>
      </c>
      <c r="R84" s="2">
        <v>298513.07413225</v>
      </c>
      <c r="S84" s="2">
        <v>334334.64302812</v>
      </c>
      <c r="T84" s="2">
        <v>2797067.504619183</v>
      </c>
      <c r="U84" s="2">
        <f>M84+P84+Q84+R84+S84+T84</f>
        <v>12095510.953379465</v>
      </c>
      <c r="V84" s="2">
        <f>F84-K84-L84-U84</f>
        <v>17524889.60998951</v>
      </c>
      <c r="W84" s="2">
        <v>116892.2224192731</v>
      </c>
      <c r="X84" s="2">
        <v>270761.4491943962</v>
      </c>
      <c r="Y84" s="2">
        <f>W84+X84</f>
        <v>387653.6716136693</v>
      </c>
      <c r="Z84" s="2">
        <v>12048215.60353961</v>
      </c>
      <c r="AA84" s="2">
        <v>0</v>
      </c>
      <c r="AB84" s="2">
        <v>0</v>
      </c>
      <c r="AC84" s="2">
        <v>0</v>
      </c>
      <c r="AD84" s="2">
        <v>-2361256.959315879</v>
      </c>
      <c r="AE84" s="2">
        <v>337322.4227594113</v>
      </c>
      <c r="AF84" s="2">
        <f>F84-H84-L84-U84-AA84-AC84-AD84</f>
        <v>29856500.041493412</v>
      </c>
      <c r="AG84" s="2">
        <f>F84-H84-L84-U84-AA84-AB84-AD84-Y84</f>
        <v>29468846.36987974</v>
      </c>
      <c r="AH84" s="2">
        <f>AH83+AG84</f>
        <v>187052961.71698874</v>
      </c>
      <c r="AI84" s="2">
        <v>38574332.6749794</v>
      </c>
      <c r="AJ84" s="2">
        <f>AH84-AI84</f>
        <v>148478629.04200935</v>
      </c>
      <c r="AK84" s="3">
        <v>0.25</v>
      </c>
    </row>
    <row r="85" spans="1:37">
      <c r="A85" s="2">
        <v>84</v>
      </c>
      <c r="B85" s="2">
        <v>2033</v>
      </c>
      <c r="C85" s="2">
        <v>159</v>
      </c>
      <c r="D85" s="2">
        <v>417906.3632621848</v>
      </c>
      <c r="E85" s="2">
        <v>66447111.75868738</v>
      </c>
      <c r="F85" s="2">
        <f>E85/1.19</f>
        <v>55837909.04091377</v>
      </c>
      <c r="G85" s="2">
        <v>30</v>
      </c>
      <c r="H85" s="2">
        <v>2695311.170633215</v>
      </c>
      <c r="I85" s="2">
        <v>51</v>
      </c>
      <c r="J85" s="2">
        <v>4581262.201743433</v>
      </c>
      <c r="K85" s="2">
        <v>14282758.62896482</v>
      </c>
      <c r="L85" s="2">
        <v>5604102.169140222</v>
      </c>
      <c r="M85" s="2">
        <v>7858356.676531482</v>
      </c>
      <c r="N85" s="3">
        <v>1.5</v>
      </c>
      <c r="O85" s="3">
        <v>2</v>
      </c>
      <c r="P85" s="2">
        <v>226869.93634051</v>
      </c>
      <c r="Q85" s="2">
        <v>580369.1187279205</v>
      </c>
      <c r="R85" s="2">
        <v>298513.07413225</v>
      </c>
      <c r="S85" s="2">
        <v>334334.64302812</v>
      </c>
      <c r="T85" s="2">
        <v>2797067.504619183</v>
      </c>
      <c r="U85" s="2">
        <f>M85+P85+Q85+R85+S85+T85</f>
        <v>12095510.953379465</v>
      </c>
      <c r="V85" s="2">
        <f>F85-K85-L85-U85</f>
        <v>23855537.289429255</v>
      </c>
      <c r="W85" s="2">
        <v>114323.0230931999</v>
      </c>
      <c r="X85" s="2">
        <v>273330.6485204694</v>
      </c>
      <c r="Y85" s="2">
        <f>W85+X85</f>
        <v>387653.6716136693</v>
      </c>
      <c r="Z85" s="2">
        <v>11774884.95501914</v>
      </c>
      <c r="AA85" s="2">
        <v>0</v>
      </c>
      <c r="AB85" s="2">
        <v>15778580.59351455</v>
      </c>
      <c r="AC85" s="2">
        <v>16162640.90464453</v>
      </c>
      <c r="AD85" s="2">
        <v>168661.2113797057</v>
      </c>
      <c r="AE85" s="2">
        <v>505983.634139117</v>
      </c>
      <c r="AF85" s="2">
        <f>F85-H85-L85-U85-AA85-AC85-AD85</f>
        <v>19111682.63173663</v>
      </c>
      <c r="AG85" s="2">
        <f>F85-H85-L85-U85-AA85-AB85-AD85-Y85</f>
        <v>19108089.271252938</v>
      </c>
      <c r="AH85" s="2">
        <f>AH84+AG85</f>
        <v>206161050.98824167</v>
      </c>
      <c r="AI85" s="2">
        <v>38574332.6749794</v>
      </c>
      <c r="AJ85" s="2">
        <f>AH85-AI85</f>
        <v>167586718.31326228</v>
      </c>
      <c r="AK85" s="3">
        <v>0.25</v>
      </c>
    </row>
    <row r="86" spans="1:37">
      <c r="A86" s="2">
        <v>85</v>
      </c>
      <c r="B86" s="2">
        <v>2034</v>
      </c>
      <c r="C86" s="2">
        <v>20</v>
      </c>
      <c r="D86" s="2">
        <v>430443.5541600503</v>
      </c>
      <c r="E86" s="2">
        <v>8608871.083201006</v>
      </c>
      <c r="F86" s="2">
        <f>E86/1.19</f>
        <v>7234345.448068073</v>
      </c>
      <c r="G86" s="2">
        <v>40</v>
      </c>
      <c r="H86" s="2">
        <v>3701560.674336281</v>
      </c>
      <c r="I86" s="2">
        <v>71</v>
      </c>
      <c r="J86" s="2">
        <v>6462422.243974283</v>
      </c>
      <c r="K86" s="2">
        <v>1820400.632105432</v>
      </c>
      <c r="L86" s="2">
        <v>723660.4685794692</v>
      </c>
      <c r="M86" s="2">
        <v>8716731.021198768</v>
      </c>
      <c r="N86" s="3">
        <v>1.5</v>
      </c>
      <c r="O86" s="3">
        <v>2.5</v>
      </c>
      <c r="P86" s="2">
        <v>245974.773084974</v>
      </c>
      <c r="Q86" s="2">
        <v>654415.8837925735</v>
      </c>
      <c r="R86" s="2">
        <v>307468.4663562176</v>
      </c>
      <c r="S86" s="2">
        <v>344364.6823189636</v>
      </c>
      <c r="T86" s="2">
        <v>3025489.708945181</v>
      </c>
      <c r="U86" s="2">
        <f>M86+P86+Q86+R86+S86+T86</f>
        <v>13294444.535696678</v>
      </c>
      <c r="V86" s="2">
        <f>F86-K86-L86-U86</f>
        <v>-8604160.188313507</v>
      </c>
      <c r="W86" s="2">
        <v>111729.4451667138</v>
      </c>
      <c r="X86" s="2">
        <v>275924.2264469555</v>
      </c>
      <c r="Y86" s="2">
        <f>W86+X86</f>
        <v>387653.6716136693</v>
      </c>
      <c r="Z86" s="2">
        <v>11498960.72857219</v>
      </c>
      <c r="AA86" s="2">
        <v>0</v>
      </c>
      <c r="AB86" s="2">
        <v>0</v>
      </c>
      <c r="AC86" s="2">
        <v>0</v>
      </c>
      <c r="AD86" s="2">
        <v>188900.5567452704</v>
      </c>
      <c r="AE86" s="2">
        <v>694884.1908843874</v>
      </c>
      <c r="AF86" s="2">
        <f>F86-H86-L86-U86-AA86-AC86-AD86</f>
        <v>-10674220.787289625</v>
      </c>
      <c r="AG86" s="2">
        <f>F86-H86-L86-U86-AA86-AB86-AD86-Y86</f>
        <v>-11061874.458903294</v>
      </c>
      <c r="AH86" s="2">
        <f>AH85+AG86</f>
        <v>195099176.5293384</v>
      </c>
      <c r="AI86" s="2">
        <v>42171133.42193104</v>
      </c>
      <c r="AJ86" s="2">
        <f>AH86-AI86</f>
        <v>152928043.10740736</v>
      </c>
      <c r="AK86" s="3">
        <v>0.25</v>
      </c>
    </row>
    <row r="87" spans="1:37">
      <c r="A87" s="2">
        <v>86</v>
      </c>
      <c r="B87" s="2">
        <v>2034</v>
      </c>
      <c r="C87" s="2">
        <v>30</v>
      </c>
      <c r="D87" s="2">
        <v>430443.5541600503</v>
      </c>
      <c r="E87" s="2">
        <v>12913306.62480151</v>
      </c>
      <c r="F87" s="2">
        <f>E87/1.19</f>
        <v>10851518.172102109</v>
      </c>
      <c r="G87" s="2">
        <v>50</v>
      </c>
      <c r="H87" s="2">
        <v>4626950.842920351</v>
      </c>
      <c r="I87" s="2">
        <v>91</v>
      </c>
      <c r="J87" s="2">
        <v>8339941.74303646</v>
      </c>
      <c r="K87" s="2">
        <v>2749431.343858174</v>
      </c>
      <c r="L87" s="2">
        <v>1086997.134525206</v>
      </c>
      <c r="M87" s="2">
        <v>8716731.021198768</v>
      </c>
      <c r="N87" s="3">
        <v>1.5</v>
      </c>
      <c r="O87" s="3">
        <v>2.5</v>
      </c>
      <c r="P87" s="2">
        <v>245974.773084974</v>
      </c>
      <c r="Q87" s="2">
        <v>654415.8837925735</v>
      </c>
      <c r="R87" s="2">
        <v>307468.4663562176</v>
      </c>
      <c r="S87" s="2">
        <v>344364.6823189636</v>
      </c>
      <c r="T87" s="2">
        <v>3025489.708945181</v>
      </c>
      <c r="U87" s="2">
        <f>M87+P87+Q87+R87+S87+T87</f>
        <v>13294444.535696678</v>
      </c>
      <c r="V87" s="2">
        <f>F87-K87-L87-U87</f>
        <v>-6279354.841977949</v>
      </c>
      <c r="W87" s="2">
        <v>109111.2573163237</v>
      </c>
      <c r="X87" s="2">
        <v>278542.4142973457</v>
      </c>
      <c r="Y87" s="2">
        <f>W87+X87</f>
        <v>387653.6716136694</v>
      </c>
      <c r="Z87" s="2">
        <v>11220418.31427484</v>
      </c>
      <c r="AA87" s="2">
        <v>0</v>
      </c>
      <c r="AB87" s="2">
        <v>0</v>
      </c>
      <c r="AC87" s="2">
        <v>0</v>
      </c>
      <c r="AD87" s="2">
        <v>173721.0477210967</v>
      </c>
      <c r="AE87" s="2">
        <v>868605.238605484</v>
      </c>
      <c r="AF87" s="2">
        <f>F87-H87-L87-U87-AA87-AC87-AD87</f>
        <v>-8330595.388761222</v>
      </c>
      <c r="AG87" s="2">
        <f>F87-H87-L87-U87-AA87-AB87-AD87-Y87</f>
        <v>-8718249.060374891</v>
      </c>
      <c r="AH87" s="2">
        <f>AH86+AG87</f>
        <v>186380927.4689635</v>
      </c>
      <c r="AI87" s="2">
        <v>42171133.42193104</v>
      </c>
      <c r="AJ87" s="2">
        <f>AH87-AI87</f>
        <v>144209794.04703248</v>
      </c>
      <c r="AK87" s="3">
        <v>0.25</v>
      </c>
    </row>
    <row r="88" spans="1:37">
      <c r="A88" s="2">
        <v>87</v>
      </c>
      <c r="B88" s="2">
        <v>2034</v>
      </c>
      <c r="C88" s="2">
        <v>39</v>
      </c>
      <c r="D88" s="2">
        <v>430443.5541600503</v>
      </c>
      <c r="E88" s="2">
        <v>16787298.61224196</v>
      </c>
      <c r="F88" s="2">
        <f>E88/1.19</f>
        <v>14106973.623732742</v>
      </c>
      <c r="G88" s="2">
        <v>60</v>
      </c>
      <c r="H88" s="2">
        <v>5552341.011504422</v>
      </c>
      <c r="I88" s="2">
        <v>112</v>
      </c>
      <c r="J88" s="2">
        <v>10304209.72522238</v>
      </c>
      <c r="K88" s="2">
        <v>3588073.029318506</v>
      </c>
      <c r="L88" s="2">
        <v>1414201.257466998</v>
      </c>
      <c r="M88" s="2">
        <v>8716731.021198768</v>
      </c>
      <c r="N88" s="3">
        <v>1.5</v>
      </c>
      <c r="O88" s="3">
        <v>2.5</v>
      </c>
      <c r="P88" s="2">
        <v>245974.773084974</v>
      </c>
      <c r="Q88" s="2">
        <v>654415.8837925735</v>
      </c>
      <c r="R88" s="2">
        <v>307468.4663562176</v>
      </c>
      <c r="S88" s="2">
        <v>344364.6823189636</v>
      </c>
      <c r="T88" s="2">
        <v>3025489.708945181</v>
      </c>
      <c r="U88" s="2">
        <f>M88+P88+Q88+R88+S88+T88</f>
        <v>13294444.535696678</v>
      </c>
      <c r="V88" s="2">
        <f>F88-K88-L88-U88</f>
        <v>-4189745.19874944</v>
      </c>
      <c r="W88" s="2">
        <v>106468.2260235573</v>
      </c>
      <c r="X88" s="2">
        <v>281185.445590112</v>
      </c>
      <c r="Y88" s="2">
        <f>W88+X88</f>
        <v>387653.6716136693</v>
      </c>
      <c r="Z88" s="2">
        <v>10939232.86868473</v>
      </c>
      <c r="AA88" s="2">
        <v>0</v>
      </c>
      <c r="AB88" s="2">
        <v>0</v>
      </c>
      <c r="AC88" s="2">
        <v>0</v>
      </c>
      <c r="AD88" s="2">
        <v>173721.047721097</v>
      </c>
      <c r="AE88" s="2">
        <v>1042326.286326581</v>
      </c>
      <c r="AF88" s="2">
        <f>F88-H88-L88-U88-AA88-AC88-AD88</f>
        <v>-6327734.228656454</v>
      </c>
      <c r="AG88" s="2">
        <f>F88-H88-L88-U88-AA88-AB88-AD88-Y88</f>
        <v>-6715387.900270123</v>
      </c>
      <c r="AH88" s="2">
        <f>AH87+AG88</f>
        <v>179665539.56869337</v>
      </c>
      <c r="AI88" s="2">
        <v>42171133.42193104</v>
      </c>
      <c r="AJ88" s="2">
        <f>AH88-AI88</f>
        <v>137494406.14676234</v>
      </c>
      <c r="AK88" s="3">
        <v>0.25</v>
      </c>
    </row>
    <row r="89" spans="1:37">
      <c r="A89" s="2">
        <v>88</v>
      </c>
      <c r="B89" s="2">
        <v>2034</v>
      </c>
      <c r="C89" s="2">
        <v>49</v>
      </c>
      <c r="D89" s="2">
        <v>430443.5541600503</v>
      </c>
      <c r="E89" s="2">
        <v>21091734.15384246</v>
      </c>
      <c r="F89" s="2">
        <f>E89/1.19</f>
        <v>17724146.347766776</v>
      </c>
      <c r="G89" s="2">
        <v>70</v>
      </c>
      <c r="H89" s="2">
        <v>6477731.180088492</v>
      </c>
      <c r="I89" s="2">
        <v>133</v>
      </c>
      <c r="J89" s="2">
        <v>12263726.04618871</v>
      </c>
      <c r="K89" s="2">
        <v>4518214.859122157</v>
      </c>
      <c r="L89" s="2">
        <v>1777626.812856808</v>
      </c>
      <c r="M89" s="2">
        <v>8716731.021198768</v>
      </c>
      <c r="N89" s="3">
        <v>1.5</v>
      </c>
      <c r="O89" s="3">
        <v>2.5</v>
      </c>
      <c r="P89" s="2">
        <v>245974.773084974</v>
      </c>
      <c r="Q89" s="2">
        <v>654415.8837925735</v>
      </c>
      <c r="R89" s="2">
        <v>307468.4663562176</v>
      </c>
      <c r="S89" s="2">
        <v>344364.6823189636</v>
      </c>
      <c r="T89" s="2">
        <v>3025489.708945181</v>
      </c>
      <c r="U89" s="2">
        <f>M89+P89+Q89+R89+S89+T89</f>
        <v>13294444.535696678</v>
      </c>
      <c r="V89" s="2">
        <f>F89-K89-L89-U89</f>
        <v>-1866139.8599088676</v>
      </c>
      <c r="W89" s="2">
        <v>103800.1155541343</v>
      </c>
      <c r="X89" s="2">
        <v>283853.556059535</v>
      </c>
      <c r="Y89" s="2">
        <f>W89+X89</f>
        <v>387653.67161366926</v>
      </c>
      <c r="Z89" s="2">
        <v>10655379.31262519</v>
      </c>
      <c r="AA89" s="2">
        <v>0</v>
      </c>
      <c r="AB89" s="2">
        <v>0</v>
      </c>
      <c r="AC89" s="2">
        <v>0</v>
      </c>
      <c r="AD89" s="2">
        <v>173721.0477210967</v>
      </c>
      <c r="AE89" s="2">
        <v>1216047.334047678</v>
      </c>
      <c r="AF89" s="2">
        <f>F89-H89-L89-U89-AA89-AC89-AD89</f>
        <v>-3999377.2285962994</v>
      </c>
      <c r="AG89" s="2">
        <f>F89-H89-L89-U89-AA89-AB89-AD89-Y89</f>
        <v>-4387030.900209969</v>
      </c>
      <c r="AH89" s="2">
        <f>AH88+AG89</f>
        <v>175278508.6684834</v>
      </c>
      <c r="AI89" s="2">
        <v>42171133.42193104</v>
      </c>
      <c r="AJ89" s="2">
        <f>AH89-AI89</f>
        <v>133107375.24655238</v>
      </c>
      <c r="AK89" s="3">
        <v>0.25</v>
      </c>
    </row>
    <row r="90" spans="1:37">
      <c r="A90" s="2">
        <v>89</v>
      </c>
      <c r="B90" s="2">
        <v>2034</v>
      </c>
      <c r="C90" s="2">
        <v>59</v>
      </c>
      <c r="D90" s="2">
        <v>430443.5541600503</v>
      </c>
      <c r="E90" s="2">
        <v>25396169.69544297</v>
      </c>
      <c r="F90" s="2">
        <f>E90/1.19</f>
        <v>21341319.071800817</v>
      </c>
      <c r="G90" s="2">
        <v>80</v>
      </c>
      <c r="H90" s="2">
        <v>7403121.348672562</v>
      </c>
      <c r="I90" s="2">
        <v>154</v>
      </c>
      <c r="J90" s="2">
        <v>14219222.99910158</v>
      </c>
      <c r="K90" s="2">
        <v>5447624.395759695</v>
      </c>
      <c r="L90" s="2">
        <v>2140993.784793328</v>
      </c>
      <c r="M90" s="2">
        <v>8716731.021198768</v>
      </c>
      <c r="N90" s="3">
        <v>1.5</v>
      </c>
      <c r="O90" s="3">
        <v>2.5</v>
      </c>
      <c r="P90" s="2">
        <v>245974.773084974</v>
      </c>
      <c r="Q90" s="2">
        <v>654415.8837925735</v>
      </c>
      <c r="R90" s="2">
        <v>307468.4663562176</v>
      </c>
      <c r="S90" s="2">
        <v>344364.6823189636</v>
      </c>
      <c r="T90" s="2">
        <v>3025489.708945181</v>
      </c>
      <c r="U90" s="2">
        <f>M90+P90+Q90+R90+S90+T90</f>
        <v>13294444.535696678</v>
      </c>
      <c r="V90" s="2">
        <f>F90-K90-L90-U90</f>
        <v>458256.35555111617</v>
      </c>
      <c r="W90" s="2">
        <v>101106.6879369403</v>
      </c>
      <c r="X90" s="2">
        <v>286546.983676729</v>
      </c>
      <c r="Y90" s="2">
        <f>W90+X90</f>
        <v>387653.6716136693</v>
      </c>
      <c r="Z90" s="2">
        <v>10368832.32894846</v>
      </c>
      <c r="AA90" s="2">
        <v>0</v>
      </c>
      <c r="AB90" s="2">
        <v>0</v>
      </c>
      <c r="AC90" s="2">
        <v>0</v>
      </c>
      <c r="AD90" s="2">
        <v>173721.047721097</v>
      </c>
      <c r="AE90" s="2">
        <v>1389768.381768775</v>
      </c>
      <c r="AF90" s="2">
        <f>F90-H90-L90-U90-AA90-AC90-AD90</f>
        <v>-1670961.645082848</v>
      </c>
      <c r="AG90" s="2">
        <f>F90-H90-L90-U90-AA90-AB90-AD90-Y90</f>
        <v>-2058615.3166965172</v>
      </c>
      <c r="AH90" s="2">
        <f>AH89+AG90</f>
        <v>173219893.35178688</v>
      </c>
      <c r="AI90" s="2">
        <v>42171133.42193104</v>
      </c>
      <c r="AJ90" s="2">
        <f>AH90-AI90</f>
        <v>131048759.92985585</v>
      </c>
      <c r="AK90" s="3">
        <v>0.25</v>
      </c>
    </row>
    <row r="91" spans="1:37">
      <c r="A91" s="2">
        <v>90</v>
      </c>
      <c r="B91" s="2">
        <v>2034</v>
      </c>
      <c r="C91" s="2">
        <v>69</v>
      </c>
      <c r="D91" s="2">
        <v>430443.5541600503</v>
      </c>
      <c r="E91" s="2">
        <v>29700605.23704347</v>
      </c>
      <c r="F91" s="2">
        <f>E91/1.19</f>
        <v>24958491.795834854</v>
      </c>
      <c r="G91" s="2">
        <v>100</v>
      </c>
      <c r="H91" s="2">
        <v>9253901.685840702</v>
      </c>
      <c r="I91" s="2">
        <v>185</v>
      </c>
      <c r="J91" s="2">
        <v>17096567.19178867</v>
      </c>
      <c r="K91" s="2">
        <v>6376557.493153611</v>
      </c>
      <c r="L91" s="2">
        <v>2504322.641590359</v>
      </c>
      <c r="M91" s="2">
        <v>8716731.021198768</v>
      </c>
      <c r="N91" s="3">
        <v>1.5</v>
      </c>
      <c r="O91" s="3">
        <v>2.5</v>
      </c>
      <c r="P91" s="2">
        <v>245974.773084974</v>
      </c>
      <c r="Q91" s="2">
        <v>654415.8837925735</v>
      </c>
      <c r="R91" s="2">
        <v>307468.4663562176</v>
      </c>
      <c r="S91" s="2">
        <v>344364.6823189636</v>
      </c>
      <c r="T91" s="2">
        <v>3025489.708945181</v>
      </c>
      <c r="U91" s="2">
        <f>M91+P91+Q91+R91+S91+T91</f>
        <v>13294444.535696678</v>
      </c>
      <c r="V91" s="2">
        <f>F91-K91-L91-U91</f>
        <v>2783167.1253942084</v>
      </c>
      <c r="W91" s="2">
        <v>98387.70294280244</v>
      </c>
      <c r="X91" s="2">
        <v>289265.9686708669</v>
      </c>
      <c r="Y91" s="2">
        <f>W91+X91</f>
        <v>387653.6716136693</v>
      </c>
      <c r="Z91" s="2">
        <v>10079566.36027759</v>
      </c>
      <c r="AA91" s="2">
        <v>0</v>
      </c>
      <c r="AB91" s="2">
        <v>0</v>
      </c>
      <c r="AC91" s="2">
        <v>0</v>
      </c>
      <c r="AD91" s="2">
        <v>347442.0954421933</v>
      </c>
      <c r="AE91" s="2">
        <v>1737210.477210968</v>
      </c>
      <c r="AF91" s="2">
        <f>F91-H91-L91-U91-AA91-AC91-AD91</f>
        <v>-441619.1627350773</v>
      </c>
      <c r="AG91" s="2">
        <f>F91-H91-L91-U91-AA91-AB91-AD91-Y91</f>
        <v>-829272.8343487466</v>
      </c>
      <c r="AH91" s="2">
        <f>AH90+AG91</f>
        <v>172390620.51743814</v>
      </c>
      <c r="AI91" s="2">
        <v>42171133.42193104</v>
      </c>
      <c r="AJ91" s="2">
        <f>AH91-AI91</f>
        <v>130219487.09550712</v>
      </c>
      <c r="AK91" s="3">
        <v>0.25</v>
      </c>
    </row>
    <row r="92" spans="1:37">
      <c r="A92" s="2">
        <v>91</v>
      </c>
      <c r="B92" s="2">
        <v>2034</v>
      </c>
      <c r="C92" s="2">
        <v>79</v>
      </c>
      <c r="D92" s="2">
        <v>430443.5541600503</v>
      </c>
      <c r="E92" s="2">
        <v>34005040.77864397</v>
      </c>
      <c r="F92" s="2">
        <f>E92/1.19</f>
        <v>28575664.519868888</v>
      </c>
      <c r="G92" s="2">
        <v>100</v>
      </c>
      <c r="H92" s="2">
        <v>9253901.685840702</v>
      </c>
      <c r="I92" s="2">
        <v>206</v>
      </c>
      <c r="J92" s="2">
        <v>19046303.82032157</v>
      </c>
      <c r="K92" s="2">
        <v>7304165.057307791</v>
      </c>
      <c r="L92" s="2">
        <v>2867545.455728211</v>
      </c>
      <c r="M92" s="2">
        <v>8716731.021198768</v>
      </c>
      <c r="N92" s="3">
        <v>1.5</v>
      </c>
      <c r="O92" s="3">
        <v>2.5</v>
      </c>
      <c r="P92" s="2">
        <v>245974.773084974</v>
      </c>
      <c r="Q92" s="2">
        <v>654415.8837925735</v>
      </c>
      <c r="R92" s="2">
        <v>307468.4663562176</v>
      </c>
      <c r="S92" s="2">
        <v>344364.6823189636</v>
      </c>
      <c r="T92" s="2">
        <v>3025489.708945181</v>
      </c>
      <c r="U92" s="2">
        <f>M92+P92+Q92+R92+S92+T92</f>
        <v>13294444.535696678</v>
      </c>
      <c r="V92" s="2">
        <f>F92-K92-L92-U92</f>
        <v>5109509.471136209</v>
      </c>
      <c r="W92" s="2">
        <v>95642.91806306299</v>
      </c>
      <c r="X92" s="2">
        <v>292010.7535506063</v>
      </c>
      <c r="Y92" s="2">
        <f>W92+X92</f>
        <v>387653.6716136693</v>
      </c>
      <c r="Z92" s="2">
        <v>9787555.606726989</v>
      </c>
      <c r="AA92" s="2">
        <v>0</v>
      </c>
      <c r="AB92" s="2">
        <v>0</v>
      </c>
      <c r="AC92" s="2">
        <v>0</v>
      </c>
      <c r="AD92" s="2">
        <v>0</v>
      </c>
      <c r="AE92" s="2">
        <v>1737210.477210968</v>
      </c>
      <c r="AF92" s="2">
        <f>F92-H92-L92-U92-AA92-AC92-AD92</f>
        <v>3159772.842603296</v>
      </c>
      <c r="AG92" s="2">
        <f>F92-H92-L92-U92-AA92-AB92-AD92-Y92</f>
        <v>2772119.1709896266</v>
      </c>
      <c r="AH92" s="2">
        <f>AH91+AG92</f>
        <v>175162739.68842778</v>
      </c>
      <c r="AI92" s="2">
        <v>42171133.42193104</v>
      </c>
      <c r="AJ92" s="2">
        <f>AH92-AI92</f>
        <v>132991606.26649675</v>
      </c>
      <c r="AK92" s="3">
        <v>0.25</v>
      </c>
    </row>
    <row r="93" spans="1:37">
      <c r="A93" s="2">
        <v>92</v>
      </c>
      <c r="B93" s="2">
        <v>2034</v>
      </c>
      <c r="C93" s="2">
        <v>98</v>
      </c>
      <c r="D93" s="2">
        <v>430443.5541600503</v>
      </c>
      <c r="E93" s="2">
        <v>42183468.30768493</v>
      </c>
      <c r="F93" s="2">
        <f>E93/1.19</f>
        <v>35448292.69553355</v>
      </c>
      <c r="G93" s="2">
        <v>130</v>
      </c>
      <c r="H93" s="2">
        <v>12030072.19159291</v>
      </c>
      <c r="I93" s="2">
        <v>238</v>
      </c>
      <c r="J93" s="2">
        <v>22012433.00843943</v>
      </c>
      <c r="K93" s="2">
        <v>9063943.003475059</v>
      </c>
      <c r="L93" s="2">
        <v>3557454.688532075</v>
      </c>
      <c r="M93" s="2">
        <v>8716731.021198768</v>
      </c>
      <c r="N93" s="3">
        <v>1.5</v>
      </c>
      <c r="O93" s="3">
        <v>2.5</v>
      </c>
      <c r="P93" s="2">
        <v>245974.773084974</v>
      </c>
      <c r="Q93" s="2">
        <v>654415.8837925735</v>
      </c>
      <c r="R93" s="2">
        <v>307468.4663562176</v>
      </c>
      <c r="S93" s="2">
        <v>344364.6823189636</v>
      </c>
      <c r="T93" s="2">
        <v>3025489.708945181</v>
      </c>
      <c r="U93" s="2">
        <f>M93+P93+Q93+R93+S93+T93</f>
        <v>13294444.535696678</v>
      </c>
      <c r="V93" s="2">
        <f>F93-K93-L93-U93</f>
        <v>9532450.467829742</v>
      </c>
      <c r="W93" s="2">
        <v>92872.08848794973</v>
      </c>
      <c r="X93" s="2">
        <v>294781.5831257196</v>
      </c>
      <c r="Y93" s="2">
        <f>W93+X93</f>
        <v>387653.6716136693</v>
      </c>
      <c r="Z93" s="2">
        <v>9492774.023601269</v>
      </c>
      <c r="AA93" s="2">
        <v>0</v>
      </c>
      <c r="AB93" s="2">
        <v>0</v>
      </c>
      <c r="AC93" s="2">
        <v>0</v>
      </c>
      <c r="AD93" s="2">
        <v>521163.1431632906</v>
      </c>
      <c r="AE93" s="2">
        <v>2258373.620374259</v>
      </c>
      <c r="AF93" s="2">
        <f>F93-H93-L93-U93-AA93-AC93-AD93</f>
        <v>6045158.136548596</v>
      </c>
      <c r="AG93" s="2">
        <f>F93-H93-L93-U93-AA93-AB93-AD93-Y93</f>
        <v>5657504.464934927</v>
      </c>
      <c r="AH93" s="2">
        <f>AH92+AG93</f>
        <v>180820244.1533627</v>
      </c>
      <c r="AI93" s="2">
        <v>42171133.42193104</v>
      </c>
      <c r="AJ93" s="2">
        <f>AH93-AI93</f>
        <v>138649110.73143166</v>
      </c>
      <c r="AK93" s="3">
        <v>0.25</v>
      </c>
    </row>
    <row r="94" spans="1:37">
      <c r="A94" s="2">
        <v>93</v>
      </c>
      <c r="B94" s="2">
        <v>2034</v>
      </c>
      <c r="C94" s="2">
        <v>108</v>
      </c>
      <c r="D94" s="2">
        <v>430443.5541600503</v>
      </c>
      <c r="E94" s="2">
        <v>46487903.84928543</v>
      </c>
      <c r="F94" s="2">
        <f>E94/1.19</f>
        <v>39065465.41956759</v>
      </c>
      <c r="G94" s="2">
        <v>140</v>
      </c>
      <c r="H94" s="2">
        <v>12955462.36017698</v>
      </c>
      <c r="I94" s="2">
        <v>270</v>
      </c>
      <c r="J94" s="2">
        <v>24977068.1204403</v>
      </c>
      <c r="K94" s="2">
        <v>9990827.248176118</v>
      </c>
      <c r="L94" s="2">
        <v>3920619.637113677</v>
      </c>
      <c r="M94" s="2">
        <v>8716731.021198768</v>
      </c>
      <c r="N94" s="3">
        <v>1.5</v>
      </c>
      <c r="O94" s="3">
        <v>2.5</v>
      </c>
      <c r="P94" s="2">
        <v>245974.773084974</v>
      </c>
      <c r="Q94" s="2">
        <v>654415.8837925735</v>
      </c>
      <c r="R94" s="2">
        <v>307468.4663562176</v>
      </c>
      <c r="S94" s="2">
        <v>344364.6823189636</v>
      </c>
      <c r="T94" s="2">
        <v>3025489.708945181</v>
      </c>
      <c r="U94" s="2">
        <f>M94+P94+Q94+R94+S94+T94</f>
        <v>13294444.535696678</v>
      </c>
      <c r="V94" s="2">
        <f>F94-K94-L94-U94</f>
        <v>11859573.998581119</v>
      </c>
      <c r="W94" s="2">
        <v>90074.96708474119</v>
      </c>
      <c r="X94" s="2">
        <v>297578.7045289282</v>
      </c>
      <c r="Y94" s="2">
        <f>W94+X94</f>
        <v>387653.6716136694</v>
      </c>
      <c r="Z94" s="2">
        <v>9195195.319072342</v>
      </c>
      <c r="AA94" s="2">
        <v>0</v>
      </c>
      <c r="AB94" s="2">
        <v>0</v>
      </c>
      <c r="AC94" s="2">
        <v>0</v>
      </c>
      <c r="AD94" s="2">
        <v>173721.0477210968</v>
      </c>
      <c r="AE94" s="2">
        <v>2432094.668095355</v>
      </c>
      <c r="AF94" s="2">
        <f>F94-H94-L94-U94-AA94-AC94-AD94</f>
        <v>8721217.838859158</v>
      </c>
      <c r="AG94" s="2">
        <f>F94-H94-L94-U94-AA94-AB94-AD94-Y94</f>
        <v>8333564.167245489</v>
      </c>
      <c r="AH94" s="2">
        <f>AH93+AG94</f>
        <v>189153808.32060817</v>
      </c>
      <c r="AI94" s="2">
        <v>42171133.42193104</v>
      </c>
      <c r="AJ94" s="2">
        <f>AH94-AI94</f>
        <v>146982674.89867714</v>
      </c>
      <c r="AK94" s="3">
        <v>0.25</v>
      </c>
    </row>
    <row r="95" spans="1:37">
      <c r="A95" s="2">
        <v>94</v>
      </c>
      <c r="B95" s="2">
        <v>2034</v>
      </c>
      <c r="C95" s="2">
        <v>128</v>
      </c>
      <c r="D95" s="2">
        <v>430443.5541600503</v>
      </c>
      <c r="E95" s="2">
        <v>55096774.93248644</v>
      </c>
      <c r="F95" s="2">
        <f>E95/1.19</f>
        <v>46299810.86763567</v>
      </c>
      <c r="G95" s="2">
        <v>170</v>
      </c>
      <c r="H95" s="2">
        <v>15731632.86592919</v>
      </c>
      <c r="I95" s="2">
        <v>312</v>
      </c>
      <c r="J95" s="2">
        <v>28866169.79033473</v>
      </c>
      <c r="K95" s="2">
        <v>11842531.19603476</v>
      </c>
      <c r="L95" s="2">
        <v>4646784.370953403</v>
      </c>
      <c r="M95" s="2">
        <v>8716731.021198768</v>
      </c>
      <c r="N95" s="3">
        <v>1.5</v>
      </c>
      <c r="O95" s="3">
        <v>2.5</v>
      </c>
      <c r="P95" s="2">
        <v>245974.773084974</v>
      </c>
      <c r="Q95" s="2">
        <v>654415.8837925735</v>
      </c>
      <c r="R95" s="2">
        <v>307468.4663562176</v>
      </c>
      <c r="S95" s="2">
        <v>344364.6823189636</v>
      </c>
      <c r="T95" s="2">
        <v>3025489.708945181</v>
      </c>
      <c r="U95" s="2">
        <f>M95+P95+Q95+R95+S95+T95</f>
        <v>13294444.535696678</v>
      </c>
      <c r="V95" s="2">
        <f>F95-K95-L95-U95</f>
        <v>16516050.764950827</v>
      </c>
      <c r="W95" s="2">
        <v>87251.30437572474</v>
      </c>
      <c r="X95" s="2">
        <v>300402.3672379446</v>
      </c>
      <c r="Y95" s="2">
        <f>W95+X95</f>
        <v>387653.6716136693</v>
      </c>
      <c r="Z95" s="2">
        <v>8894792.951834397</v>
      </c>
      <c r="AA95" s="2">
        <v>0</v>
      </c>
      <c r="AB95" s="2">
        <v>0</v>
      </c>
      <c r="AC95" s="2">
        <v>0</v>
      </c>
      <c r="AD95" s="2">
        <v>521163.1431632903</v>
      </c>
      <c r="AE95" s="2">
        <v>2953257.811258646</v>
      </c>
      <c r="AF95" s="2">
        <f>F95-H95-L95-U95-AA95-AC95-AD95</f>
        <v>12105785.951893102</v>
      </c>
      <c r="AG95" s="2">
        <f>F95-H95-L95-U95-AA95-AB95-AD95-Y95</f>
        <v>11718132.280279433</v>
      </c>
      <c r="AH95" s="2">
        <f>AH94+AG95</f>
        <v>200871940.6008876</v>
      </c>
      <c r="AI95" s="2">
        <v>42171133.42193104</v>
      </c>
      <c r="AJ95" s="2">
        <f>AH95-AI95</f>
        <v>158700807.17895657</v>
      </c>
      <c r="AK95" s="3">
        <v>0.25</v>
      </c>
    </row>
    <row r="96" spans="1:37">
      <c r="A96" s="2">
        <v>95</v>
      </c>
      <c r="B96" s="2">
        <v>2034</v>
      </c>
      <c r="C96" s="2">
        <v>138</v>
      </c>
      <c r="D96" s="2">
        <v>430443.5541600503</v>
      </c>
      <c r="E96" s="2">
        <v>59401210.47408695</v>
      </c>
      <c r="F96" s="2">
        <f>E96/1.19</f>
        <v>49916983.59166971</v>
      </c>
      <c r="G96" s="2">
        <v>20</v>
      </c>
      <c r="H96" s="2">
        <v>1850780.337168141</v>
      </c>
      <c r="I96" s="2">
        <v>194</v>
      </c>
      <c r="J96" s="2">
        <v>17949061.219083</v>
      </c>
      <c r="K96" s="2">
        <v>12767888.90841987</v>
      </c>
      <c r="L96" s="2">
        <v>5009827.19694973</v>
      </c>
      <c r="M96" s="2">
        <v>8716731.021198768</v>
      </c>
      <c r="N96" s="3">
        <v>1.5</v>
      </c>
      <c r="O96" s="3">
        <v>2.5</v>
      </c>
      <c r="P96" s="2">
        <v>245974.773084974</v>
      </c>
      <c r="Q96" s="2">
        <v>654415.8837925735</v>
      </c>
      <c r="R96" s="2">
        <v>307468.4663562176</v>
      </c>
      <c r="S96" s="2">
        <v>344364.6823189636</v>
      </c>
      <c r="T96" s="2">
        <v>3025489.708945181</v>
      </c>
      <c r="U96" s="2">
        <f>M96+P96+Q96+R96+S96+T96</f>
        <v>13294444.535696678</v>
      </c>
      <c r="V96" s="2">
        <f>F96-K96-L96-U96</f>
        <v>18844822.950603433</v>
      </c>
      <c r="W96" s="2">
        <v>84400.8485159453</v>
      </c>
      <c r="X96" s="2">
        <v>303252.823097724</v>
      </c>
      <c r="Y96" s="2">
        <f>W96+X96</f>
        <v>387653.6716136693</v>
      </c>
      <c r="Z96" s="2">
        <v>8591540.128736673</v>
      </c>
      <c r="AA96" s="2">
        <v>0</v>
      </c>
      <c r="AB96" s="2">
        <v>0</v>
      </c>
      <c r="AC96" s="2">
        <v>0</v>
      </c>
      <c r="AD96" s="2">
        <v>-2605815.715816452</v>
      </c>
      <c r="AE96" s="2">
        <v>347442.0954421937</v>
      </c>
      <c r="AF96" s="2">
        <f>F96-H96-L96-U96-AA96-AC96-AD96</f>
        <v>32367747.237671614</v>
      </c>
      <c r="AG96" s="2">
        <f>F96-H96-L96-U96-AA96-AB96-AD96-Y96</f>
        <v>31980093.566057943</v>
      </c>
      <c r="AH96" s="2">
        <f>AH95+AG96</f>
        <v>232852034.16694555</v>
      </c>
      <c r="AI96" s="2">
        <v>42171133.42193104</v>
      </c>
      <c r="AJ96" s="2">
        <f>AH96-AI96</f>
        <v>190680900.74501452</v>
      </c>
      <c r="AK96" s="3">
        <v>0.25</v>
      </c>
    </row>
    <row r="97" spans="1:37">
      <c r="A97" s="2">
        <v>96</v>
      </c>
      <c r="B97" s="2">
        <v>2034</v>
      </c>
      <c r="C97" s="2">
        <v>167</v>
      </c>
      <c r="D97" s="2">
        <v>430443.5541600503</v>
      </c>
      <c r="E97" s="2">
        <v>71884073.5447284</v>
      </c>
      <c r="F97" s="2">
        <f>E97/1.19</f>
        <v>60406784.491368406</v>
      </c>
      <c r="G97" s="2">
        <v>30</v>
      </c>
      <c r="H97" s="2">
        <v>2776170.505752211</v>
      </c>
      <c r="I97" s="2">
        <v>57</v>
      </c>
      <c r="J97" s="2">
        <v>5273831.287123248</v>
      </c>
      <c r="K97" s="2">
        <v>15451400.43771197</v>
      </c>
      <c r="L97" s="2">
        <v>6062649.325409098</v>
      </c>
      <c r="M97" s="2">
        <v>8716731.021198768</v>
      </c>
      <c r="N97" s="3">
        <v>1.5</v>
      </c>
      <c r="O97" s="3">
        <v>2.5</v>
      </c>
      <c r="P97" s="2">
        <v>245974.773084974</v>
      </c>
      <c r="Q97" s="2">
        <v>654415.8837925735</v>
      </c>
      <c r="R97" s="2">
        <v>307468.4663562176</v>
      </c>
      <c r="S97" s="2">
        <v>344364.6823189636</v>
      </c>
      <c r="T97" s="2">
        <v>3025489.708945181</v>
      </c>
      <c r="U97" s="2">
        <f>M97+P97+Q97+R97+S97+T97</f>
        <v>13294444.535696678</v>
      </c>
      <c r="V97" s="2">
        <f>F97-K97-L97-U97</f>
        <v>25598290.19255066</v>
      </c>
      <c r="W97" s="2">
        <v>81523.34527074326</v>
      </c>
      <c r="X97" s="2">
        <v>306130.3263429261</v>
      </c>
      <c r="Y97" s="2">
        <f>W97+X97</f>
        <v>387653.6716136693</v>
      </c>
      <c r="Z97" s="2">
        <v>8285409.802393747</v>
      </c>
      <c r="AA97" s="2">
        <v>0</v>
      </c>
      <c r="AB97" s="2">
        <v>16976945.81138227</v>
      </c>
      <c r="AC97" s="2">
        <v>17267538.03806693</v>
      </c>
      <c r="AD97" s="2">
        <v>173721.0477210968</v>
      </c>
      <c r="AE97" s="2">
        <v>521163.1431632905</v>
      </c>
      <c r="AF97" s="2">
        <f>F97-H97-L97-U97-AA97-AC97-AD97</f>
        <v>20832261.03872239</v>
      </c>
      <c r="AG97" s="2">
        <f>F97-H97-L97-U97-AA97-AB97-AD97-Y97</f>
        <v>20735199.593793377</v>
      </c>
      <c r="AH97" s="2">
        <f>AH96+AG97</f>
        <v>253587233.7607389</v>
      </c>
      <c r="AI97" s="2">
        <v>42171133.42193104</v>
      </c>
      <c r="AJ97" s="2">
        <f>AH97-AI97</f>
        <v>211416100.33880788</v>
      </c>
      <c r="AK97" s="3">
        <v>0.25</v>
      </c>
    </row>
    <row r="98" spans="1:37">
      <c r="A98" s="2">
        <v>97</v>
      </c>
      <c r="B98" s="2">
        <v>2035</v>
      </c>
      <c r="C98" s="2">
        <v>21</v>
      </c>
      <c r="D98" s="2">
        <v>443356.8607848518</v>
      </c>
      <c r="E98" s="2">
        <v>9310494.076481888</v>
      </c>
      <c r="F98" s="2">
        <f>E98/1.19</f>
        <v>7823944.60208562</v>
      </c>
      <c r="G98" s="2">
        <v>40</v>
      </c>
      <c r="H98" s="2">
        <v>3812607.49456637</v>
      </c>
      <c r="I98" s="2">
        <v>76</v>
      </c>
      <c r="J98" s="2">
        <v>7119271.622767123</v>
      </c>
      <c r="K98" s="2">
        <v>1967167.158922495</v>
      </c>
      <c r="L98" s="2">
        <v>782511.1067927337</v>
      </c>
      <c r="M98" s="2">
        <v>8978232.951834733</v>
      </c>
      <c r="N98" s="3">
        <v>1.5</v>
      </c>
      <c r="O98" s="3">
        <v>2.5</v>
      </c>
      <c r="P98" s="2">
        <v>253354.0162775233</v>
      </c>
      <c r="Q98" s="2">
        <v>719462.0677240967</v>
      </c>
      <c r="R98" s="2">
        <v>316692.5203469041</v>
      </c>
      <c r="S98" s="2">
        <v>354695.6227885326</v>
      </c>
      <c r="T98" s="2">
        <v>3271433.735183519</v>
      </c>
      <c r="U98" s="2">
        <f>M98+P98+Q98+R98+S98+T98</f>
        <v>13893870.914155308</v>
      </c>
      <c r="V98" s="2">
        <f>F98-K98-L98-U98</f>
        <v>-8819604.577784916</v>
      </c>
      <c r="W98" s="2">
        <v>78618.53799307889</v>
      </c>
      <c r="X98" s="2">
        <v>309035.1336205904</v>
      </c>
      <c r="Y98" s="2">
        <f>W98+X98</f>
        <v>387653.6716136693</v>
      </c>
      <c r="Z98" s="2">
        <v>7976374.668773156</v>
      </c>
      <c r="AA98" s="2">
        <v>0</v>
      </c>
      <c r="AB98" s="2">
        <v>0</v>
      </c>
      <c r="AC98" s="2">
        <v>0</v>
      </c>
      <c r="AD98" s="2">
        <v>194567.5734476285</v>
      </c>
      <c r="AE98" s="2">
        <v>715730.716610919</v>
      </c>
      <c r="AF98" s="2">
        <f>F98-H98-L98-U98-AA98-AC98-AD98</f>
        <v>-10859612.486876419</v>
      </c>
      <c r="AG98" s="2">
        <f>F98-H98-L98-U98-AA98-AB98-AD98-Y98</f>
        <v>-11247266.158490088</v>
      </c>
      <c r="AH98" s="2">
        <f>AH97+AG98</f>
        <v>242339967.60224882</v>
      </c>
      <c r="AI98" s="2">
        <v>43969412.55730693</v>
      </c>
      <c r="AJ98" s="2">
        <f>AH98-AI98</f>
        <v>198370555.0449419</v>
      </c>
      <c r="AK98" s="3">
        <v>0.25</v>
      </c>
    </row>
    <row r="99" spans="1:37">
      <c r="A99" s="2">
        <v>98</v>
      </c>
      <c r="B99" s="2">
        <v>2035</v>
      </c>
      <c r="C99" s="2">
        <v>31</v>
      </c>
      <c r="D99" s="2">
        <v>443356.8607848518</v>
      </c>
      <c r="E99" s="2">
        <v>13744062.68433041</v>
      </c>
      <c r="F99" s="2">
        <f>E99/1.19</f>
        <v>11549632.50784068</v>
      </c>
      <c r="G99" s="2">
        <v>50</v>
      </c>
      <c r="H99" s="2">
        <v>4765759.368207961</v>
      </c>
      <c r="I99" s="2">
        <v>95</v>
      </c>
      <c r="J99" s="2">
        <v>8960936.064624071</v>
      </c>
      <c r="K99" s="2">
        <v>2924094.926351013</v>
      </c>
      <c r="L99" s="2">
        <v>1156749.963462698</v>
      </c>
      <c r="M99" s="2">
        <v>8978232.951834733</v>
      </c>
      <c r="N99" s="3">
        <v>1.5</v>
      </c>
      <c r="O99" s="3">
        <v>2.5</v>
      </c>
      <c r="P99" s="2">
        <v>253354.0162775233</v>
      </c>
      <c r="Q99" s="2">
        <v>719462.0677240967</v>
      </c>
      <c r="R99" s="2">
        <v>316692.5203469041</v>
      </c>
      <c r="S99" s="2">
        <v>354695.6227885326</v>
      </c>
      <c r="T99" s="2">
        <v>3271433.735183519</v>
      </c>
      <c r="U99" s="2">
        <f>M99+P99+Q99+R99+S99+T99</f>
        <v>13893870.914155308</v>
      </c>
      <c r="V99" s="2">
        <f>F99-K99-L99-U99</f>
        <v>-6425083.296128339</v>
      </c>
      <c r="W99" s="2">
        <v>75686.1676006419</v>
      </c>
      <c r="X99" s="2">
        <v>311967.5040130274</v>
      </c>
      <c r="Y99" s="2">
        <f>W99+X99</f>
        <v>387653.6716136693</v>
      </c>
      <c r="Z99" s="2">
        <v>7664407.164760129</v>
      </c>
      <c r="AA99" s="2">
        <v>0</v>
      </c>
      <c r="AB99" s="2">
        <v>0</v>
      </c>
      <c r="AC99" s="2">
        <v>0</v>
      </c>
      <c r="AD99" s="2">
        <v>178932.6791527296</v>
      </c>
      <c r="AE99" s="2">
        <v>894663.3957636486</v>
      </c>
      <c r="AF99" s="2">
        <f>F99-H99-L99-U99-AA99-AC99-AD99</f>
        <v>-8445680.417138018</v>
      </c>
      <c r="AG99" s="2">
        <f>F99-H99-L99-U99-AA99-AB99-AD99-Y99</f>
        <v>-8833334.088751687</v>
      </c>
      <c r="AH99" s="2">
        <f>AH98+AG99</f>
        <v>233506633.51349714</v>
      </c>
      <c r="AI99" s="2">
        <v>43969412.55730693</v>
      </c>
      <c r="AJ99" s="2">
        <f>AH99-AI99</f>
        <v>189537220.95619023</v>
      </c>
      <c r="AK99" s="3">
        <v>0.25</v>
      </c>
    </row>
    <row r="100" spans="1:37">
      <c r="A100" s="2">
        <v>99</v>
      </c>
      <c r="B100" s="2">
        <v>2035</v>
      </c>
      <c r="C100" s="2">
        <v>41</v>
      </c>
      <c r="D100" s="2">
        <v>443356.8607848518</v>
      </c>
      <c r="E100" s="2">
        <v>18177631.29217893</v>
      </c>
      <c r="F100" s="2">
        <f>E100/1.19</f>
        <v>15275320.413595736</v>
      </c>
      <c r="G100" s="2">
        <v>60</v>
      </c>
      <c r="H100" s="2">
        <v>5718911.241849555</v>
      </c>
      <c r="I100" s="2">
        <v>114</v>
      </c>
      <c r="J100" s="2">
        <v>10796790.9221806</v>
      </c>
      <c r="K100" s="2">
        <v>3883056.384293023</v>
      </c>
      <c r="L100" s="2">
        <v>1531151.515373742</v>
      </c>
      <c r="M100" s="2">
        <v>8978232.951834733</v>
      </c>
      <c r="N100" s="3">
        <v>1.5</v>
      </c>
      <c r="O100" s="3">
        <v>2.5</v>
      </c>
      <c r="P100" s="2">
        <v>253354.0162775233</v>
      </c>
      <c r="Q100" s="2">
        <v>719462.0677240967</v>
      </c>
      <c r="R100" s="2">
        <v>316692.5203469041</v>
      </c>
      <c r="S100" s="2">
        <v>354695.6227885326</v>
      </c>
      <c r="T100" s="2">
        <v>3271433.735183519</v>
      </c>
      <c r="U100" s="2">
        <f>M100+P100+Q100+R100+S100+T100</f>
        <v>13893870.914155308</v>
      </c>
      <c r="V100" s="2">
        <f>F100-K100-L100-U100</f>
        <v>-4032758.400226338</v>
      </c>
      <c r="W100" s="2">
        <v>72725.97255274358</v>
      </c>
      <c r="X100" s="2">
        <v>314927.6990609257</v>
      </c>
      <c r="Y100" s="2">
        <f>W100+X100</f>
        <v>387653.6716136693</v>
      </c>
      <c r="Z100" s="2">
        <v>7349479.465699203</v>
      </c>
      <c r="AA100" s="2">
        <v>0</v>
      </c>
      <c r="AB100" s="2">
        <v>0</v>
      </c>
      <c r="AC100" s="2">
        <v>0</v>
      </c>
      <c r="AD100" s="2">
        <v>178932.6791527298</v>
      </c>
      <c r="AE100" s="2">
        <v>1073596.074916378</v>
      </c>
      <c r="AF100" s="2">
        <f>F100-H100-L100-U100-AA100-AC100-AD100</f>
        <v>-6047545.936935599</v>
      </c>
      <c r="AG100" s="2">
        <f>F100-H100-L100-U100-AA100-AB100-AD100-Y100</f>
        <v>-6435199.608549268</v>
      </c>
      <c r="AH100" s="2">
        <f>AH99+AG100</f>
        <v>227071433.90494788</v>
      </c>
      <c r="AI100" s="2">
        <v>43969412.55730693</v>
      </c>
      <c r="AJ100" s="2">
        <f>AH100-AI100</f>
        <v>183102021.34764093</v>
      </c>
      <c r="AK100" s="3">
        <v>0.25</v>
      </c>
    </row>
    <row r="101" spans="1:37">
      <c r="A101" s="2">
        <v>100</v>
      </c>
      <c r="B101" s="2">
        <v>2035</v>
      </c>
      <c r="C101" s="2">
        <v>52</v>
      </c>
      <c r="D101" s="2">
        <v>443356.8607848518</v>
      </c>
      <c r="E101" s="2">
        <v>23054556.7608123</v>
      </c>
      <c r="F101" s="2">
        <f>E101/1.19</f>
        <v>19373577.109926302</v>
      </c>
      <c r="G101" s="2">
        <v>80</v>
      </c>
      <c r="H101" s="2">
        <v>7625214.98913274</v>
      </c>
      <c r="I101" s="2">
        <v>142</v>
      </c>
      <c r="J101" s="2">
        <v>13484148.65673451</v>
      </c>
      <c r="K101" s="2">
        <v>4937857.254578833</v>
      </c>
      <c r="L101" s="2">
        <v>1942988.683799858</v>
      </c>
      <c r="M101" s="2">
        <v>8978232.951834733</v>
      </c>
      <c r="N101" s="3">
        <v>1.5</v>
      </c>
      <c r="O101" s="3">
        <v>2.5</v>
      </c>
      <c r="P101" s="2">
        <v>253354.0162775233</v>
      </c>
      <c r="Q101" s="2">
        <v>719462.0677240967</v>
      </c>
      <c r="R101" s="2">
        <v>316692.5203469041</v>
      </c>
      <c r="S101" s="2">
        <v>354695.6227885326</v>
      </c>
      <c r="T101" s="2">
        <v>3271433.735183519</v>
      </c>
      <c r="U101" s="2">
        <f>M101+P101+Q101+R101+S101+T101</f>
        <v>13893870.914155308</v>
      </c>
      <c r="V101" s="2">
        <f>F101-K101-L101-U101</f>
        <v>-1401139.742607696</v>
      </c>
      <c r="W101" s="2">
        <v>69737.68882698978</v>
      </c>
      <c r="X101" s="2">
        <v>317915.9827866795</v>
      </c>
      <c r="Y101" s="2">
        <f>W101+X101</f>
        <v>387653.6716136693</v>
      </c>
      <c r="Z101" s="2">
        <v>7031563.482912524</v>
      </c>
      <c r="AA101" s="2">
        <v>0</v>
      </c>
      <c r="AB101" s="2">
        <v>0</v>
      </c>
      <c r="AC101" s="2">
        <v>0</v>
      </c>
      <c r="AD101" s="2">
        <v>357865.3583054596</v>
      </c>
      <c r="AE101" s="2">
        <v>1431461.433221838</v>
      </c>
      <c r="AF101" s="2">
        <f>F101-H101-L101-U101-AA101-AC101-AD101</f>
        <v>-4446362.835467063</v>
      </c>
      <c r="AG101" s="2">
        <f>F101-H101-L101-U101-AA101-AB101-AD101-Y101</f>
        <v>-4834016.507080732</v>
      </c>
      <c r="AH101" s="2">
        <f>AH100+AG101</f>
        <v>222237417.39786714</v>
      </c>
      <c r="AI101" s="2">
        <v>43969412.55730693</v>
      </c>
      <c r="AJ101" s="2">
        <f>AH101-AI101</f>
        <v>178268004.8405602</v>
      </c>
      <c r="AK101" s="3">
        <v>0.25</v>
      </c>
    </row>
    <row r="102" spans="1:37">
      <c r="A102" s="2">
        <v>101</v>
      </c>
      <c r="B102" s="2">
        <v>2035</v>
      </c>
      <c r="C102" s="2">
        <v>62</v>
      </c>
      <c r="D102" s="2">
        <v>443356.8607848518</v>
      </c>
      <c r="E102" s="2">
        <v>27488125.36866082</v>
      </c>
      <c r="F102" s="2">
        <f>E102/1.19</f>
        <v>23099265.01568136</v>
      </c>
      <c r="G102" s="2">
        <v>80</v>
      </c>
      <c r="H102" s="2">
        <v>7625214.98913274</v>
      </c>
      <c r="I102" s="2">
        <v>160</v>
      </c>
      <c r="J102" s="2">
        <v>15213955.78080522</v>
      </c>
      <c r="K102" s="2">
        <v>5895407.865062024</v>
      </c>
      <c r="L102" s="2">
        <v>2317277.367914196</v>
      </c>
      <c r="M102" s="2">
        <v>8978232.951834733</v>
      </c>
      <c r="N102" s="3">
        <v>1.5</v>
      </c>
      <c r="O102" s="3">
        <v>2.5</v>
      </c>
      <c r="P102" s="2">
        <v>253354.0162775233</v>
      </c>
      <c r="Q102" s="2">
        <v>719462.0677240967</v>
      </c>
      <c r="R102" s="2">
        <v>316692.5203469041</v>
      </c>
      <c r="S102" s="2">
        <v>354695.6227885326</v>
      </c>
      <c r="T102" s="2">
        <v>3271433.735183519</v>
      </c>
      <c r="U102" s="2">
        <f>M102+P102+Q102+R102+S102+T102</f>
        <v>13893870.914155308</v>
      </c>
      <c r="V102" s="2">
        <f>F102-K102-L102-U102</f>
        <v>992708.8685498312</v>
      </c>
      <c r="W102" s="2">
        <v>66721.0498957325</v>
      </c>
      <c r="X102" s="2">
        <v>320932.6217179368</v>
      </c>
      <c r="Y102" s="2">
        <f>W102+X102</f>
        <v>387653.6716136693</v>
      </c>
      <c r="Z102" s="2">
        <v>6710630.861194586</v>
      </c>
      <c r="AA102" s="2">
        <v>0</v>
      </c>
      <c r="AB102" s="2">
        <v>0</v>
      </c>
      <c r="AC102" s="2">
        <v>0</v>
      </c>
      <c r="AD102" s="2">
        <v>0</v>
      </c>
      <c r="AE102" s="2">
        <v>1431461.433221838</v>
      </c>
      <c r="AF102" s="2">
        <f>F102-H102-L102-U102-AA102-AC102-AD102</f>
        <v>-737098.255520884</v>
      </c>
      <c r="AG102" s="2">
        <f>F102-H102-L102-U102-AA102-AB102-AD102-Y102</f>
        <v>-1124751.9271345532</v>
      </c>
      <c r="AH102" s="2">
        <f>AH101+AG102</f>
        <v>221112665.4707326</v>
      </c>
      <c r="AI102" s="2">
        <v>43969412.55730693</v>
      </c>
      <c r="AJ102" s="2">
        <f>AH102-AI102</f>
        <v>177143252.91342568</v>
      </c>
      <c r="AK102" s="3">
        <v>0.25</v>
      </c>
    </row>
    <row r="103" spans="1:37">
      <c r="A103" s="2">
        <v>102</v>
      </c>
      <c r="B103" s="2">
        <v>2035</v>
      </c>
      <c r="C103" s="2">
        <v>72</v>
      </c>
      <c r="D103" s="2">
        <v>443356.8607848518</v>
      </c>
      <c r="E103" s="2">
        <v>31921693.97650933</v>
      </c>
      <c r="F103" s="2">
        <f>E103/1.19</f>
        <v>26824952.921436414</v>
      </c>
      <c r="G103" s="2">
        <v>100</v>
      </c>
      <c r="H103" s="2">
        <v>9531518.736415923</v>
      </c>
      <c r="I103" s="2">
        <v>188</v>
      </c>
      <c r="J103" s="2">
        <v>17892881.57399067</v>
      </c>
      <c r="K103" s="2">
        <v>6852592.943230472</v>
      </c>
      <c r="L103" s="2">
        <v>2691536.809443355</v>
      </c>
      <c r="M103" s="2">
        <v>8978232.951834733</v>
      </c>
      <c r="N103" s="3">
        <v>1.5</v>
      </c>
      <c r="O103" s="3">
        <v>2.5</v>
      </c>
      <c r="P103" s="2">
        <v>253354.0162775233</v>
      </c>
      <c r="Q103" s="2">
        <v>719462.0677240967</v>
      </c>
      <c r="R103" s="2">
        <v>316692.5203469041</v>
      </c>
      <c r="S103" s="2">
        <v>354695.6227885326</v>
      </c>
      <c r="T103" s="2">
        <v>3271433.735183519</v>
      </c>
      <c r="U103" s="2">
        <f>M103+P103+Q103+R103+S103+T103</f>
        <v>13893870.914155308</v>
      </c>
      <c r="V103" s="2">
        <f>F103-K103-L103-U103</f>
        <v>3386952.254607279</v>
      </c>
      <c r="W103" s="2">
        <v>63675.78670229813</v>
      </c>
      <c r="X103" s="2">
        <v>323977.8849113712</v>
      </c>
      <c r="Y103" s="2">
        <f>W103+X103</f>
        <v>387653.6716136693</v>
      </c>
      <c r="Z103" s="2">
        <v>6386652.976283215</v>
      </c>
      <c r="AA103" s="2">
        <v>0</v>
      </c>
      <c r="AB103" s="2">
        <v>0</v>
      </c>
      <c r="AC103" s="2">
        <v>0</v>
      </c>
      <c r="AD103" s="2">
        <v>357865.3583054591</v>
      </c>
      <c r="AE103" s="2">
        <v>1789326.791527297</v>
      </c>
      <c r="AF103" s="2">
        <f>F103-H103-L103-U103-AA103-AC103-AD103</f>
        <v>350161.1031163696</v>
      </c>
      <c r="AG103" s="2">
        <f>F103-H103-L103-U103-AA103-AB103-AD103-Y103</f>
        <v>-37492.56849729974</v>
      </c>
      <c r="AH103" s="2">
        <f>AH102+AG103</f>
        <v>221075172.9022353</v>
      </c>
      <c r="AI103" s="2">
        <v>43969412.55730693</v>
      </c>
      <c r="AJ103" s="2">
        <f>AH103-AI103</f>
        <v>177105760.34492838</v>
      </c>
      <c r="AK103" s="3">
        <v>0.25</v>
      </c>
    </row>
    <row r="104" spans="1:37">
      <c r="A104" s="2">
        <v>103</v>
      </c>
      <c r="B104" s="2">
        <v>2035</v>
      </c>
      <c r="C104" s="2">
        <v>83</v>
      </c>
      <c r="D104" s="2">
        <v>443356.8607848518</v>
      </c>
      <c r="E104" s="2">
        <v>36798619.4451427</v>
      </c>
      <c r="F104" s="2">
        <f>E104/1.19</f>
        <v>30923209.617766976</v>
      </c>
      <c r="G104" s="2">
        <v>120</v>
      </c>
      <c r="H104" s="2">
        <v>11437822.48369911</v>
      </c>
      <c r="I104" s="2">
        <v>225</v>
      </c>
      <c r="J104" s="2">
        <v>21426650.69149416</v>
      </c>
      <c r="K104" s="2">
        <v>7904053.366195623</v>
      </c>
      <c r="L104" s="2">
        <v>3103106.742083818</v>
      </c>
      <c r="M104" s="2">
        <v>8978232.951834733</v>
      </c>
      <c r="N104" s="3">
        <v>1.5</v>
      </c>
      <c r="O104" s="3">
        <v>2.5</v>
      </c>
      <c r="P104" s="2">
        <v>253354.0162775233</v>
      </c>
      <c r="Q104" s="2">
        <v>719462.0677240967</v>
      </c>
      <c r="R104" s="2">
        <v>316692.5203469041</v>
      </c>
      <c r="S104" s="2">
        <v>354695.6227885326</v>
      </c>
      <c r="T104" s="2">
        <v>3271433.735183519</v>
      </c>
      <c r="U104" s="2">
        <f>M104+P104+Q104+R104+S104+T104</f>
        <v>13893870.914155308</v>
      </c>
      <c r="V104" s="2">
        <f>F104-K104-L104-U104</f>
        <v>6022178.595332228</v>
      </c>
      <c r="W104" s="2">
        <v>60601.62763698995</v>
      </c>
      <c r="X104" s="2">
        <v>327052.0439766794</v>
      </c>
      <c r="Y104" s="2">
        <f>W104+X104</f>
        <v>387653.6716136693</v>
      </c>
      <c r="Z104" s="2">
        <v>6059600.932306536</v>
      </c>
      <c r="AA104" s="2">
        <v>0</v>
      </c>
      <c r="AB104" s="2">
        <v>0</v>
      </c>
      <c r="AC104" s="2">
        <v>0</v>
      </c>
      <c r="AD104" s="2">
        <v>357865.3583054596</v>
      </c>
      <c r="AE104" s="2">
        <v>2147192.149832757</v>
      </c>
      <c r="AF104" s="2">
        <f>F104-H104-L104-U104-AA104-AC104-AD104</f>
        <v>2130544.119523281</v>
      </c>
      <c r="AG104" s="2">
        <f>F104-H104-L104-U104-AA104-AB104-AD104-Y104</f>
        <v>1742890.447909612</v>
      </c>
      <c r="AH104" s="2">
        <f>AH103+AG104</f>
        <v>222818063.35014492</v>
      </c>
      <c r="AI104" s="2">
        <v>43969412.55730693</v>
      </c>
      <c r="AJ104" s="2">
        <f>AH104-AI104</f>
        <v>178848650.79283798</v>
      </c>
      <c r="AK104" s="3">
        <v>0.25</v>
      </c>
    </row>
    <row r="105" spans="1:37">
      <c r="A105" s="2">
        <v>104</v>
      </c>
      <c r="B105" s="2">
        <v>2035</v>
      </c>
      <c r="C105" s="2">
        <v>103</v>
      </c>
      <c r="D105" s="2">
        <v>443356.8607848518</v>
      </c>
      <c r="E105" s="2">
        <v>45665756.66083974</v>
      </c>
      <c r="F105" s="2">
        <f>E105/1.19</f>
        <v>38374585.4292771</v>
      </c>
      <c r="G105" s="2">
        <v>130</v>
      </c>
      <c r="H105" s="2">
        <v>12390974.3573407</v>
      </c>
      <c r="I105" s="2">
        <v>252</v>
      </c>
      <c r="J105" s="2">
        <v>24005750.73889123</v>
      </c>
      <c r="K105" s="2">
        <v>9811874.309943635</v>
      </c>
      <c r="L105" s="2">
        <v>3851101.688135025</v>
      </c>
      <c r="M105" s="2">
        <v>8978232.951834733</v>
      </c>
      <c r="N105" s="3">
        <v>1.5</v>
      </c>
      <c r="O105" s="3">
        <v>2.5</v>
      </c>
      <c r="P105" s="2">
        <v>253354.0162775233</v>
      </c>
      <c r="Q105" s="2">
        <v>719462.0677240967</v>
      </c>
      <c r="R105" s="2">
        <v>316692.5203469041</v>
      </c>
      <c r="S105" s="2">
        <v>354695.6227885326</v>
      </c>
      <c r="T105" s="2">
        <v>3271433.735183519</v>
      </c>
      <c r="U105" s="2">
        <f>M105+P105+Q105+R105+S105+T105</f>
        <v>13893870.914155308</v>
      </c>
      <c r="V105" s="2">
        <f>F105-K105-L105-U105</f>
        <v>10817738.517043132</v>
      </c>
      <c r="W105" s="2">
        <v>57498.29851286309</v>
      </c>
      <c r="X105" s="2">
        <v>330155.3731008062</v>
      </c>
      <c r="Y105" s="2">
        <f>W105+X105</f>
        <v>387653.6716136693</v>
      </c>
      <c r="Z105" s="2">
        <v>5729445.55920573</v>
      </c>
      <c r="AA105" s="2">
        <v>0</v>
      </c>
      <c r="AB105" s="2">
        <v>0</v>
      </c>
      <c r="AC105" s="2">
        <v>0</v>
      </c>
      <c r="AD105" s="2">
        <v>178932.6791527295</v>
      </c>
      <c r="AE105" s="2">
        <v>2326124.828985486</v>
      </c>
      <c r="AF105" s="2">
        <f>F105-H105-L105-U105-AA105-AC105-AD105</f>
        <v>8059705.790493337</v>
      </c>
      <c r="AG105" s="2">
        <f>F105-H105-L105-U105-AA105-AB105-AD105-Y105</f>
        <v>7672052.118879668</v>
      </c>
      <c r="AH105" s="2">
        <f>AH104+AG105</f>
        <v>230490115.4690246</v>
      </c>
      <c r="AI105" s="2">
        <v>43969412.55730693</v>
      </c>
      <c r="AJ105" s="2">
        <f>AH105-AI105</f>
        <v>186520702.91171765</v>
      </c>
      <c r="AK105" s="3">
        <v>0.25</v>
      </c>
    </row>
    <row r="106" spans="1:37">
      <c r="A106" s="2">
        <v>105</v>
      </c>
      <c r="B106" s="2">
        <v>2035</v>
      </c>
      <c r="C106" s="2">
        <v>114</v>
      </c>
      <c r="D106" s="2">
        <v>443356.8607848518</v>
      </c>
      <c r="E106" s="2">
        <v>50542682.12947311</v>
      </c>
      <c r="F106" s="2">
        <f>E106/1.19</f>
        <v>42472842.12560766</v>
      </c>
      <c r="G106" s="2">
        <v>150</v>
      </c>
      <c r="H106" s="2">
        <v>14297278.10462389</v>
      </c>
      <c r="I106" s="2">
        <v>288</v>
      </c>
      <c r="J106" s="2">
        <v>27440975.88789142</v>
      </c>
      <c r="K106" s="2">
        <v>10862052.95562369</v>
      </c>
      <c r="L106" s="2">
        <v>4262569.07859268</v>
      </c>
      <c r="M106" s="2">
        <v>8978232.951834733</v>
      </c>
      <c r="N106" s="3">
        <v>1.5</v>
      </c>
      <c r="O106" s="3">
        <v>2.5</v>
      </c>
      <c r="P106" s="2">
        <v>253354.0162775233</v>
      </c>
      <c r="Q106" s="2">
        <v>719462.0677240967</v>
      </c>
      <c r="R106" s="2">
        <v>316692.5203469041</v>
      </c>
      <c r="S106" s="2">
        <v>354695.6227885326</v>
      </c>
      <c r="T106" s="2">
        <v>3271433.735183519</v>
      </c>
      <c r="U106" s="2">
        <f>M106+P106+Q106+R106+S106+T106</f>
        <v>13893870.914155308</v>
      </c>
      <c r="V106" s="2">
        <f>F106-K106-L106-U106</f>
        <v>13454349.177235983</v>
      </c>
      <c r="W106" s="2">
        <v>54365.52254126954</v>
      </c>
      <c r="X106" s="2">
        <v>333288.1490723998</v>
      </c>
      <c r="Y106" s="2">
        <f>W106+X106</f>
        <v>387653.6716136693</v>
      </c>
      <c r="Z106" s="2">
        <v>5396157.41013333</v>
      </c>
      <c r="AA106" s="2">
        <v>0</v>
      </c>
      <c r="AB106" s="2">
        <v>0</v>
      </c>
      <c r="AC106" s="2">
        <v>0</v>
      </c>
      <c r="AD106" s="2">
        <v>357865.3583054598</v>
      </c>
      <c r="AE106" s="2">
        <v>2683990.187290946</v>
      </c>
      <c r="AF106" s="2">
        <f>F106-H106-L106-U106-AA106-AC106-AD106</f>
        <v>9661258.66993033</v>
      </c>
      <c r="AG106" s="2">
        <f>F106-H106-L106-U106-AA106-AB106-AD106-Y106</f>
        <v>9273604.99831666</v>
      </c>
      <c r="AH106" s="2">
        <f>AH105+AG106</f>
        <v>239763720.46734124</v>
      </c>
      <c r="AI106" s="2">
        <v>43969412.55730693</v>
      </c>
      <c r="AJ106" s="2">
        <f>AH106-AI106</f>
        <v>195794307.9100343</v>
      </c>
      <c r="AK106" s="3">
        <v>0.25</v>
      </c>
    </row>
    <row r="107" spans="1:37">
      <c r="A107" s="2">
        <v>106</v>
      </c>
      <c r="B107" s="2">
        <v>2035</v>
      </c>
      <c r="C107" s="2">
        <v>134</v>
      </c>
      <c r="D107" s="2">
        <v>443356.8607848518</v>
      </c>
      <c r="E107" s="2">
        <v>59409819.34517015</v>
      </c>
      <c r="F107" s="2">
        <f>E107/1.19</f>
        <v>49924217.93711777</v>
      </c>
      <c r="G107" s="2">
        <v>170</v>
      </c>
      <c r="H107" s="2">
        <v>16203581.85190707</v>
      </c>
      <c r="I107" s="2">
        <v>324</v>
      </c>
      <c r="J107" s="2">
        <v>30875189.31811072</v>
      </c>
      <c r="K107" s="2">
        <v>12769368.42168777</v>
      </c>
      <c r="L107" s="2">
        <v>5010523.586429172</v>
      </c>
      <c r="M107" s="2">
        <v>8978232.951834733</v>
      </c>
      <c r="N107" s="3">
        <v>1.5</v>
      </c>
      <c r="O107" s="3">
        <v>2.5</v>
      </c>
      <c r="P107" s="2">
        <v>253354.0162775233</v>
      </c>
      <c r="Q107" s="2">
        <v>719462.0677240967</v>
      </c>
      <c r="R107" s="2">
        <v>316692.5203469041</v>
      </c>
      <c r="S107" s="2">
        <v>354695.6227885326</v>
      </c>
      <c r="T107" s="2">
        <v>3271433.735183519</v>
      </c>
      <c r="U107" s="2">
        <f>M107+P107+Q107+R107+S107+T107</f>
        <v>13893870.914155308</v>
      </c>
      <c r="V107" s="2">
        <f>F107-K107-L107-U107</f>
        <v>18250455.014845524</v>
      </c>
      <c r="W107" s="2">
        <v>51203.02030717109</v>
      </c>
      <c r="X107" s="2">
        <v>336450.6513064982</v>
      </c>
      <c r="Y107" s="2">
        <f>W107+X107</f>
        <v>387653.6716136693</v>
      </c>
      <c r="Z107" s="2">
        <v>5059706.758826832</v>
      </c>
      <c r="AA107" s="2">
        <v>0</v>
      </c>
      <c r="AB107" s="2">
        <v>0</v>
      </c>
      <c r="AC107" s="2">
        <v>0</v>
      </c>
      <c r="AD107" s="2">
        <v>357865.3583054598</v>
      </c>
      <c r="AE107" s="2">
        <v>3041855.545596406</v>
      </c>
      <c r="AF107" s="2">
        <f>F107-H107-L107-U107-AA107-AC107-AD107</f>
        <v>14458376.226320757</v>
      </c>
      <c r="AG107" s="2">
        <f>F107-H107-L107-U107-AA107-AB107-AD107-Y107</f>
        <v>14070722.554707088</v>
      </c>
      <c r="AH107" s="2">
        <f>AH106+AG107</f>
        <v>253834443.02204832</v>
      </c>
      <c r="AI107" s="2">
        <v>43969412.55730693</v>
      </c>
      <c r="AJ107" s="2">
        <f>AH107-AI107</f>
        <v>209865030.4647414</v>
      </c>
      <c r="AK107" s="3">
        <v>0.25</v>
      </c>
    </row>
    <row r="108" spans="1:37">
      <c r="A108" s="2">
        <v>107</v>
      </c>
      <c r="B108" s="2">
        <v>2035</v>
      </c>
      <c r="C108" s="2">
        <v>145</v>
      </c>
      <c r="D108" s="2">
        <v>443356.8607848518</v>
      </c>
      <c r="E108" s="2">
        <v>64286744.81380352</v>
      </c>
      <c r="F108" s="2">
        <f>E108/1.19</f>
        <v>54022474.63344833</v>
      </c>
      <c r="G108" s="2">
        <v>20</v>
      </c>
      <c r="H108" s="2">
        <v>1906303.747283185</v>
      </c>
      <c r="I108" s="2">
        <v>199</v>
      </c>
      <c r="J108" s="2">
        <v>18963712.55817845</v>
      </c>
      <c r="K108" s="2">
        <v>13817780.50721546</v>
      </c>
      <c r="L108" s="2">
        <v>5421849.652074639</v>
      </c>
      <c r="M108" s="2">
        <v>8978232.951834733</v>
      </c>
      <c r="N108" s="3">
        <v>1.5</v>
      </c>
      <c r="O108" s="3">
        <v>2.5</v>
      </c>
      <c r="P108" s="2">
        <v>253354.0162775233</v>
      </c>
      <c r="Q108" s="2">
        <v>719462.0677240967</v>
      </c>
      <c r="R108" s="2">
        <v>316692.5203469041</v>
      </c>
      <c r="S108" s="2">
        <v>354695.6227885326</v>
      </c>
      <c r="T108" s="2">
        <v>3271433.735183519</v>
      </c>
      <c r="U108" s="2">
        <f>M108+P108+Q108+R108+S108+T108</f>
        <v>13893870.914155308</v>
      </c>
      <c r="V108" s="2">
        <f>F108-K108-L108-U108</f>
        <v>20888973.560002934</v>
      </c>
      <c r="W108" s="2">
        <v>48010.50974421813</v>
      </c>
      <c r="X108" s="2">
        <v>339643.1618694512</v>
      </c>
      <c r="Y108" s="2">
        <f>W108+X108</f>
        <v>387653.6716136693</v>
      </c>
      <c r="Z108" s="2">
        <v>4720063.596957381</v>
      </c>
      <c r="AA108" s="2">
        <v>0</v>
      </c>
      <c r="AB108" s="2">
        <v>0</v>
      </c>
      <c r="AC108" s="2">
        <v>0</v>
      </c>
      <c r="AD108" s="2">
        <v>-2683990.187290946</v>
      </c>
      <c r="AE108" s="2">
        <v>357865.3583054595</v>
      </c>
      <c r="AF108" s="2">
        <f>F108-H108-L108-U108-AA108-AC108-AD108</f>
        <v>35484440.50722615</v>
      </c>
      <c r="AG108" s="2">
        <f>F108-H108-L108-U108-AA108-AB108-AD108-Y108</f>
        <v>35096786.835612476</v>
      </c>
      <c r="AH108" s="2">
        <f>AH107+AG108</f>
        <v>288931229.8576608</v>
      </c>
      <c r="AI108" s="2">
        <v>43969412.55730693</v>
      </c>
      <c r="AJ108" s="2">
        <f>AH108-AI108</f>
        <v>244961817.30035383</v>
      </c>
      <c r="AK108" s="3">
        <v>0.25</v>
      </c>
    </row>
    <row r="109" spans="1:37">
      <c r="A109" s="2">
        <v>108</v>
      </c>
      <c r="B109" s="2">
        <v>2035</v>
      </c>
      <c r="C109" s="2">
        <v>175</v>
      </c>
      <c r="D109" s="2">
        <v>443356.8607848518</v>
      </c>
      <c r="E109" s="2">
        <v>77587450.63734907</v>
      </c>
      <c r="F109" s="2">
        <f>E109/1.19</f>
        <v>65199538.35071351</v>
      </c>
      <c r="G109" s="2">
        <v>40</v>
      </c>
      <c r="H109" s="2">
        <v>3812607.49456637</v>
      </c>
      <c r="I109" s="2">
        <v>64</v>
      </c>
      <c r="J109" s="2">
        <v>6099098.256801963</v>
      </c>
      <c r="K109" s="2">
        <v>16677221.79594286</v>
      </c>
      <c r="L109" s="2">
        <v>6543658.86099988</v>
      </c>
      <c r="M109" s="2">
        <v>8978232.951834733</v>
      </c>
      <c r="N109" s="3">
        <v>1.5</v>
      </c>
      <c r="O109" s="3">
        <v>2.5</v>
      </c>
      <c r="P109" s="2">
        <v>253354.0162775233</v>
      </c>
      <c r="Q109" s="2">
        <v>719462.0677240967</v>
      </c>
      <c r="R109" s="2">
        <v>316692.5203469041</v>
      </c>
      <c r="S109" s="2">
        <v>354695.6227885326</v>
      </c>
      <c r="T109" s="2">
        <v>3271433.735183519</v>
      </c>
      <c r="U109" s="2">
        <f>M109+P109+Q109+R109+S109+T109</f>
        <v>13893870.914155308</v>
      </c>
      <c r="V109" s="2">
        <f>F109-K109-L109-U109</f>
        <v>28084786.779615458</v>
      </c>
      <c r="W109" s="2">
        <v>44787.70610959183</v>
      </c>
      <c r="X109" s="2">
        <v>342865.9655040775</v>
      </c>
      <c r="Y109" s="2">
        <f>W109+X109</f>
        <v>387653.6716136693</v>
      </c>
      <c r="Z109" s="2">
        <v>4377197.631453304</v>
      </c>
      <c r="AA109" s="2">
        <v>0</v>
      </c>
      <c r="AB109" s="2">
        <v>19912664.47309569</v>
      </c>
      <c r="AC109" s="2">
        <v>20098572.44520159</v>
      </c>
      <c r="AD109" s="2">
        <v>357865.3583054595</v>
      </c>
      <c r="AE109" s="2">
        <v>715730.716610919</v>
      </c>
      <c r="AF109" s="2">
        <f>F109-H109-L109-U109-AA109-AC109-AD109</f>
        <v>20492963.277484905</v>
      </c>
      <c r="AG109" s="2">
        <f>F109-H109-L109-U109-AA109-AB109-AD109-Y109</f>
        <v>20291217.577977132</v>
      </c>
      <c r="AH109" s="2">
        <f>AH108+AG109</f>
        <v>309222447.4356379</v>
      </c>
      <c r="AI109" s="2">
        <v>43969412.55730693</v>
      </c>
      <c r="AJ109" s="2">
        <f>AH109-AI109</f>
        <v>265253034.87833095</v>
      </c>
      <c r="AK109" s="3">
        <v>0.25</v>
      </c>
    </row>
    <row r="110" spans="1:37">
      <c r="A110" s="2">
        <v>109</v>
      </c>
      <c r="B110" s="2">
        <v>2036</v>
      </c>
      <c r="C110" s="2">
        <v>22</v>
      </c>
      <c r="D110" s="2">
        <v>456657.5666083974</v>
      </c>
      <c r="E110" s="2">
        <v>10046466.46538474</v>
      </c>
      <c r="F110" s="2">
        <f>E110/1.19</f>
        <v>8442408.794440962</v>
      </c>
      <c r="G110" s="2">
        <v>40</v>
      </c>
      <c r="H110" s="2">
        <v>3926985.719403361</v>
      </c>
      <c r="I110" s="2">
        <v>82</v>
      </c>
      <c r="J110" s="2">
        <v>7905181.596623428</v>
      </c>
      <c r="K110" s="2">
        <v>2120902.379581895</v>
      </c>
      <c r="L110" s="2">
        <v>844225.5739012491</v>
      </c>
      <c r="M110" s="2">
        <v>9247579.940389775</v>
      </c>
      <c r="N110" s="3">
        <v>1.5</v>
      </c>
      <c r="O110" s="3">
        <v>2.5</v>
      </c>
      <c r="P110" s="2">
        <v>260954.636765849</v>
      </c>
      <c r="Q110" s="2">
        <v>768315.6892978508</v>
      </c>
      <c r="R110" s="2">
        <v>326193.2959573112</v>
      </c>
      <c r="S110" s="2">
        <v>365336.4914721886</v>
      </c>
      <c r="T110" s="2">
        <v>3539197.261136827</v>
      </c>
      <c r="U110" s="2">
        <f>M110+P110+Q110+R110+S110+T110</f>
        <v>14507577.315019801</v>
      </c>
      <c r="V110" s="2">
        <f>F110-K110-L110-U110</f>
        <v>-9030296.474061983</v>
      </c>
      <c r="W110" s="2">
        <v>41534.32195860775</v>
      </c>
      <c r="X110" s="2">
        <v>346119.3496550616</v>
      </c>
      <c r="Y110" s="2">
        <f>W110+X110</f>
        <v>387653.6716136693</v>
      </c>
      <c r="Z110" s="2">
        <v>4031078.281798242</v>
      </c>
      <c r="AA110" s="2">
        <v>1957159.775743867</v>
      </c>
      <c r="AB110" s="2">
        <v>0</v>
      </c>
      <c r="AC110" s="2">
        <v>0</v>
      </c>
      <c r="AD110" s="2">
        <v>21471.92149832763</v>
      </c>
      <c r="AE110" s="2">
        <v>737202.6381092466</v>
      </c>
      <c r="AF110" s="2">
        <f>F110-H110-L110-U110-AA110-AC110-AD110</f>
        <v>-12815011.511125647</v>
      </c>
      <c r="AG110" s="2">
        <f>F110-H110-L110-U110-AA110-AB110-AD110-Y110</f>
        <v>-13202665.182739316</v>
      </c>
      <c r="AH110" s="2">
        <f>AH109+AG110</f>
        <v>296019782.2528986</v>
      </c>
      <c r="AI110" s="2">
        <v>45810531.75990041</v>
      </c>
      <c r="AJ110" s="2">
        <f>AH110-AI110</f>
        <v>250209250.49299818</v>
      </c>
      <c r="AK110" s="3">
        <v>0.25</v>
      </c>
    </row>
    <row r="111" spans="1:37">
      <c r="A111" s="2">
        <v>110</v>
      </c>
      <c r="B111" s="2">
        <v>2036</v>
      </c>
      <c r="C111" s="2">
        <v>33</v>
      </c>
      <c r="D111" s="2">
        <v>456657.5666083974</v>
      </c>
      <c r="E111" s="2">
        <v>15069699.69807711</v>
      </c>
      <c r="F111" s="2">
        <f>E111/1.19</f>
        <v>12663613.191661442</v>
      </c>
      <c r="G111" s="2">
        <v>50</v>
      </c>
      <c r="H111" s="2">
        <v>4908732.149254201</v>
      </c>
      <c r="I111" s="2">
        <v>99</v>
      </c>
      <c r="J111" s="2">
        <v>9610435.309408221</v>
      </c>
      <c r="K111" s="2">
        <v>3203478.436469407</v>
      </c>
      <c r="L111" s="2">
        <v>1268108.350219599</v>
      </c>
      <c r="M111" s="2">
        <v>9247579.940389775</v>
      </c>
      <c r="N111" s="3">
        <v>1.5</v>
      </c>
      <c r="O111" s="3">
        <v>2.5</v>
      </c>
      <c r="P111" s="2">
        <v>260954.636765849</v>
      </c>
      <c r="Q111" s="2">
        <v>768315.6892978508</v>
      </c>
      <c r="R111" s="2">
        <v>326193.2959573112</v>
      </c>
      <c r="S111" s="2">
        <v>365336.4914721886</v>
      </c>
      <c r="T111" s="2">
        <v>3539197.261136827</v>
      </c>
      <c r="U111" s="2">
        <f>M111+P111+Q111+R111+S111+T111</f>
        <v>14507577.315019801</v>
      </c>
      <c r="V111" s="2">
        <f>F111-K111-L111-U111</f>
        <v>-6315550.910047366</v>
      </c>
      <c r="W111" s="2">
        <v>38250.06711907833</v>
      </c>
      <c r="X111" s="2">
        <v>349403.604494591</v>
      </c>
      <c r="Y111" s="2">
        <f>W111+X111</f>
        <v>387653.6716136693</v>
      </c>
      <c r="Z111" s="2">
        <v>3681674.677303651</v>
      </c>
      <c r="AA111" s="2">
        <v>0</v>
      </c>
      <c r="AB111" s="2">
        <v>0</v>
      </c>
      <c r="AC111" s="2">
        <v>0</v>
      </c>
      <c r="AD111" s="2">
        <v>184300.6595273116</v>
      </c>
      <c r="AE111" s="2">
        <v>921503.2976365582</v>
      </c>
      <c r="AF111" s="2">
        <f>F111-H111-L111-U111-AA111-AC111-AD111</f>
        <v>-8205105.282359472</v>
      </c>
      <c r="AG111" s="2">
        <f>F111-H111-L111-U111-AA111-AB111-AD111-Y111</f>
        <v>-8592758.95397314</v>
      </c>
      <c r="AH111" s="2">
        <f>AH110+AG111</f>
        <v>287427023.29892546</v>
      </c>
      <c r="AI111" s="2">
        <v>45810531.75990041</v>
      </c>
      <c r="AJ111" s="2">
        <f>AH111-AI111</f>
        <v>241616491.53902507</v>
      </c>
      <c r="AK111" s="3">
        <v>0.25</v>
      </c>
    </row>
    <row r="112" spans="1:37">
      <c r="A112" s="2">
        <v>111</v>
      </c>
      <c r="B112" s="2">
        <v>2036</v>
      </c>
      <c r="C112" s="2">
        <v>43</v>
      </c>
      <c r="D112" s="2">
        <v>456657.5666083974</v>
      </c>
      <c r="E112" s="2">
        <v>19636275.36416109</v>
      </c>
      <c r="F112" s="2">
        <f>E112/1.19</f>
        <v>16501071.734589152</v>
      </c>
      <c r="G112" s="2">
        <v>70</v>
      </c>
      <c r="H112" s="2">
        <v>6872225.008955882</v>
      </c>
      <c r="I112" s="2">
        <v>126</v>
      </c>
      <c r="J112" s="2">
        <v>12288847.33795194</v>
      </c>
      <c r="K112" s="2">
        <v>4193812.980412168</v>
      </c>
      <c r="L112" s="2">
        <v>1653950.288068973</v>
      </c>
      <c r="M112" s="2">
        <v>9247579.940389775</v>
      </c>
      <c r="N112" s="3">
        <v>1.5</v>
      </c>
      <c r="O112" s="3">
        <v>2.5</v>
      </c>
      <c r="P112" s="2">
        <v>260954.636765849</v>
      </c>
      <c r="Q112" s="2">
        <v>768315.6892978508</v>
      </c>
      <c r="R112" s="2">
        <v>326193.2959573112</v>
      </c>
      <c r="S112" s="2">
        <v>365336.4914721886</v>
      </c>
      <c r="T112" s="2">
        <v>3539197.261136827</v>
      </c>
      <c r="U112" s="2">
        <f>M112+P112+Q112+R112+S112+T112</f>
        <v>14507577.315019801</v>
      </c>
      <c r="V112" s="2">
        <f>F112-K112-L112-U112</f>
        <v>-3854268.84891179</v>
      </c>
      <c r="W112" s="2">
        <v>34934.6486654322</v>
      </c>
      <c r="X112" s="2">
        <v>352719.0229482371</v>
      </c>
      <c r="Y112" s="2">
        <f>W112+X112</f>
        <v>387653.6716136693</v>
      </c>
      <c r="Z112" s="2">
        <v>3328955.654355414</v>
      </c>
      <c r="AA112" s="2">
        <v>0</v>
      </c>
      <c r="AB112" s="2">
        <v>0</v>
      </c>
      <c r="AC112" s="2">
        <v>0</v>
      </c>
      <c r="AD112" s="2">
        <v>368601.3190546233</v>
      </c>
      <c r="AE112" s="2">
        <v>1290104.616691181</v>
      </c>
      <c r="AF112" s="2">
        <f>F112-H112-L112-U112-AA112-AC112-AD112</f>
        <v>-6901282.196510126</v>
      </c>
      <c r="AG112" s="2">
        <f>F112-H112-L112-U112-AA112-AB112-AD112-Y112</f>
        <v>-7288935.868123795</v>
      </c>
      <c r="AH112" s="2">
        <f>AH111+AG112</f>
        <v>280138087.4308017</v>
      </c>
      <c r="AI112" s="2">
        <v>45810531.75990041</v>
      </c>
      <c r="AJ112" s="2">
        <f>AH112-AI112</f>
        <v>234327555.6709013</v>
      </c>
      <c r="AK112" s="3">
        <v>0.25</v>
      </c>
    </row>
    <row r="113" spans="1:37">
      <c r="A113" s="2">
        <v>112</v>
      </c>
      <c r="B113" s="2">
        <v>2036</v>
      </c>
      <c r="C113" s="2">
        <v>54</v>
      </c>
      <c r="D113" s="2">
        <v>456657.5666083974</v>
      </c>
      <c r="E113" s="2">
        <v>24659508.59685346</v>
      </c>
      <c r="F113" s="2">
        <f>E113/1.19</f>
        <v>20722276.131809633</v>
      </c>
      <c r="G113" s="2">
        <v>70</v>
      </c>
      <c r="H113" s="2">
        <v>6872225.008955882</v>
      </c>
      <c r="I113" s="2">
        <v>142</v>
      </c>
      <c r="J113" s="2">
        <v>13882001.39418832</v>
      </c>
      <c r="K113" s="2">
        <v>5279070.9527195</v>
      </c>
      <c r="L113" s="2">
        <v>2078047.617620908</v>
      </c>
      <c r="M113" s="2">
        <v>9247579.940389775</v>
      </c>
      <c r="N113" s="3">
        <v>1.5</v>
      </c>
      <c r="O113" s="3">
        <v>2.5</v>
      </c>
      <c r="P113" s="2">
        <v>260954.636765849</v>
      </c>
      <c r="Q113" s="2">
        <v>768315.6892978508</v>
      </c>
      <c r="R113" s="2">
        <v>326193.2959573112</v>
      </c>
      <c r="S113" s="2">
        <v>365336.4914721886</v>
      </c>
      <c r="T113" s="2">
        <v>3539197.261136827</v>
      </c>
      <c r="U113" s="2">
        <f>M113+P113+Q113+R113+S113+T113</f>
        <v>14507577.315019801</v>
      </c>
      <c r="V113" s="2">
        <f>F113-K113-L113-U113</f>
        <v>-1142419.753550576</v>
      </c>
      <c r="W113" s="2">
        <v>31587.77089258793</v>
      </c>
      <c r="X113" s="2">
        <v>356065.9007210814</v>
      </c>
      <c r="Y113" s="2">
        <f>W113+X113</f>
        <v>387653.6716136693</v>
      </c>
      <c r="Z113" s="2">
        <v>2972889.753634333</v>
      </c>
      <c r="AA113" s="2">
        <v>0</v>
      </c>
      <c r="AB113" s="2">
        <v>0</v>
      </c>
      <c r="AC113" s="2">
        <v>0</v>
      </c>
      <c r="AD113" s="2">
        <v>0</v>
      </c>
      <c r="AE113" s="2">
        <v>1290104.616691181</v>
      </c>
      <c r="AF113" s="2">
        <f>F113-H113-L113-U113-AA113-AC113-AD113</f>
        <v>-2735573.8097869568</v>
      </c>
      <c r="AG113" s="2">
        <f>F113-H113-L113-U113-AA113-AB113-AD113-Y113</f>
        <v>-3123227.4814006262</v>
      </c>
      <c r="AH113" s="2">
        <f>AH112+AG113</f>
        <v>277014859.9494011</v>
      </c>
      <c r="AI113" s="2">
        <v>45810531.75990041</v>
      </c>
      <c r="AJ113" s="2">
        <f>AH113-AI113</f>
        <v>231204328.1895007</v>
      </c>
      <c r="AK113" s="3">
        <v>0.25</v>
      </c>
    </row>
    <row r="114" spans="1:37">
      <c r="A114" s="2">
        <v>113</v>
      </c>
      <c r="B114" s="2">
        <v>2036</v>
      </c>
      <c r="C114" s="2">
        <v>65</v>
      </c>
      <c r="D114" s="2">
        <v>456657.5666083974</v>
      </c>
      <c r="E114" s="2">
        <v>29682741.82954583</v>
      </c>
      <c r="F114" s="2">
        <f>E114/1.19</f>
        <v>24943480.529030114</v>
      </c>
      <c r="G114" s="2">
        <v>90</v>
      </c>
      <c r="H114" s="2">
        <v>8835717.868657561</v>
      </c>
      <c r="I114" s="2">
        <v>167</v>
      </c>
      <c r="J114" s="2">
        <v>16352841.02110027</v>
      </c>
      <c r="K114" s="2">
        <v>6364878.241745614</v>
      </c>
      <c r="L114" s="2">
        <v>2502188.892510346</v>
      </c>
      <c r="M114" s="2">
        <v>9247579.940389775</v>
      </c>
      <c r="N114" s="3">
        <v>1.5</v>
      </c>
      <c r="O114" s="3">
        <v>2.5</v>
      </c>
      <c r="P114" s="2">
        <v>260954.636765849</v>
      </c>
      <c r="Q114" s="2">
        <v>768315.6892978508</v>
      </c>
      <c r="R114" s="2">
        <v>326193.2959573112</v>
      </c>
      <c r="S114" s="2">
        <v>365336.4914721886</v>
      </c>
      <c r="T114" s="2">
        <v>3539197.261136827</v>
      </c>
      <c r="U114" s="2">
        <f>M114+P114+Q114+R114+S114+T114</f>
        <v>14507577.315019801</v>
      </c>
      <c r="V114" s="2">
        <f>F114-K114-L114-U114</f>
        <v>1568836.0797543526</v>
      </c>
      <c r="W114" s="2">
        <v>28209.13528957979</v>
      </c>
      <c r="X114" s="2">
        <v>359444.5363240895</v>
      </c>
      <c r="Y114" s="2">
        <f>W114+X114</f>
        <v>387653.6716136693</v>
      </c>
      <c r="Z114" s="2">
        <v>2613445.217310243</v>
      </c>
      <c r="AA114" s="2">
        <v>0</v>
      </c>
      <c r="AB114" s="2">
        <v>0</v>
      </c>
      <c r="AC114" s="2">
        <v>0</v>
      </c>
      <c r="AD114" s="2">
        <v>368601.3190546231</v>
      </c>
      <c r="AE114" s="2">
        <v>1658705.935745805</v>
      </c>
      <c r="AF114" s="2">
        <f>F114-H114-L114-U114-AA114-AC114-AD114</f>
        <v>-1270604.8662122162</v>
      </c>
      <c r="AG114" s="2">
        <f>F114-H114-L114-U114-AA114-AB114-AD114-Y114</f>
        <v>-1658258.5378258855</v>
      </c>
      <c r="AH114" s="2">
        <f>AH113+AG114</f>
        <v>275356601.4115752</v>
      </c>
      <c r="AI114" s="2">
        <v>45810531.75990041</v>
      </c>
      <c r="AJ114" s="2">
        <f>AH114-AI114</f>
        <v>229546069.6516748</v>
      </c>
      <c r="AK114" s="3">
        <v>0.25</v>
      </c>
    </row>
    <row r="115" spans="1:37">
      <c r="A115" s="2">
        <v>114</v>
      </c>
      <c r="B115" s="2">
        <v>2036</v>
      </c>
      <c r="C115" s="2">
        <v>76</v>
      </c>
      <c r="D115" s="2">
        <v>456657.5666083974</v>
      </c>
      <c r="E115" s="2">
        <v>34705975.0622382</v>
      </c>
      <c r="F115" s="2">
        <f>E115/1.19</f>
        <v>29164684.926250592</v>
      </c>
      <c r="G115" s="2">
        <v>110</v>
      </c>
      <c r="H115" s="2">
        <v>10799210.72835924</v>
      </c>
      <c r="I115" s="2">
        <v>201</v>
      </c>
      <c r="J115" s="2">
        <v>19702391.34166556</v>
      </c>
      <c r="K115" s="2">
        <v>7449660.407793944</v>
      </c>
      <c r="L115" s="2">
        <v>2926248.157561561</v>
      </c>
      <c r="M115" s="2">
        <v>9247579.940389775</v>
      </c>
      <c r="N115" s="3">
        <v>1.5</v>
      </c>
      <c r="O115" s="3">
        <v>2.5</v>
      </c>
      <c r="P115" s="2">
        <v>260954.636765849</v>
      </c>
      <c r="Q115" s="2">
        <v>768315.6892978508</v>
      </c>
      <c r="R115" s="2">
        <v>326193.2959573112</v>
      </c>
      <c r="S115" s="2">
        <v>365336.4914721886</v>
      </c>
      <c r="T115" s="2">
        <v>3539197.261136827</v>
      </c>
      <c r="U115" s="2">
        <f>M115+P115+Q115+R115+S115+T115</f>
        <v>14507577.315019801</v>
      </c>
      <c r="V115" s="2">
        <f>F115-K115-L115-U115</f>
        <v>4281199.045875289</v>
      </c>
      <c r="W115" s="2">
        <v>24798.44051293329</v>
      </c>
      <c r="X115" s="2">
        <v>362855.231100736</v>
      </c>
      <c r="Y115" s="2">
        <f>W115+X115</f>
        <v>387653.6716136693</v>
      </c>
      <c r="Z115" s="2">
        <v>2250589.986209507</v>
      </c>
      <c r="AA115" s="2">
        <v>0</v>
      </c>
      <c r="AB115" s="2">
        <v>0</v>
      </c>
      <c r="AC115" s="2">
        <v>0</v>
      </c>
      <c r="AD115" s="2">
        <v>368601.3190546231</v>
      </c>
      <c r="AE115" s="2">
        <v>2027307.254800428</v>
      </c>
      <c r="AF115" s="2">
        <f>F115-H115-L115-U115-AA115-AC115-AD115</f>
        <v>563047.4062553653</v>
      </c>
      <c r="AG115" s="2">
        <f>F115-H115-L115-U115-AA115-AB115-AD115-Y115</f>
        <v>175393.73464169604</v>
      </c>
      <c r="AH115" s="2">
        <f>AH114+AG115</f>
        <v>275531995.14621687</v>
      </c>
      <c r="AI115" s="2">
        <v>45810531.75990041</v>
      </c>
      <c r="AJ115" s="2">
        <f>AH115-AI115</f>
        <v>229721463.38631648</v>
      </c>
      <c r="AK115" s="3">
        <v>0.25</v>
      </c>
    </row>
    <row r="116" spans="1:37">
      <c r="A116" s="2">
        <v>115</v>
      </c>
      <c r="B116" s="2">
        <v>2036</v>
      </c>
      <c r="C116" s="2">
        <v>87</v>
      </c>
      <c r="D116" s="2">
        <v>456657.5666083974</v>
      </c>
      <c r="E116" s="2">
        <v>39729208.29493058</v>
      </c>
      <c r="F116" s="2">
        <f>E116/1.19</f>
        <v>33385889.323471073</v>
      </c>
      <c r="G116" s="2">
        <v>120</v>
      </c>
      <c r="H116" s="2">
        <v>11780957.15821008</v>
      </c>
      <c r="I116" s="2">
        <v>234</v>
      </c>
      <c r="J116" s="2">
        <v>22950478.34570374</v>
      </c>
      <c r="K116" s="2">
        <v>8532870.154171905</v>
      </c>
      <c r="L116" s="2">
        <v>3350181.629039147</v>
      </c>
      <c r="M116" s="2">
        <v>9247579.940389775</v>
      </c>
      <c r="N116" s="3">
        <v>1.5</v>
      </c>
      <c r="O116" s="3">
        <v>2.5</v>
      </c>
      <c r="P116" s="2">
        <v>260954.636765849</v>
      </c>
      <c r="Q116" s="2">
        <v>768315.6892978508</v>
      </c>
      <c r="R116" s="2">
        <v>326193.2959573112</v>
      </c>
      <c r="S116" s="2">
        <v>365336.4914721886</v>
      </c>
      <c r="T116" s="2">
        <v>3539197.261136827</v>
      </c>
      <c r="U116" s="2">
        <f>M116+P116+Q116+R116+S116+T116</f>
        <v>14507577.315019801</v>
      </c>
      <c r="V116" s="2">
        <f>F116-K116-L116-U116</f>
        <v>6995260.225240223</v>
      </c>
      <c r="W116" s="2">
        <v>21355.38235978812</v>
      </c>
      <c r="X116" s="2">
        <v>366298.2892538812</v>
      </c>
      <c r="Y116" s="2">
        <f>W116+X116</f>
        <v>387653.6716136693</v>
      </c>
      <c r="Z116" s="2">
        <v>1884291.696955626</v>
      </c>
      <c r="AA116" s="2">
        <v>0</v>
      </c>
      <c r="AB116" s="2">
        <v>0</v>
      </c>
      <c r="AC116" s="2">
        <v>0</v>
      </c>
      <c r="AD116" s="2">
        <v>184300.659527312</v>
      </c>
      <c r="AE116" s="2">
        <v>2211607.91432774</v>
      </c>
      <c r="AF116" s="2">
        <f>F116-H116-L116-U116-AA116-AC116-AD116</f>
        <v>3562872.56167473</v>
      </c>
      <c r="AG116" s="2">
        <f>F116-H116-L116-U116-AA116-AB116-AD116-Y116</f>
        <v>3175218.8900610604</v>
      </c>
      <c r="AH116" s="2">
        <f>AH115+AG116</f>
        <v>278707214.03627795</v>
      </c>
      <c r="AI116" s="2">
        <v>45810531.75990041</v>
      </c>
      <c r="AJ116" s="2">
        <f>AH116-AI116</f>
        <v>232896682.27637756</v>
      </c>
      <c r="AK116" s="3">
        <v>0.25</v>
      </c>
    </row>
    <row r="117" spans="1:37">
      <c r="A117" s="2">
        <v>116</v>
      </c>
      <c r="B117" s="2">
        <v>2036</v>
      </c>
      <c r="C117" s="2">
        <v>109</v>
      </c>
      <c r="D117" s="2">
        <v>456657.5666083974</v>
      </c>
      <c r="E117" s="2">
        <v>49775674.76031532</v>
      </c>
      <c r="F117" s="2">
        <f>E117/1.19</f>
        <v>41828298.11791204</v>
      </c>
      <c r="G117" s="2">
        <v>140</v>
      </c>
      <c r="H117" s="2">
        <v>13744450.01791176</v>
      </c>
      <c r="I117" s="2">
        <v>265</v>
      </c>
      <c r="J117" s="2">
        <v>26000417.15603773</v>
      </c>
      <c r="K117" s="2">
        <v>10694511.20757778</v>
      </c>
      <c r="L117" s="2">
        <v>4197666.296846315</v>
      </c>
      <c r="M117" s="2">
        <v>9247579.940389775</v>
      </c>
      <c r="N117" s="3">
        <v>1.5</v>
      </c>
      <c r="O117" s="3">
        <v>2.5</v>
      </c>
      <c r="P117" s="2">
        <v>260954.636765849</v>
      </c>
      <c r="Q117" s="2">
        <v>768315.6892978508</v>
      </c>
      <c r="R117" s="2">
        <v>326193.2959573112</v>
      </c>
      <c r="S117" s="2">
        <v>365336.4914721886</v>
      </c>
      <c r="T117" s="2">
        <v>3539197.261136827</v>
      </c>
      <c r="U117" s="2">
        <f>M117+P117+Q117+R117+S117+T117</f>
        <v>14507577.315019801</v>
      </c>
      <c r="V117" s="2">
        <f>F117-K117-L117-U117</f>
        <v>12428543.298468143</v>
      </c>
      <c r="W117" s="2">
        <v>17879.65374076604</v>
      </c>
      <c r="X117" s="2">
        <v>369774.0178729033</v>
      </c>
      <c r="Y117" s="2">
        <f>W117+X117</f>
        <v>387653.6716136693</v>
      </c>
      <c r="Z117" s="2">
        <v>1514517.679082723</v>
      </c>
      <c r="AA117" s="2">
        <v>0</v>
      </c>
      <c r="AB117" s="2">
        <v>0</v>
      </c>
      <c r="AC117" s="2">
        <v>0</v>
      </c>
      <c r="AD117" s="2">
        <v>368601.3190546231</v>
      </c>
      <c r="AE117" s="2">
        <v>2580209.233382363</v>
      </c>
      <c r="AF117" s="2">
        <f>F117-H117-L117-U117-AA117-AC117-AD117</f>
        <v>9010003.169079538</v>
      </c>
      <c r="AG117" s="2">
        <f>F117-H117-L117-U117-AA117-AB117-AD117-Y117</f>
        <v>8622349.49746587</v>
      </c>
      <c r="AH117" s="2">
        <f>AH116+AG117</f>
        <v>287329563.5337438</v>
      </c>
      <c r="AI117" s="2">
        <v>45810531.75990041</v>
      </c>
      <c r="AJ117" s="2">
        <f>AH117-AI117</f>
        <v>241519031.7738434</v>
      </c>
      <c r="AK117" s="3">
        <v>0.25</v>
      </c>
    </row>
    <row r="118" spans="1:37">
      <c r="A118" s="2">
        <v>117</v>
      </c>
      <c r="B118" s="2">
        <v>2036</v>
      </c>
      <c r="C118" s="2">
        <v>119</v>
      </c>
      <c r="D118" s="2">
        <v>456657.5666083974</v>
      </c>
      <c r="E118" s="2">
        <v>54342250.42639929</v>
      </c>
      <c r="F118" s="2">
        <f>E118/1.19</f>
        <v>45665756.660839744</v>
      </c>
      <c r="G118" s="2">
        <v>150</v>
      </c>
      <c r="H118" s="2">
        <v>14726196.4477626</v>
      </c>
      <c r="I118" s="2">
        <v>296</v>
      </c>
      <c r="J118" s="2">
        <v>29048379.82343349</v>
      </c>
      <c r="K118" s="2">
        <v>11678233.78036684</v>
      </c>
      <c r="L118" s="2">
        <v>4582979.277003393</v>
      </c>
      <c r="M118" s="2">
        <v>9247579.940389775</v>
      </c>
      <c r="N118" s="3">
        <v>1.5</v>
      </c>
      <c r="O118" s="3">
        <v>2.5</v>
      </c>
      <c r="P118" s="2">
        <v>260954.636765849</v>
      </c>
      <c r="Q118" s="2">
        <v>768315.6892978508</v>
      </c>
      <c r="R118" s="2">
        <v>326193.2959573112</v>
      </c>
      <c r="S118" s="2">
        <v>365336.4914721886</v>
      </c>
      <c r="T118" s="2">
        <v>3539197.261136827</v>
      </c>
      <c r="U118" s="2">
        <f>M118+P118+Q118+R118+S118+T118</f>
        <v>14507577.315019801</v>
      </c>
      <c r="V118" s="2">
        <f>F118-K118-L118-U118</f>
        <v>14896966.288449712</v>
      </c>
      <c r="W118" s="2">
        <v>14370.94465258125</v>
      </c>
      <c r="X118" s="2">
        <v>373282.7269610881</v>
      </c>
      <c r="Y118" s="2">
        <f>W118+X118</f>
        <v>387653.6716136693</v>
      </c>
      <c r="Z118" s="2">
        <v>1141234.952121635</v>
      </c>
      <c r="AA118" s="2">
        <v>0</v>
      </c>
      <c r="AB118" s="2">
        <v>0</v>
      </c>
      <c r="AC118" s="2">
        <v>0</v>
      </c>
      <c r="AD118" s="2">
        <v>184300.659527312</v>
      </c>
      <c r="AE118" s="2">
        <v>2764509.892909675</v>
      </c>
      <c r="AF118" s="2">
        <f>F118-H118-L118-U118-AA118-AC118-AD118</f>
        <v>11664702.961526636</v>
      </c>
      <c r="AG118" s="2">
        <f>F118-H118-L118-U118-AA118-AB118-AD118-Y118</f>
        <v>11277049.289912967</v>
      </c>
      <c r="AH118" s="2">
        <f>AH117+AG118</f>
        <v>298606612.82365674</v>
      </c>
      <c r="AI118" s="2">
        <v>45810531.75990041</v>
      </c>
      <c r="AJ118" s="2">
        <f>AH118-AI118</f>
        <v>252796081.06375635</v>
      </c>
      <c r="AK118" s="3">
        <v>0.25</v>
      </c>
    </row>
    <row r="119" spans="1:37">
      <c r="A119" s="2">
        <v>118</v>
      </c>
      <c r="B119" s="2">
        <v>2036</v>
      </c>
      <c r="C119" s="2">
        <v>141</v>
      </c>
      <c r="D119" s="2">
        <v>456657.5666083974</v>
      </c>
      <c r="E119" s="2">
        <v>64388716.89178403</v>
      </c>
      <c r="F119" s="2">
        <f>E119/1.19</f>
        <v>54108165.45528071</v>
      </c>
      <c r="G119" s="2">
        <v>190</v>
      </c>
      <c r="H119" s="2">
        <v>18653182.16716596</v>
      </c>
      <c r="I119" s="2">
        <v>345</v>
      </c>
      <c r="J119" s="2">
        <v>33862219.93159838</v>
      </c>
      <c r="K119" s="2">
        <v>13839342.05900108</v>
      </c>
      <c r="L119" s="2">
        <v>5430421.322828829</v>
      </c>
      <c r="M119" s="2">
        <v>9247579.940389775</v>
      </c>
      <c r="N119" s="3">
        <v>1.5</v>
      </c>
      <c r="O119" s="3">
        <v>2.5</v>
      </c>
      <c r="P119" s="2">
        <v>260954.636765849</v>
      </c>
      <c r="Q119" s="2">
        <v>768315.6892978508</v>
      </c>
      <c r="R119" s="2">
        <v>326193.2959573112</v>
      </c>
      <c r="S119" s="2">
        <v>365336.4914721886</v>
      </c>
      <c r="T119" s="2">
        <v>3539197.261136827</v>
      </c>
      <c r="U119" s="2">
        <f>M119+P119+Q119+R119+S119+T119</f>
        <v>14507577.315019801</v>
      </c>
      <c r="V119" s="2">
        <f>F119-K119-L119-U119</f>
        <v>20330824.758431002</v>
      </c>
      <c r="W119" s="2">
        <v>10828.94215039099</v>
      </c>
      <c r="X119" s="2">
        <v>376824.7294632783</v>
      </c>
      <c r="Y119" s="2">
        <f>W119+X119</f>
        <v>387653.6716136693</v>
      </c>
      <c r="Z119" s="2">
        <v>764410.2226583562</v>
      </c>
      <c r="AA119" s="2">
        <v>0</v>
      </c>
      <c r="AB119" s="2">
        <v>0</v>
      </c>
      <c r="AC119" s="2">
        <v>0</v>
      </c>
      <c r="AD119" s="2">
        <v>737202.6381092463</v>
      </c>
      <c r="AE119" s="2">
        <v>3501712.531018921</v>
      </c>
      <c r="AF119" s="2">
        <f>F119-H119-L119-U119-AA119-AC119-AD119</f>
        <v>14779782.012156865</v>
      </c>
      <c r="AG119" s="2">
        <f>F119-H119-L119-U119-AA119-AB119-AD119-Y119</f>
        <v>14392128.340543196</v>
      </c>
      <c r="AH119" s="2">
        <f>AH118+AG119</f>
        <v>312998741.16419995</v>
      </c>
      <c r="AI119" s="2">
        <v>45810531.75990041</v>
      </c>
      <c r="AJ119" s="2">
        <f>AH119-AI119</f>
        <v>267188209.40429956</v>
      </c>
      <c r="AK119" s="3">
        <v>0.25</v>
      </c>
    </row>
    <row r="120" spans="1:37">
      <c r="A120" s="2">
        <v>119</v>
      </c>
      <c r="B120" s="2">
        <v>2036</v>
      </c>
      <c r="C120" s="2">
        <v>152</v>
      </c>
      <c r="D120" s="2">
        <v>456657.5666083974</v>
      </c>
      <c r="E120" s="2">
        <v>69411950.1244764</v>
      </c>
      <c r="F120" s="2">
        <f>E120/1.19</f>
        <v>58329369.852501184</v>
      </c>
      <c r="G120" s="2">
        <v>20</v>
      </c>
      <c r="H120" s="2">
        <v>1963492.85970168</v>
      </c>
      <c r="I120" s="2">
        <v>213</v>
      </c>
      <c r="J120" s="2">
        <v>20906511.84807374</v>
      </c>
      <c r="K120" s="2">
        <v>14919200.94322633</v>
      </c>
      <c r="L120" s="2">
        <v>5854086.725334197</v>
      </c>
      <c r="M120" s="2">
        <v>9247579.940389775</v>
      </c>
      <c r="N120" s="3">
        <v>1.5</v>
      </c>
      <c r="O120" s="3">
        <v>2.5</v>
      </c>
      <c r="P120" s="2">
        <v>260954.636765849</v>
      </c>
      <c r="Q120" s="2">
        <v>768315.6892978508</v>
      </c>
      <c r="R120" s="2">
        <v>326193.2959573112</v>
      </c>
      <c r="S120" s="2">
        <v>365336.4914721886</v>
      </c>
      <c r="T120" s="2">
        <v>3539197.261136827</v>
      </c>
      <c r="U120" s="2">
        <f>M120+P120+Q120+R120+S120+T120</f>
        <v>14507577.315019801</v>
      </c>
      <c r="V120" s="2">
        <f>F120-K120-L120-U120</f>
        <v>23048504.868920863</v>
      </c>
      <c r="W120" s="2">
        <v>7253.330319883663</v>
      </c>
      <c r="X120" s="2">
        <v>380400.3412937857</v>
      </c>
      <c r="Y120" s="2">
        <f>W120+X120</f>
        <v>387653.6716136693</v>
      </c>
      <c r="Z120" s="2">
        <v>384009.8813645705</v>
      </c>
      <c r="AA120" s="2">
        <v>0</v>
      </c>
      <c r="AB120" s="2">
        <v>0</v>
      </c>
      <c r="AC120" s="2">
        <v>0</v>
      </c>
      <c r="AD120" s="2">
        <v>-3133111.211964298</v>
      </c>
      <c r="AE120" s="2">
        <v>368601.3190546233</v>
      </c>
      <c r="AF120" s="2">
        <f>F120-H120-L120-U120-AA120-AC120-AD120</f>
        <v>39137324.1644098</v>
      </c>
      <c r="AG120" s="2">
        <f>F120-H120-L120-U120-AA120-AB120-AD120-Y120</f>
        <v>38749670.49279613</v>
      </c>
      <c r="AH120" s="2">
        <f>AH119+AG120</f>
        <v>351748411.6569961</v>
      </c>
      <c r="AI120" s="2">
        <v>45810531.75990041</v>
      </c>
      <c r="AJ120" s="2">
        <f>AH120-AI120</f>
        <v>305937879.8970957</v>
      </c>
      <c r="AK120" s="3">
        <v>0.25</v>
      </c>
    </row>
    <row r="121" spans="1:37">
      <c r="A121" s="2">
        <v>120</v>
      </c>
      <c r="B121" s="2">
        <v>2036</v>
      </c>
      <c r="C121" s="2">
        <v>184</v>
      </c>
      <c r="D121" s="2">
        <v>456657.5666083974</v>
      </c>
      <c r="E121" s="2">
        <v>84024992.25594513</v>
      </c>
      <c r="F121" s="2">
        <f>E121/1.19</f>
        <v>70609237.18986987</v>
      </c>
      <c r="G121" s="2">
        <v>30</v>
      </c>
      <c r="H121" s="2">
        <v>2945239.289552521</v>
      </c>
      <c r="I121" s="2">
        <v>59</v>
      </c>
      <c r="J121" s="2">
        <v>5791165.914073862</v>
      </c>
      <c r="K121" s="2">
        <v>18060585.22355239</v>
      </c>
      <c r="L121" s="2">
        <v>7086566.025628935</v>
      </c>
      <c r="M121" s="2">
        <v>9247579.940389775</v>
      </c>
      <c r="N121" s="3">
        <v>1.5</v>
      </c>
      <c r="O121" s="3">
        <v>2.5</v>
      </c>
      <c r="P121" s="2">
        <v>260954.636765849</v>
      </c>
      <c r="Q121" s="2">
        <v>768315.6892978508</v>
      </c>
      <c r="R121" s="2">
        <v>326193.2959573112</v>
      </c>
      <c r="S121" s="2">
        <v>365336.4914721886</v>
      </c>
      <c r="T121" s="2">
        <v>3539197.261136827</v>
      </c>
      <c r="U121" s="2">
        <f>M121+P121+Q121+R121+S121+T121</f>
        <v>14507577.315019801</v>
      </c>
      <c r="V121" s="2">
        <f>F121-K121-L121-U121</f>
        <v>30954508.62566874</v>
      </c>
      <c r="W121" s="2">
        <v>3643.790249102211</v>
      </c>
      <c r="X121" s="2">
        <v>384009.8813645671</v>
      </c>
      <c r="Y121" s="2">
        <f>W121+X121</f>
        <v>387653.6716136693</v>
      </c>
      <c r="Z121" s="2">
        <v>3.434251993894577E-09</v>
      </c>
      <c r="AA121" s="2">
        <v>0</v>
      </c>
      <c r="AB121" s="2">
        <v>23059558.33582753</v>
      </c>
      <c r="AC121" s="2">
        <v>23128219.94280521</v>
      </c>
      <c r="AD121" s="2">
        <v>184300.6595273116</v>
      </c>
      <c r="AE121" s="2">
        <v>552901.9785819349</v>
      </c>
      <c r="AF121" s="2">
        <f>F121-H121-L121-U121-AA121-AC121-AD121</f>
        <v>22757333.957336087</v>
      </c>
      <c r="AG121" s="2">
        <f>F121-H121-L121-U121-AA121-AB121-AD121-Y121</f>
        <v>22438341.892700095</v>
      </c>
      <c r="AH121" s="2">
        <f>AH120+AG121</f>
        <v>374186753.54969615</v>
      </c>
      <c r="AI121" s="2">
        <v>45810531.75990041</v>
      </c>
      <c r="AJ121" s="2">
        <f>AH121-AI121</f>
        <v>328376221.78979576</v>
      </c>
      <c r="AK121" s="3">
        <v>0.25</v>
      </c>
    </row>
    <row r="122" spans="1:37">
      <c r="A122" s="2">
        <v>121</v>
      </c>
      <c r="B122" s="2">
        <v>2037</v>
      </c>
      <c r="C122" s="2">
        <v>23</v>
      </c>
      <c r="D122" s="2">
        <v>470357.2936066493</v>
      </c>
      <c r="E122" s="2">
        <v>10818217.75295294</v>
      </c>
      <c r="F122" s="2">
        <f>E122/1.19</f>
        <v>9090939.288195744</v>
      </c>
      <c r="G122" s="2">
        <v>50</v>
      </c>
      <c r="H122" s="2">
        <v>5055994.113731827</v>
      </c>
      <c r="I122" s="2">
        <v>86</v>
      </c>
      <c r="J122" s="2">
        <v>8558309.746709075</v>
      </c>
      <c r="K122" s="2">
        <v>2288850.281096614</v>
      </c>
      <c r="L122" s="2">
        <v>909479.3704848648</v>
      </c>
      <c r="M122" s="2">
        <v>10205365.00564443</v>
      </c>
      <c r="N122" s="3">
        <v>1.5</v>
      </c>
      <c r="O122" s="3">
        <v>3</v>
      </c>
      <c r="P122" s="2">
        <v>282222.4396622656</v>
      </c>
      <c r="Q122" s="2">
        <v>820931.3203223571</v>
      </c>
      <c r="R122" s="2">
        <v>335979.0948360306</v>
      </c>
      <c r="S122" s="2">
        <v>376296.5862163542</v>
      </c>
      <c r="T122" s="2">
        <v>3826801.890182388</v>
      </c>
      <c r="U122" s="2">
        <f>M122+P122+Q122+R122+S122+T122</f>
        <v>15847596.336863827</v>
      </c>
      <c r="V122" s="2">
        <f>F122-K122-L122-U122</f>
        <v>-9954986.70024956</v>
      </c>
      <c r="W122" s="2">
        <v>0</v>
      </c>
      <c r="X122" s="2">
        <v>0</v>
      </c>
      <c r="Y122" s="2">
        <f>W122+X122</f>
        <v>0</v>
      </c>
      <c r="Z122" s="2">
        <v>3.434251993894577E-09</v>
      </c>
      <c r="AA122" s="2">
        <v>0</v>
      </c>
      <c r="AB122" s="2">
        <v>0</v>
      </c>
      <c r="AC122" s="2">
        <v>0</v>
      </c>
      <c r="AD122" s="2">
        <v>396246.4179837198</v>
      </c>
      <c r="AE122" s="2">
        <v>949148.3965656548</v>
      </c>
      <c r="AF122" s="2">
        <f>F122-H122-L122-U122-AA122-AC122-AD122</f>
        <v>-13118376.950868495</v>
      </c>
      <c r="AG122" s="2">
        <f>F122-H122-L122-U122-AA122-AB122-AD122-Y122</f>
        <v>-13118376.950868495</v>
      </c>
      <c r="AH122" s="2">
        <f>AH121+AG122</f>
        <v>361068376.59882766</v>
      </c>
      <c r="AI122" s="2">
        <v>49830588.82543249</v>
      </c>
      <c r="AJ122" s="2">
        <f>AH122-AI122</f>
        <v>311237787.7733952</v>
      </c>
      <c r="AK122" s="3">
        <v>0.25</v>
      </c>
    </row>
    <row r="123" spans="1:37">
      <c r="A123" s="2">
        <v>122</v>
      </c>
      <c r="B123" s="2">
        <v>2037</v>
      </c>
      <c r="C123" s="2">
        <v>34</v>
      </c>
      <c r="D123" s="2">
        <v>470357.2936066493</v>
      </c>
      <c r="E123" s="2">
        <v>15992147.98262608</v>
      </c>
      <c r="F123" s="2">
        <f>E123/1.19</f>
        <v>13438779.817332838</v>
      </c>
      <c r="G123" s="2">
        <v>60</v>
      </c>
      <c r="H123" s="2">
        <v>6067192.936478193</v>
      </c>
      <c r="I123" s="2">
        <v>112</v>
      </c>
      <c r="J123" s="2">
        <v>11219563.70217105</v>
      </c>
      <c r="K123" s="2">
        <v>3405938.981016213</v>
      </c>
      <c r="L123" s="2">
        <v>1346241.458998802</v>
      </c>
      <c r="M123" s="2">
        <v>10205365.00564443</v>
      </c>
      <c r="N123" s="3">
        <v>1.5</v>
      </c>
      <c r="O123" s="3">
        <v>3</v>
      </c>
      <c r="P123" s="2">
        <v>282222.4396622656</v>
      </c>
      <c r="Q123" s="2">
        <v>820931.3203223571</v>
      </c>
      <c r="R123" s="2">
        <v>335979.0948360306</v>
      </c>
      <c r="S123" s="2">
        <v>376296.5862163542</v>
      </c>
      <c r="T123" s="2">
        <v>3826801.890182388</v>
      </c>
      <c r="U123" s="2">
        <f>M123+P123+Q123+R123+S123+T123</f>
        <v>15847596.336863827</v>
      </c>
      <c r="V123" s="2">
        <f>F123-K123-L123-U123</f>
        <v>-7160996.9595460035</v>
      </c>
      <c r="W123" s="2">
        <v>0</v>
      </c>
      <c r="X123" s="2">
        <v>0</v>
      </c>
      <c r="Y123" s="2">
        <f>W123+X123</f>
        <v>0</v>
      </c>
      <c r="Z123" s="2">
        <v>3.434251993894577E-09</v>
      </c>
      <c r="AA123" s="2">
        <v>0</v>
      </c>
      <c r="AB123" s="2">
        <v>0</v>
      </c>
      <c r="AC123" s="2">
        <v>0</v>
      </c>
      <c r="AD123" s="2">
        <v>189829.6793131311</v>
      </c>
      <c r="AE123" s="2">
        <v>1138978.075878786</v>
      </c>
      <c r="AF123" s="2">
        <f>F123-H123-L123-U123-AA123-AC123-AD123</f>
        <v>-10012080.594321115</v>
      </c>
      <c r="AG123" s="2">
        <f>F123-H123-L123-U123-AA123-AB123-AD123-Y123</f>
        <v>-10012080.594321115</v>
      </c>
      <c r="AH123" s="2">
        <f>AH122+AG123</f>
        <v>351056296.0045065</v>
      </c>
      <c r="AI123" s="2">
        <v>49830588.82543249</v>
      </c>
      <c r="AJ123" s="2">
        <f>AH123-AI123</f>
        <v>301225707.17907405</v>
      </c>
      <c r="AK123" s="3">
        <v>0.25</v>
      </c>
    </row>
    <row r="124" spans="1:37">
      <c r="A124" s="2">
        <v>123</v>
      </c>
      <c r="B124" s="2">
        <v>2037</v>
      </c>
      <c r="C124" s="2">
        <v>46</v>
      </c>
      <c r="D124" s="2">
        <v>470357.2936066493</v>
      </c>
      <c r="E124" s="2">
        <v>21636435.50590587</v>
      </c>
      <c r="F124" s="2">
        <f>E124/1.19</f>
        <v>18181878.57639149</v>
      </c>
      <c r="G124" s="2">
        <v>60</v>
      </c>
      <c r="H124" s="2">
        <v>6067192.936478193</v>
      </c>
      <c r="I124" s="2">
        <v>126</v>
      </c>
      <c r="J124" s="2">
        <v>12663554.28180119</v>
      </c>
      <c r="K124" s="2">
        <v>4623202.356848055</v>
      </c>
      <c r="L124" s="2">
        <v>1822598.884542116</v>
      </c>
      <c r="M124" s="2">
        <v>10205365.00564443</v>
      </c>
      <c r="N124" s="3">
        <v>1.5</v>
      </c>
      <c r="O124" s="3">
        <v>3</v>
      </c>
      <c r="P124" s="2">
        <v>282222.4396622656</v>
      </c>
      <c r="Q124" s="2">
        <v>820931.3203223571</v>
      </c>
      <c r="R124" s="2">
        <v>335979.0948360306</v>
      </c>
      <c r="S124" s="2">
        <v>376296.5862163542</v>
      </c>
      <c r="T124" s="2">
        <v>3826801.890182388</v>
      </c>
      <c r="U124" s="2">
        <f>M124+P124+Q124+R124+S124+T124</f>
        <v>15847596.336863827</v>
      </c>
      <c r="V124" s="2">
        <f>F124-K124-L124-U124</f>
        <v>-4111519.0018625073</v>
      </c>
      <c r="W124" s="2">
        <v>0</v>
      </c>
      <c r="X124" s="2">
        <v>0</v>
      </c>
      <c r="Y124" s="2">
        <f>W124+X124</f>
        <v>0</v>
      </c>
      <c r="Z124" s="2">
        <v>3.434251993894577E-09</v>
      </c>
      <c r="AA124" s="2">
        <v>0</v>
      </c>
      <c r="AB124" s="2">
        <v>0</v>
      </c>
      <c r="AC124" s="2">
        <v>0</v>
      </c>
      <c r="AD124" s="2">
        <v>0</v>
      </c>
      <c r="AE124" s="2">
        <v>1138978.075878786</v>
      </c>
      <c r="AF124" s="2">
        <f>F124-H124-L124-U124-AA124-AC124-AD124</f>
        <v>-5555509.5814926475</v>
      </c>
      <c r="AG124" s="2">
        <f>F124-H124-L124-U124-AA124-AB124-AD124-Y124</f>
        <v>-5555509.5814926475</v>
      </c>
      <c r="AH124" s="2">
        <f>AH123+AG124</f>
        <v>345500786.42301387</v>
      </c>
      <c r="AI124" s="2">
        <v>49830588.82543249</v>
      </c>
      <c r="AJ124" s="2">
        <f>AH124-AI124</f>
        <v>295670197.5975814</v>
      </c>
      <c r="AK124" s="3">
        <v>0.25</v>
      </c>
    </row>
    <row r="125" spans="1:37">
      <c r="A125" s="2">
        <v>124</v>
      </c>
      <c r="B125" s="2">
        <v>2037</v>
      </c>
      <c r="C125" s="2">
        <v>57</v>
      </c>
      <c r="D125" s="2">
        <v>470357.2936066493</v>
      </c>
      <c r="E125" s="2">
        <v>26810365.73557901</v>
      </c>
      <c r="F125" s="2">
        <f>E125/1.19</f>
        <v>22529719.105528586</v>
      </c>
      <c r="G125" s="2">
        <v>80</v>
      </c>
      <c r="H125" s="2">
        <v>8089590.581970924</v>
      </c>
      <c r="I125" s="2">
        <v>149</v>
      </c>
      <c r="J125" s="2">
        <v>15010769.82865071</v>
      </c>
      <c r="K125" s="2">
        <v>5742375.035121411</v>
      </c>
      <c r="L125" s="2">
        <v>2259527.691324353</v>
      </c>
      <c r="M125" s="2">
        <v>10205365.00564443</v>
      </c>
      <c r="N125" s="3">
        <v>1.5</v>
      </c>
      <c r="O125" s="3">
        <v>3</v>
      </c>
      <c r="P125" s="2">
        <v>282222.4396622656</v>
      </c>
      <c r="Q125" s="2">
        <v>820931.3203223571</v>
      </c>
      <c r="R125" s="2">
        <v>335979.0948360306</v>
      </c>
      <c r="S125" s="2">
        <v>376296.5862163542</v>
      </c>
      <c r="T125" s="2">
        <v>3826801.890182388</v>
      </c>
      <c r="U125" s="2">
        <f>M125+P125+Q125+R125+S125+T125</f>
        <v>15847596.336863827</v>
      </c>
      <c r="V125" s="2">
        <f>F125-K125-L125-U125</f>
        <v>-1319779.9577810057</v>
      </c>
      <c r="W125" s="2">
        <v>0</v>
      </c>
      <c r="X125" s="2">
        <v>0</v>
      </c>
      <c r="Y125" s="2">
        <f>W125+X125</f>
        <v>0</v>
      </c>
      <c r="Z125" s="2">
        <v>3.434251993894577E-09</v>
      </c>
      <c r="AA125" s="2">
        <v>0</v>
      </c>
      <c r="AB125" s="2">
        <v>0</v>
      </c>
      <c r="AC125" s="2">
        <v>0</v>
      </c>
      <c r="AD125" s="2">
        <v>379659.3586262621</v>
      </c>
      <c r="AE125" s="2">
        <v>1518637.434505048</v>
      </c>
      <c r="AF125" s="2">
        <f>F125-H125-L125-U125-AA125-AC125-AD125</f>
        <v>-4046654.8632567795</v>
      </c>
      <c r="AG125" s="2">
        <f>F125-H125-L125-U125-AA125-AB125-AD125-Y125</f>
        <v>-4046654.8632567795</v>
      </c>
      <c r="AH125" s="2">
        <f>AH124+AG125</f>
        <v>341454131.5597571</v>
      </c>
      <c r="AI125" s="2">
        <v>49830588.82543249</v>
      </c>
      <c r="AJ125" s="2">
        <f>AH125-AI125</f>
        <v>291623542.73432463</v>
      </c>
      <c r="AK125" s="3">
        <v>0.25</v>
      </c>
    </row>
    <row r="126" spans="1:37">
      <c r="A126" s="2">
        <v>125</v>
      </c>
      <c r="B126" s="2">
        <v>2037</v>
      </c>
      <c r="C126" s="2">
        <v>68</v>
      </c>
      <c r="D126" s="2">
        <v>470357.2936066493</v>
      </c>
      <c r="E126" s="2">
        <v>31984295.96525215</v>
      </c>
      <c r="F126" s="2">
        <f>E126/1.19</f>
        <v>26877559.634665675</v>
      </c>
      <c r="G126" s="2">
        <v>90</v>
      </c>
      <c r="H126" s="2">
        <v>9100789.404717287</v>
      </c>
      <c r="I126" s="2">
        <v>171</v>
      </c>
      <c r="J126" s="2">
        <v>17251366.64814195</v>
      </c>
      <c r="K126" s="2">
        <v>6860192.58522604</v>
      </c>
      <c r="L126" s="2">
        <v>2696348.087853093</v>
      </c>
      <c r="M126" s="2">
        <v>10205365.00564443</v>
      </c>
      <c r="N126" s="3">
        <v>1.5</v>
      </c>
      <c r="O126" s="3">
        <v>3</v>
      </c>
      <c r="P126" s="2">
        <v>282222.4396622656</v>
      </c>
      <c r="Q126" s="2">
        <v>820931.3203223571</v>
      </c>
      <c r="R126" s="2">
        <v>335979.0948360306</v>
      </c>
      <c r="S126" s="2">
        <v>376296.5862163542</v>
      </c>
      <c r="T126" s="2">
        <v>3826801.890182388</v>
      </c>
      <c r="U126" s="2">
        <f>M126+P126+Q126+R126+S126+T126</f>
        <v>15847596.336863827</v>
      </c>
      <c r="V126" s="2">
        <f>F126-K126-L126-U126</f>
        <v>1473422.6247227155</v>
      </c>
      <c r="W126" s="2">
        <v>0</v>
      </c>
      <c r="X126" s="2">
        <v>0</v>
      </c>
      <c r="Y126" s="2">
        <f>W126+X126</f>
        <v>0</v>
      </c>
      <c r="Z126" s="2">
        <v>3.434251993894577E-09</v>
      </c>
      <c r="AA126" s="2">
        <v>0</v>
      </c>
      <c r="AB126" s="2">
        <v>0</v>
      </c>
      <c r="AC126" s="2">
        <v>0</v>
      </c>
      <c r="AD126" s="2">
        <v>189829.6793131307</v>
      </c>
      <c r="AE126" s="2">
        <v>1708467.113818179</v>
      </c>
      <c r="AF126" s="2">
        <f>F126-H126-L126-U126-AA126-AC126-AD126</f>
        <v>-957003.8740816638</v>
      </c>
      <c r="AG126" s="2">
        <f>F126-H126-L126-U126-AA126-AB126-AD126-Y126</f>
        <v>-957003.8740816638</v>
      </c>
      <c r="AH126" s="2">
        <f>AH125+AG126</f>
        <v>340497127.68567544</v>
      </c>
      <c r="AI126" s="2">
        <v>49830588.82543249</v>
      </c>
      <c r="AJ126" s="2">
        <f>AH126-AI126</f>
        <v>290666538.86024296</v>
      </c>
      <c r="AK126" s="3">
        <v>0.25</v>
      </c>
    </row>
    <row r="127" spans="1:37">
      <c r="A127" s="2">
        <v>126</v>
      </c>
      <c r="B127" s="2">
        <v>2037</v>
      </c>
      <c r="C127" s="2">
        <v>80</v>
      </c>
      <c r="D127" s="2">
        <v>470357.2936066493</v>
      </c>
      <c r="E127" s="2">
        <v>37628583.48853195</v>
      </c>
      <c r="F127" s="2">
        <f>E127/1.19</f>
        <v>31620658.393724326</v>
      </c>
      <c r="G127" s="2">
        <v>120</v>
      </c>
      <c r="H127" s="2">
        <v>12134385.87295639</v>
      </c>
      <c r="I127" s="2">
        <v>211</v>
      </c>
      <c r="J127" s="2">
        <v>21307195.12698196</v>
      </c>
      <c r="K127" s="2">
        <v>8078557.394116381</v>
      </c>
      <c r="L127" s="2">
        <v>3172793.628041087</v>
      </c>
      <c r="M127" s="2">
        <v>10205365.00564443</v>
      </c>
      <c r="N127" s="3">
        <v>1.5</v>
      </c>
      <c r="O127" s="3">
        <v>3</v>
      </c>
      <c r="P127" s="2">
        <v>282222.4396622656</v>
      </c>
      <c r="Q127" s="2">
        <v>820931.3203223571</v>
      </c>
      <c r="R127" s="2">
        <v>335979.0948360306</v>
      </c>
      <c r="S127" s="2">
        <v>376296.5862163542</v>
      </c>
      <c r="T127" s="2">
        <v>3826801.890182388</v>
      </c>
      <c r="U127" s="2">
        <f>M127+P127+Q127+R127+S127+T127</f>
        <v>15847596.336863827</v>
      </c>
      <c r="V127" s="2">
        <f>F127-K127-L127-U127</f>
        <v>4521711.034703027</v>
      </c>
      <c r="W127" s="2">
        <v>0</v>
      </c>
      <c r="X127" s="2">
        <v>0</v>
      </c>
      <c r="Y127" s="2">
        <f>W127+X127</f>
        <v>0</v>
      </c>
      <c r="Z127" s="2">
        <v>3.434251993894577E-09</v>
      </c>
      <c r="AA127" s="2">
        <v>0</v>
      </c>
      <c r="AB127" s="2">
        <v>0</v>
      </c>
      <c r="AC127" s="2">
        <v>0</v>
      </c>
      <c r="AD127" s="2">
        <v>569489.0379393932</v>
      </c>
      <c r="AE127" s="2">
        <v>2277956.151757572</v>
      </c>
      <c r="AF127" s="2">
        <f>F127-H127-L127-U127-AA127-AC127-AD127</f>
        <v>-103606.4820763648</v>
      </c>
      <c r="AG127" s="2">
        <f>F127-H127-L127-U127-AA127-AB127-AD127-Y127</f>
        <v>-103606.4820763648</v>
      </c>
      <c r="AH127" s="2">
        <f>AH126+AG127</f>
        <v>340393521.2035991</v>
      </c>
      <c r="AI127" s="2">
        <v>49830588.82543249</v>
      </c>
      <c r="AJ127" s="2">
        <f>AH127-AI127</f>
        <v>290562932.3781666</v>
      </c>
      <c r="AK127" s="3">
        <v>0.25</v>
      </c>
    </row>
    <row r="128" spans="1:37">
      <c r="A128" s="2">
        <v>127</v>
      </c>
      <c r="B128" s="2">
        <v>2037</v>
      </c>
      <c r="C128" s="2">
        <v>91</v>
      </c>
      <c r="D128" s="2">
        <v>470357.2936066493</v>
      </c>
      <c r="E128" s="2">
        <v>42802513.71820509</v>
      </c>
      <c r="F128" s="2">
        <f>E128/1.19</f>
        <v>35968498.92286142</v>
      </c>
      <c r="G128" s="2">
        <v>120</v>
      </c>
      <c r="H128" s="2">
        <v>12134385.87295639</v>
      </c>
      <c r="I128" s="2">
        <v>240</v>
      </c>
      <c r="J128" s="2">
        <v>24247672.02412448</v>
      </c>
      <c r="K128" s="2">
        <v>9193908.975813864</v>
      </c>
      <c r="L128" s="2">
        <v>3609416.747097254</v>
      </c>
      <c r="M128" s="2">
        <v>10205365.00564443</v>
      </c>
      <c r="N128" s="3">
        <v>1.5</v>
      </c>
      <c r="O128" s="3">
        <v>3</v>
      </c>
      <c r="P128" s="2">
        <v>282222.4396622656</v>
      </c>
      <c r="Q128" s="2">
        <v>820931.3203223571</v>
      </c>
      <c r="R128" s="2">
        <v>335979.0948360306</v>
      </c>
      <c r="S128" s="2">
        <v>376296.5862163542</v>
      </c>
      <c r="T128" s="2">
        <v>3826801.890182388</v>
      </c>
      <c r="U128" s="2">
        <f>M128+P128+Q128+R128+S128+T128</f>
        <v>15847596.336863827</v>
      </c>
      <c r="V128" s="2">
        <f>F128-K128-L128-U128</f>
        <v>7317576.863086473</v>
      </c>
      <c r="W128" s="2">
        <v>0</v>
      </c>
      <c r="X128" s="2">
        <v>0</v>
      </c>
      <c r="Y128" s="2">
        <f>W128+X128</f>
        <v>0</v>
      </c>
      <c r="Z128" s="2">
        <v>3.434251993894577E-09</v>
      </c>
      <c r="AA128" s="2">
        <v>0</v>
      </c>
      <c r="AB128" s="2">
        <v>0</v>
      </c>
      <c r="AC128" s="2">
        <v>0</v>
      </c>
      <c r="AD128" s="2">
        <v>0</v>
      </c>
      <c r="AE128" s="2">
        <v>2277956.151757572</v>
      </c>
      <c r="AF128" s="2">
        <f>F128-H128-L128-U128-AA128-AC128-AD128</f>
        <v>4377099.965943951</v>
      </c>
      <c r="AG128" s="2">
        <f>F128-H128-L128-U128-AA128-AB128-AD128-Y128</f>
        <v>4377099.965943951</v>
      </c>
      <c r="AH128" s="2">
        <f>AH127+AG128</f>
        <v>344770621.169543</v>
      </c>
      <c r="AI128" s="2">
        <v>49830588.82543249</v>
      </c>
      <c r="AJ128" s="2">
        <f>AH128-AI128</f>
        <v>294940032.34411055</v>
      </c>
      <c r="AK128" s="3">
        <v>0.25</v>
      </c>
    </row>
    <row r="129" spans="1:37">
      <c r="A129" s="2">
        <v>128</v>
      </c>
      <c r="B129" s="2">
        <v>2037</v>
      </c>
      <c r="C129" s="2">
        <v>114</v>
      </c>
      <c r="D129" s="2">
        <v>470357.2936066493</v>
      </c>
      <c r="E129" s="2">
        <v>53620731.47115803</v>
      </c>
      <c r="F129" s="2">
        <f>E129/1.19</f>
        <v>45059438.21105717</v>
      </c>
      <c r="G129" s="2">
        <v>150</v>
      </c>
      <c r="H129" s="2">
        <v>15167982.34119548</v>
      </c>
      <c r="I129" s="2">
        <v>276</v>
      </c>
      <c r="J129" s="2">
        <v>27894155.39699566</v>
      </c>
      <c r="K129" s="2">
        <v>11521498.9683243</v>
      </c>
      <c r="L129" s="2">
        <v>4521995.294495225</v>
      </c>
      <c r="M129" s="2">
        <v>10205365.00564443</v>
      </c>
      <c r="N129" s="3">
        <v>1.5</v>
      </c>
      <c r="O129" s="3">
        <v>3</v>
      </c>
      <c r="P129" s="2">
        <v>282222.4396622656</v>
      </c>
      <c r="Q129" s="2">
        <v>820931.3203223571</v>
      </c>
      <c r="R129" s="2">
        <v>335979.0948360306</v>
      </c>
      <c r="S129" s="2">
        <v>376296.5862163542</v>
      </c>
      <c r="T129" s="2">
        <v>3826801.890182388</v>
      </c>
      <c r="U129" s="2">
        <f>M129+P129+Q129+R129+S129+T129</f>
        <v>15847596.336863827</v>
      </c>
      <c r="V129" s="2">
        <f>F129-K129-L129-U129</f>
        <v>13168347.611373823</v>
      </c>
      <c r="W129" s="2">
        <v>0</v>
      </c>
      <c r="X129" s="2">
        <v>0</v>
      </c>
      <c r="Y129" s="2">
        <f>W129+X129</f>
        <v>0</v>
      </c>
      <c r="Z129" s="2">
        <v>3.434251993894577E-09</v>
      </c>
      <c r="AA129" s="2">
        <v>0</v>
      </c>
      <c r="AB129" s="2">
        <v>0</v>
      </c>
      <c r="AC129" s="2">
        <v>0</v>
      </c>
      <c r="AD129" s="2">
        <v>569489.037939393</v>
      </c>
      <c r="AE129" s="2">
        <v>2847445.189696965</v>
      </c>
      <c r="AF129" s="2">
        <f>F129-H129-L129-U129-AA129-AC129-AD129</f>
        <v>8952375.200563248</v>
      </c>
      <c r="AG129" s="2">
        <f>F129-H129-L129-U129-AA129-AB129-AD129-Y129</f>
        <v>8952375.200563248</v>
      </c>
      <c r="AH129" s="2">
        <f>AH128+AG129</f>
        <v>353722996.3701063</v>
      </c>
      <c r="AI129" s="2">
        <v>49830588.82543249</v>
      </c>
      <c r="AJ129" s="2">
        <f>AH129-AI129</f>
        <v>303892407.5446738</v>
      </c>
      <c r="AK129" s="3">
        <v>0.25</v>
      </c>
    </row>
    <row r="130" spans="1:37">
      <c r="A130" s="2">
        <v>129</v>
      </c>
      <c r="B130" s="2">
        <v>2037</v>
      </c>
      <c r="C130" s="2">
        <v>125</v>
      </c>
      <c r="D130" s="2">
        <v>470357.2936066493</v>
      </c>
      <c r="E130" s="2">
        <v>58794661.70083117</v>
      </c>
      <c r="F130" s="2">
        <f>E130/1.19</f>
        <v>49407278.74019426</v>
      </c>
      <c r="G130" s="2">
        <v>160</v>
      </c>
      <c r="H130" s="2">
        <v>16179181.16394185</v>
      </c>
      <c r="I130" s="2">
        <v>311</v>
      </c>
      <c r="J130" s="2">
        <v>31437632.2716779</v>
      </c>
      <c r="K130" s="2">
        <v>12635704.28925961</v>
      </c>
      <c r="L130" s="2">
        <v>4958526.712690419</v>
      </c>
      <c r="M130" s="2">
        <v>10205365.00564443</v>
      </c>
      <c r="N130" s="3">
        <v>1.5</v>
      </c>
      <c r="O130" s="3">
        <v>3</v>
      </c>
      <c r="P130" s="2">
        <v>282222.4396622656</v>
      </c>
      <c r="Q130" s="2">
        <v>820931.3203223571</v>
      </c>
      <c r="R130" s="2">
        <v>335979.0948360306</v>
      </c>
      <c r="S130" s="2">
        <v>376296.5862163542</v>
      </c>
      <c r="T130" s="2">
        <v>3826801.890182388</v>
      </c>
      <c r="U130" s="2">
        <f>M130+P130+Q130+R130+S130+T130</f>
        <v>15847596.336863827</v>
      </c>
      <c r="V130" s="2">
        <f>F130-K130-L130-U130</f>
        <v>15965451.401380409</v>
      </c>
      <c r="W130" s="2">
        <v>0</v>
      </c>
      <c r="X130" s="2">
        <v>0</v>
      </c>
      <c r="Y130" s="2">
        <f>W130+X130</f>
        <v>0</v>
      </c>
      <c r="Z130" s="2">
        <v>3.434251993894577E-09</v>
      </c>
      <c r="AA130" s="2">
        <v>0</v>
      </c>
      <c r="AB130" s="2">
        <v>0</v>
      </c>
      <c r="AC130" s="2">
        <v>0</v>
      </c>
      <c r="AD130" s="2">
        <v>189829.6793131311</v>
      </c>
      <c r="AE130" s="2">
        <v>3037274.869010096</v>
      </c>
      <c r="AF130" s="2">
        <f>F130-H130-L130-U130-AA130-AC130-AD130</f>
        <v>12232144.847385038</v>
      </c>
      <c r="AG130" s="2">
        <f>F130-H130-L130-U130-AA130-AB130-AD130-Y130</f>
        <v>12232144.847385038</v>
      </c>
      <c r="AH130" s="2">
        <f>AH129+AG130</f>
        <v>365955141.2174913</v>
      </c>
      <c r="AI130" s="2">
        <v>49830588.82543249</v>
      </c>
      <c r="AJ130" s="2">
        <f>AH130-AI130</f>
        <v>316124552.39205885</v>
      </c>
      <c r="AK130" s="3">
        <v>0.25</v>
      </c>
    </row>
    <row r="131" spans="1:37">
      <c r="A131" s="2">
        <v>130</v>
      </c>
      <c r="B131" s="2">
        <v>2037</v>
      </c>
      <c r="C131" s="2">
        <v>148</v>
      </c>
      <c r="D131" s="2">
        <v>470357.2936066493</v>
      </c>
      <c r="E131" s="2">
        <v>69612879.45378411</v>
      </c>
      <c r="F131" s="2">
        <f>E131/1.19</f>
        <v>58498218.02839001</v>
      </c>
      <c r="G131" s="2">
        <v>190</v>
      </c>
      <c r="H131" s="2">
        <v>19212777.63218094</v>
      </c>
      <c r="I131" s="2">
        <v>353</v>
      </c>
      <c r="J131" s="2">
        <v>35687813.76459516</v>
      </c>
      <c r="K131" s="2">
        <v>14962596.13926369</v>
      </c>
      <c r="L131" s="2">
        <v>5871049.408687882</v>
      </c>
      <c r="M131" s="2">
        <v>10205365.00564443</v>
      </c>
      <c r="N131" s="3">
        <v>1.5</v>
      </c>
      <c r="O131" s="3">
        <v>3</v>
      </c>
      <c r="P131" s="2">
        <v>282222.4396622656</v>
      </c>
      <c r="Q131" s="2">
        <v>820931.3203223571</v>
      </c>
      <c r="R131" s="2">
        <v>335979.0948360306</v>
      </c>
      <c r="S131" s="2">
        <v>376296.5862163542</v>
      </c>
      <c r="T131" s="2">
        <v>3826801.890182388</v>
      </c>
      <c r="U131" s="2">
        <f>M131+P131+Q131+R131+S131+T131</f>
        <v>15847596.336863827</v>
      </c>
      <c r="V131" s="2">
        <f>F131-K131-L131-U131</f>
        <v>21816976.143574614</v>
      </c>
      <c r="W131" s="2">
        <v>0</v>
      </c>
      <c r="X131" s="2">
        <v>0</v>
      </c>
      <c r="Y131" s="2">
        <f>W131+X131</f>
        <v>0</v>
      </c>
      <c r="Z131" s="2">
        <v>3.434251993894577E-09</v>
      </c>
      <c r="AA131" s="2">
        <v>0</v>
      </c>
      <c r="AB131" s="2">
        <v>0</v>
      </c>
      <c r="AC131" s="2">
        <v>0</v>
      </c>
      <c r="AD131" s="2">
        <v>569489.037939393</v>
      </c>
      <c r="AE131" s="2">
        <v>3606763.906949489</v>
      </c>
      <c r="AF131" s="2">
        <f>F131-H131-L131-U131-AA131-AC131-AD131</f>
        <v>16997305.612717967</v>
      </c>
      <c r="AG131" s="2">
        <f>F131-H131-L131-U131-AA131-AB131-AD131-Y131</f>
        <v>16997305.612717967</v>
      </c>
      <c r="AH131" s="2">
        <f>AH130+AG131</f>
        <v>382952446.8302093</v>
      </c>
      <c r="AI131" s="2">
        <v>49830588.82543249</v>
      </c>
      <c r="AJ131" s="2">
        <f>AH131-AI131</f>
        <v>333121858.00477684</v>
      </c>
      <c r="AK131" s="3">
        <v>0.25</v>
      </c>
    </row>
    <row r="132" spans="1:37">
      <c r="A132" s="2">
        <v>131</v>
      </c>
      <c r="B132" s="2">
        <v>2037</v>
      </c>
      <c r="C132" s="2">
        <v>159</v>
      </c>
      <c r="D132" s="2">
        <v>470357.2936066493</v>
      </c>
      <c r="E132" s="2">
        <v>74786809.68345724</v>
      </c>
      <c r="F132" s="2">
        <f>E132/1.19</f>
        <v>62846058.557527095</v>
      </c>
      <c r="G132" s="2">
        <v>30</v>
      </c>
      <c r="H132" s="2">
        <v>3033596.468239096</v>
      </c>
      <c r="I132" s="2">
        <v>224</v>
      </c>
      <c r="J132" s="2">
        <v>22646464.47037826</v>
      </c>
      <c r="K132" s="2">
        <v>16074945.762456</v>
      </c>
      <c r="L132" s="2">
        <v>6307432.371063635</v>
      </c>
      <c r="M132" s="2">
        <v>10205365.00564443</v>
      </c>
      <c r="N132" s="3">
        <v>1.5</v>
      </c>
      <c r="O132" s="3">
        <v>3</v>
      </c>
      <c r="P132" s="2">
        <v>282222.4396622656</v>
      </c>
      <c r="Q132" s="2">
        <v>820931.3203223571</v>
      </c>
      <c r="R132" s="2">
        <v>335979.0948360306</v>
      </c>
      <c r="S132" s="2">
        <v>376296.5862163542</v>
      </c>
      <c r="T132" s="2">
        <v>3826801.890182388</v>
      </c>
      <c r="U132" s="2">
        <f>M132+P132+Q132+R132+S132+T132</f>
        <v>15847596.336863827</v>
      </c>
      <c r="V132" s="2">
        <f>F132-K132-L132-U132</f>
        <v>24616084.087143634</v>
      </c>
      <c r="W132" s="2">
        <v>0</v>
      </c>
      <c r="X132" s="2">
        <v>0</v>
      </c>
      <c r="Y132" s="2">
        <f>W132+X132</f>
        <v>0</v>
      </c>
      <c r="Z132" s="2">
        <v>3.434251993894577E-09</v>
      </c>
      <c r="AA132" s="2">
        <v>0</v>
      </c>
      <c r="AB132" s="2">
        <v>0</v>
      </c>
      <c r="AC132" s="2">
        <v>0</v>
      </c>
      <c r="AD132" s="2">
        <v>-3037274.869010096</v>
      </c>
      <c r="AE132" s="2">
        <v>569489.037939393</v>
      </c>
      <c r="AF132" s="2">
        <f>F132-H132-L132-U132-AA132-AC132-AD132</f>
        <v>40694708.25037063</v>
      </c>
      <c r="AG132" s="2">
        <f>F132-H132-L132-U132-AA132-AB132-AD132-Y132</f>
        <v>40694708.25037063</v>
      </c>
      <c r="AH132" s="2">
        <f>AH131+AG132</f>
        <v>423647155.08057994</v>
      </c>
      <c r="AI132" s="2">
        <v>49830588.82543249</v>
      </c>
      <c r="AJ132" s="2">
        <f>AH132-AI132</f>
        <v>373816566.25514746</v>
      </c>
      <c r="AK132" s="3">
        <v>0.25</v>
      </c>
    </row>
    <row r="133" spans="1:37">
      <c r="A133" s="2">
        <v>132</v>
      </c>
      <c r="B133" s="2">
        <v>2037</v>
      </c>
      <c r="C133" s="2">
        <v>194</v>
      </c>
      <c r="D133" s="2">
        <v>470357.2936066493</v>
      </c>
      <c r="E133" s="2">
        <v>91249314.95968997</v>
      </c>
      <c r="F133" s="2">
        <f>E133/1.19</f>
        <v>76680096.6047815</v>
      </c>
      <c r="G133" s="2">
        <v>30</v>
      </c>
      <c r="H133" s="2">
        <v>3033596.468239096</v>
      </c>
      <c r="I133" s="2">
        <v>60</v>
      </c>
      <c r="J133" s="2">
        <v>6066156.127232445</v>
      </c>
      <c r="K133" s="2">
        <v>19613904.81138491</v>
      </c>
      <c r="L133" s="2">
        <v>7695896.79845185</v>
      </c>
      <c r="M133" s="2">
        <v>10205365.00564443</v>
      </c>
      <c r="N133" s="3">
        <v>1.5</v>
      </c>
      <c r="O133" s="3">
        <v>3</v>
      </c>
      <c r="P133" s="2">
        <v>282222.4396622656</v>
      </c>
      <c r="Q133" s="2">
        <v>820931.3203223571</v>
      </c>
      <c r="R133" s="2">
        <v>335979.0948360306</v>
      </c>
      <c r="S133" s="2">
        <v>376296.5862163542</v>
      </c>
      <c r="T133" s="2">
        <v>3826801.890182388</v>
      </c>
      <c r="U133" s="2">
        <f>M133+P133+Q133+R133+S133+T133</f>
        <v>15847596.336863827</v>
      </c>
      <c r="V133" s="2">
        <f>F133-K133-L133-U133</f>
        <v>33522698.65808091</v>
      </c>
      <c r="W133" s="2">
        <v>0</v>
      </c>
      <c r="X133" s="2">
        <v>0</v>
      </c>
      <c r="Y133" s="2">
        <f>W133+X133</f>
        <v>0</v>
      </c>
      <c r="Z133" s="2">
        <v>3.434251993894577E-09</v>
      </c>
      <c r="AA133" s="2">
        <v>0</v>
      </c>
      <c r="AB133" s="2">
        <v>24894998.89786699</v>
      </c>
      <c r="AC133" s="2">
        <v>24894998.89786699</v>
      </c>
      <c r="AD133" s="2">
        <v>0</v>
      </c>
      <c r="AE133" s="2">
        <v>569489.037939393</v>
      </c>
      <c r="AF133" s="2">
        <f>F133-H133-L133-U133-AA133-AC133-AD133</f>
        <v>25208008.103359737</v>
      </c>
      <c r="AG133" s="2">
        <f>F133-H133-L133-U133-AA133-AB133-AD133-Y133</f>
        <v>25208008.103359737</v>
      </c>
      <c r="AH133" s="2">
        <f>AH132+AG133</f>
        <v>448855163.1839397</v>
      </c>
      <c r="AI133" s="2">
        <v>49830588.82543249</v>
      </c>
      <c r="AJ133" s="2">
        <f>AH133-AI133</f>
        <v>399024574.3585072</v>
      </c>
      <c r="AK133" s="3">
        <v>0.25</v>
      </c>
    </row>
    <row r="134" spans="1:37">
      <c r="A134" s="2">
        <v>133</v>
      </c>
      <c r="B134" s="2">
        <v>2038</v>
      </c>
      <c r="C134" s="2">
        <v>24</v>
      </c>
      <c r="D134" s="2">
        <v>484468.0124148488</v>
      </c>
      <c r="E134" s="2">
        <v>11627232.29795637</v>
      </c>
      <c r="F134" s="2">
        <f>E134/1.19</f>
        <v>9770783.443660816</v>
      </c>
      <c r="G134" s="2">
        <v>50</v>
      </c>
      <c r="H134" s="2">
        <v>5207673.937143781</v>
      </c>
      <c r="I134" s="2">
        <v>86</v>
      </c>
      <c r="J134" s="2">
        <v>8814085.323057778</v>
      </c>
      <c r="K134" s="2">
        <v>2459744.741318449</v>
      </c>
      <c r="L134" s="2">
        <v>977470.8715876148</v>
      </c>
      <c r="M134" s="2">
        <v>11118858.56659411</v>
      </c>
      <c r="N134" s="3">
        <v>2</v>
      </c>
      <c r="O134" s="3">
        <v>3</v>
      </c>
      <c r="P134" s="2">
        <v>304531.4515593781</v>
      </c>
      <c r="Q134" s="2">
        <v>877465.8506522262</v>
      </c>
      <c r="R134" s="2">
        <v>346058.4676811115</v>
      </c>
      <c r="S134" s="2">
        <v>387585.4838028449</v>
      </c>
      <c r="T134" s="2">
        <v>4138859.273466093</v>
      </c>
      <c r="U134" s="2">
        <f>M134+P134+Q134+R134+S134+T134</f>
        <v>17173359.093755767</v>
      </c>
      <c r="V134" s="2">
        <f>F134-K134-L134-U134</f>
        <v>-10839791.263001014</v>
      </c>
      <c r="W134" s="2">
        <v>0</v>
      </c>
      <c r="X134" s="2">
        <v>0</v>
      </c>
      <c r="Y134" s="2">
        <f>W134+X134</f>
        <v>0</v>
      </c>
      <c r="Z134" s="2">
        <v>3.434251993894577E-09</v>
      </c>
      <c r="AA134" s="2">
        <v>0</v>
      </c>
      <c r="AB134" s="2">
        <v>0</v>
      </c>
      <c r="AC134" s="2">
        <v>0</v>
      </c>
      <c r="AD134" s="2">
        <v>408133.8105232315</v>
      </c>
      <c r="AE134" s="2">
        <v>977622.8484626245</v>
      </c>
      <c r="AF134" s="2">
        <f>F134-H134-L134-U134-AA134-AC134-AD134</f>
        <v>-13995854.269349579</v>
      </c>
      <c r="AG134" s="2">
        <f>F134-H134-L134-U134-AA134-AB134-AD134-Y134</f>
        <v>-13995854.269349579</v>
      </c>
      <c r="AH134" s="2">
        <f>AH133+AG134</f>
        <v>434859308.9145901</v>
      </c>
      <c r="AI134" s="2">
        <v>53807877.09610831</v>
      </c>
      <c r="AJ134" s="2">
        <f>AH134-AI134</f>
        <v>381051431.8184818</v>
      </c>
      <c r="AK134" s="3">
        <v>0.25</v>
      </c>
    </row>
    <row r="135" spans="1:37">
      <c r="A135" s="2">
        <v>134</v>
      </c>
      <c r="B135" s="2">
        <v>2038</v>
      </c>
      <c r="C135" s="2">
        <v>36</v>
      </c>
      <c r="D135" s="2">
        <v>484468.0124148488</v>
      </c>
      <c r="E135" s="2">
        <v>17440848.44693456</v>
      </c>
      <c r="F135" s="2">
        <f>E135/1.19</f>
        <v>14656175.165491227</v>
      </c>
      <c r="G135" s="2">
        <v>60</v>
      </c>
      <c r="H135" s="2">
        <v>6249208.724572538</v>
      </c>
      <c r="I135" s="2">
        <v>110</v>
      </c>
      <c r="J135" s="2">
        <v>11349057.15917353</v>
      </c>
      <c r="K135" s="2">
        <v>3714236.888456791</v>
      </c>
      <c r="L135" s="2">
        <v>1468175.889499751</v>
      </c>
      <c r="M135" s="2">
        <v>11118858.56659411</v>
      </c>
      <c r="N135" s="3">
        <v>2</v>
      </c>
      <c r="O135" s="3">
        <v>3</v>
      </c>
      <c r="P135" s="2">
        <v>304531.4515593781</v>
      </c>
      <c r="Q135" s="2">
        <v>877465.8506522262</v>
      </c>
      <c r="R135" s="2">
        <v>346058.4676811115</v>
      </c>
      <c r="S135" s="2">
        <v>387585.4838028449</v>
      </c>
      <c r="T135" s="2">
        <v>4138859.273466093</v>
      </c>
      <c r="U135" s="2">
        <f>M135+P135+Q135+R135+S135+T135</f>
        <v>17173359.093755767</v>
      </c>
      <c r="V135" s="2">
        <f>F135-K135-L135-U135</f>
        <v>-7699596.706221083</v>
      </c>
      <c r="W135" s="2">
        <v>0</v>
      </c>
      <c r="X135" s="2">
        <v>0</v>
      </c>
      <c r="Y135" s="2">
        <f>W135+X135</f>
        <v>0</v>
      </c>
      <c r="Z135" s="2">
        <v>3.434251993894577E-09</v>
      </c>
      <c r="AA135" s="2">
        <v>0</v>
      </c>
      <c r="AB135" s="2">
        <v>0</v>
      </c>
      <c r="AC135" s="2">
        <v>0</v>
      </c>
      <c r="AD135" s="2">
        <v>195524.5696925251</v>
      </c>
      <c r="AE135" s="2">
        <v>1173147.41815515</v>
      </c>
      <c r="AF135" s="2">
        <f>F135-H135-L135-U135-AA135-AC135-AD135</f>
        <v>-10430093.112029355</v>
      </c>
      <c r="AG135" s="2">
        <f>F135-H135-L135-U135-AA135-AB135-AD135-Y135</f>
        <v>-10430093.112029355</v>
      </c>
      <c r="AH135" s="2">
        <f>AH134+AG135</f>
        <v>424429215.80256075</v>
      </c>
      <c r="AI135" s="2">
        <v>53807877.09610831</v>
      </c>
      <c r="AJ135" s="2">
        <f>AH135-AI135</f>
        <v>370621338.7064524</v>
      </c>
      <c r="AK135" s="3">
        <v>0.25</v>
      </c>
    </row>
    <row r="136" spans="1:37">
      <c r="A136" s="2">
        <v>135</v>
      </c>
      <c r="B136" s="2">
        <v>2038</v>
      </c>
      <c r="C136" s="2">
        <v>48</v>
      </c>
      <c r="D136" s="2">
        <v>484468.0124148488</v>
      </c>
      <c r="E136" s="2">
        <v>23254464.59591274</v>
      </c>
      <c r="F136" s="2">
        <f>E136/1.19</f>
        <v>19541566.887321632</v>
      </c>
      <c r="G136" s="2">
        <v>70</v>
      </c>
      <c r="H136" s="2">
        <v>7290743.512001296</v>
      </c>
      <c r="I136" s="2">
        <v>132</v>
      </c>
      <c r="J136" s="2">
        <v>13669187.15886154</v>
      </c>
      <c r="K136" s="2">
        <v>4970613.512313286</v>
      </c>
      <c r="L136" s="2">
        <v>1959031.665549341</v>
      </c>
      <c r="M136" s="2">
        <v>11118858.56659411</v>
      </c>
      <c r="N136" s="3">
        <v>2</v>
      </c>
      <c r="O136" s="3">
        <v>3</v>
      </c>
      <c r="P136" s="2">
        <v>304531.4515593781</v>
      </c>
      <c r="Q136" s="2">
        <v>877465.8506522262</v>
      </c>
      <c r="R136" s="2">
        <v>346058.4676811115</v>
      </c>
      <c r="S136" s="2">
        <v>387585.4838028449</v>
      </c>
      <c r="T136" s="2">
        <v>4138859.273466093</v>
      </c>
      <c r="U136" s="2">
        <f>M136+P136+Q136+R136+S136+T136</f>
        <v>17173359.093755767</v>
      </c>
      <c r="V136" s="2">
        <f>F136-K136-L136-U136</f>
        <v>-4561437.38429676</v>
      </c>
      <c r="W136" s="2">
        <v>0</v>
      </c>
      <c r="X136" s="2">
        <v>0</v>
      </c>
      <c r="Y136" s="2">
        <f>W136+X136</f>
        <v>0</v>
      </c>
      <c r="Z136" s="2">
        <v>3.434251993894577E-09</v>
      </c>
      <c r="AA136" s="2">
        <v>0</v>
      </c>
      <c r="AB136" s="2">
        <v>0</v>
      </c>
      <c r="AC136" s="2">
        <v>0</v>
      </c>
      <c r="AD136" s="2">
        <v>195524.5696925248</v>
      </c>
      <c r="AE136" s="2">
        <v>1368671.987847674</v>
      </c>
      <c r="AF136" s="2">
        <f>F136-H136-L136-U136-AA136-AC136-AD136</f>
        <v>-7077091.953677296</v>
      </c>
      <c r="AG136" s="2">
        <f>F136-H136-L136-U136-AA136-AB136-AD136-Y136</f>
        <v>-7077091.953677296</v>
      </c>
      <c r="AH136" s="2">
        <f>AH135+AG136</f>
        <v>417352123.84888345</v>
      </c>
      <c r="AI136" s="2">
        <v>53807877.09610831</v>
      </c>
      <c r="AJ136" s="2">
        <f>AH136-AI136</f>
        <v>363544246.75277513</v>
      </c>
      <c r="AK136" s="3">
        <v>0.25</v>
      </c>
    </row>
    <row r="137" spans="1:37">
      <c r="A137" s="2">
        <v>136</v>
      </c>
      <c r="B137" s="2">
        <v>2038</v>
      </c>
      <c r="C137" s="2">
        <v>60</v>
      </c>
      <c r="D137" s="2">
        <v>484468.0124148488</v>
      </c>
      <c r="E137" s="2">
        <v>29068080.74489093</v>
      </c>
      <c r="F137" s="2">
        <f>E137/1.19</f>
        <v>24426958.60915204</v>
      </c>
      <c r="G137" s="2">
        <v>90</v>
      </c>
      <c r="H137" s="2">
        <v>9373813.086858807</v>
      </c>
      <c r="I137" s="2">
        <v>162</v>
      </c>
      <c r="J137" s="2">
        <v>16815162.34147161</v>
      </c>
      <c r="K137" s="2">
        <v>6227837.904248741</v>
      </c>
      <c r="L137" s="2">
        <v>2449955.263045246</v>
      </c>
      <c r="M137" s="2">
        <v>11118858.56659411</v>
      </c>
      <c r="N137" s="3">
        <v>2</v>
      </c>
      <c r="O137" s="3">
        <v>3</v>
      </c>
      <c r="P137" s="2">
        <v>304531.4515593781</v>
      </c>
      <c r="Q137" s="2">
        <v>877465.8506522262</v>
      </c>
      <c r="R137" s="2">
        <v>346058.4676811115</v>
      </c>
      <c r="S137" s="2">
        <v>387585.4838028449</v>
      </c>
      <c r="T137" s="2">
        <v>4138859.273466093</v>
      </c>
      <c r="U137" s="2">
        <f>M137+P137+Q137+R137+S137+T137</f>
        <v>17173359.093755767</v>
      </c>
      <c r="V137" s="2">
        <f>F137-K137-L137-U137</f>
        <v>-1424193.6518977117</v>
      </c>
      <c r="W137" s="2">
        <v>0</v>
      </c>
      <c r="X137" s="2">
        <v>0</v>
      </c>
      <c r="Y137" s="2">
        <f>W137+X137</f>
        <v>0</v>
      </c>
      <c r="Z137" s="2">
        <v>3.434251993894577E-09</v>
      </c>
      <c r="AA137" s="2">
        <v>0</v>
      </c>
      <c r="AB137" s="2">
        <v>0</v>
      </c>
      <c r="AC137" s="2">
        <v>0</v>
      </c>
      <c r="AD137" s="2">
        <v>391049.1393850497</v>
      </c>
      <c r="AE137" s="2">
        <v>1759721.127232724</v>
      </c>
      <c r="AF137" s="2">
        <f>F137-H137-L137-U137-AA137-AC137-AD137</f>
        <v>-4961217.973892828</v>
      </c>
      <c r="AG137" s="2">
        <f>F137-H137-L137-U137-AA137-AB137-AD137-Y137</f>
        <v>-4961217.973892828</v>
      </c>
      <c r="AH137" s="2">
        <f>AH136+AG137</f>
        <v>412390905.87499064</v>
      </c>
      <c r="AI137" s="2">
        <v>53807877.09610831</v>
      </c>
      <c r="AJ137" s="2">
        <f>AH137-AI137</f>
        <v>358583028.7788823</v>
      </c>
      <c r="AK137" s="3">
        <v>0.25</v>
      </c>
    </row>
    <row r="138" spans="1:37">
      <c r="A138" s="2">
        <v>137</v>
      </c>
      <c r="B138" s="2">
        <v>2038</v>
      </c>
      <c r="C138" s="2">
        <v>72</v>
      </c>
      <c r="D138" s="2">
        <v>484468.0124148488</v>
      </c>
      <c r="E138" s="2">
        <v>34881696.89386912</v>
      </c>
      <c r="F138" s="2">
        <f>E138/1.19</f>
        <v>29312350.330982454</v>
      </c>
      <c r="G138" s="2">
        <v>90</v>
      </c>
      <c r="H138" s="2">
        <v>9373813.086858807</v>
      </c>
      <c r="I138" s="2">
        <v>180</v>
      </c>
      <c r="J138" s="2">
        <v>18706411.02023601</v>
      </c>
      <c r="K138" s="2">
        <v>7482564.408094404</v>
      </c>
      <c r="L138" s="2">
        <v>2940679.029493969</v>
      </c>
      <c r="M138" s="2">
        <v>11118858.56659411</v>
      </c>
      <c r="N138" s="3">
        <v>2</v>
      </c>
      <c r="O138" s="3">
        <v>3</v>
      </c>
      <c r="P138" s="2">
        <v>304531.4515593781</v>
      </c>
      <c r="Q138" s="2">
        <v>877465.8506522262</v>
      </c>
      <c r="R138" s="2">
        <v>346058.4676811115</v>
      </c>
      <c r="S138" s="2">
        <v>387585.4838028449</v>
      </c>
      <c r="T138" s="2">
        <v>4138859.273466093</v>
      </c>
      <c r="U138" s="2">
        <f>M138+P138+Q138+R138+S138+T138</f>
        <v>17173359.093755767</v>
      </c>
      <c r="V138" s="2">
        <f>F138-K138-L138-U138</f>
        <v>1715747.7996383123</v>
      </c>
      <c r="W138" s="2">
        <v>0</v>
      </c>
      <c r="X138" s="2">
        <v>0</v>
      </c>
      <c r="Y138" s="2">
        <f>W138+X138</f>
        <v>0</v>
      </c>
      <c r="Z138" s="2">
        <v>3.434251993894577E-09</v>
      </c>
      <c r="AA138" s="2">
        <v>0</v>
      </c>
      <c r="AB138" s="2">
        <v>0</v>
      </c>
      <c r="AC138" s="2">
        <v>0</v>
      </c>
      <c r="AD138" s="2">
        <v>0</v>
      </c>
      <c r="AE138" s="2">
        <v>1759721.127232724</v>
      </c>
      <c r="AF138" s="2">
        <f>F138-H138-L138-U138-AA138-AC138-AD138</f>
        <v>-175500.87912609056</v>
      </c>
      <c r="AG138" s="2">
        <f>F138-H138-L138-U138-AA138-AB138-AD138-Y138</f>
        <v>-175500.87912609056</v>
      </c>
      <c r="AH138" s="2">
        <f>AH137+AG138</f>
        <v>412215404.99586457</v>
      </c>
      <c r="AI138" s="2">
        <v>53807877.09610831</v>
      </c>
      <c r="AJ138" s="2">
        <f>AH138-AI138</f>
        <v>358407527.89975625</v>
      </c>
      <c r="AK138" s="3">
        <v>0.25</v>
      </c>
    </row>
    <row r="139" spans="1:37">
      <c r="A139" s="2">
        <v>138</v>
      </c>
      <c r="B139" s="2">
        <v>2038</v>
      </c>
      <c r="C139" s="2">
        <v>84</v>
      </c>
      <c r="D139" s="2">
        <v>484468.0124148488</v>
      </c>
      <c r="E139" s="2">
        <v>40695313.0428473</v>
      </c>
      <c r="F139" s="2">
        <f>E139/1.19</f>
        <v>34197742.05281286</v>
      </c>
      <c r="G139" s="2">
        <v>120</v>
      </c>
      <c r="H139" s="2">
        <v>12498417.44914508</v>
      </c>
      <c r="I139" s="2">
        <v>216</v>
      </c>
      <c r="J139" s="2">
        <v>22467476.49795438</v>
      </c>
      <c r="K139" s="2">
        <v>8737351.971426705</v>
      </c>
      <c r="L139" s="2">
        <v>3431407.680701622</v>
      </c>
      <c r="M139" s="2">
        <v>11118858.56659411</v>
      </c>
      <c r="N139" s="3">
        <v>2</v>
      </c>
      <c r="O139" s="3">
        <v>3</v>
      </c>
      <c r="P139" s="2">
        <v>304531.4515593781</v>
      </c>
      <c r="Q139" s="2">
        <v>877465.8506522262</v>
      </c>
      <c r="R139" s="2">
        <v>346058.4676811115</v>
      </c>
      <c r="S139" s="2">
        <v>387585.4838028449</v>
      </c>
      <c r="T139" s="2">
        <v>4138859.273466093</v>
      </c>
      <c r="U139" s="2">
        <f>M139+P139+Q139+R139+S139+T139</f>
        <v>17173359.093755767</v>
      </c>
      <c r="V139" s="2">
        <f>F139-K139-L139-U139</f>
        <v>4855623.306928769</v>
      </c>
      <c r="W139" s="2">
        <v>0</v>
      </c>
      <c r="X139" s="2">
        <v>0</v>
      </c>
      <c r="Y139" s="2">
        <f>W139+X139</f>
        <v>0</v>
      </c>
      <c r="Z139" s="2">
        <v>3.434251993894577E-09</v>
      </c>
      <c r="AA139" s="2">
        <v>0</v>
      </c>
      <c r="AB139" s="2">
        <v>0</v>
      </c>
      <c r="AC139" s="2">
        <v>0</v>
      </c>
      <c r="AD139" s="2">
        <v>586573.709077575</v>
      </c>
      <c r="AE139" s="2">
        <v>2346294.836310299</v>
      </c>
      <c r="AF139" s="2">
        <f>F139-H139-L139-U139-AA139-AC139-AD139</f>
        <v>507984.1201328181</v>
      </c>
      <c r="AG139" s="2">
        <f>F139-H139-L139-U139-AA139-AB139-AD139-Y139</f>
        <v>507984.1201328181</v>
      </c>
      <c r="AH139" s="2">
        <f>AH138+AG139</f>
        <v>412723389.1159974</v>
      </c>
      <c r="AI139" s="2">
        <v>53807877.09610831</v>
      </c>
      <c r="AJ139" s="2">
        <f>AH139-AI139</f>
        <v>358915512.01988906</v>
      </c>
      <c r="AK139" s="3">
        <v>0.25</v>
      </c>
    </row>
    <row r="140" spans="1:37">
      <c r="A140" s="2">
        <v>139</v>
      </c>
      <c r="B140" s="2">
        <v>2038</v>
      </c>
      <c r="C140" s="2">
        <v>96</v>
      </c>
      <c r="D140" s="2">
        <v>484468.0124148488</v>
      </c>
      <c r="E140" s="2">
        <v>46508929.19182549</v>
      </c>
      <c r="F140" s="2">
        <f>E140/1.19</f>
        <v>39083133.774643265</v>
      </c>
      <c r="G140" s="2">
        <v>140</v>
      </c>
      <c r="H140" s="2">
        <v>14581487.02400259</v>
      </c>
      <c r="I140" s="2">
        <v>260</v>
      </c>
      <c r="J140" s="2">
        <v>27058231.78569891</v>
      </c>
      <c r="K140" s="2">
        <v>9990731.73625806</v>
      </c>
      <c r="L140" s="2">
        <v>3922023.7080292</v>
      </c>
      <c r="M140" s="2">
        <v>11118858.56659411</v>
      </c>
      <c r="N140" s="3">
        <v>2</v>
      </c>
      <c r="O140" s="3">
        <v>3</v>
      </c>
      <c r="P140" s="2">
        <v>304531.4515593781</v>
      </c>
      <c r="Q140" s="2">
        <v>877465.8506522262</v>
      </c>
      <c r="R140" s="2">
        <v>346058.4676811115</v>
      </c>
      <c r="S140" s="2">
        <v>387585.4838028449</v>
      </c>
      <c r="T140" s="2">
        <v>4138859.273466093</v>
      </c>
      <c r="U140" s="2">
        <f>M140+P140+Q140+R140+S140+T140</f>
        <v>17173359.093755767</v>
      </c>
      <c r="V140" s="2">
        <f>F140-K140-L140-U140</f>
        <v>7997019.236600239</v>
      </c>
      <c r="W140" s="2">
        <v>0</v>
      </c>
      <c r="X140" s="2">
        <v>0</v>
      </c>
      <c r="Y140" s="2">
        <f>W140+X140</f>
        <v>0</v>
      </c>
      <c r="Z140" s="2">
        <v>3.434251993894577E-09</v>
      </c>
      <c r="AA140" s="2">
        <v>0</v>
      </c>
      <c r="AB140" s="2">
        <v>0</v>
      </c>
      <c r="AC140" s="2">
        <v>0</v>
      </c>
      <c r="AD140" s="2">
        <v>391049.1393850497</v>
      </c>
      <c r="AE140" s="2">
        <v>2737343.975695349</v>
      </c>
      <c r="AF140" s="2">
        <f>F140-H140-L140-U140-AA140-AC140-AD140</f>
        <v>3015214.8094706596</v>
      </c>
      <c r="AG140" s="2">
        <f>F140-H140-L140-U140-AA140-AB140-AD140-Y140</f>
        <v>3015214.8094706596</v>
      </c>
      <c r="AH140" s="2">
        <f>AH139+AG140</f>
        <v>415738603.925468</v>
      </c>
      <c r="AI140" s="2">
        <v>53807877.09610831</v>
      </c>
      <c r="AJ140" s="2">
        <f>AH140-AI140</f>
        <v>361930726.8293597</v>
      </c>
      <c r="AK140" s="3">
        <v>0.25</v>
      </c>
    </row>
    <row r="141" spans="1:37">
      <c r="A141" s="2">
        <v>140</v>
      </c>
      <c r="B141" s="2">
        <v>2038</v>
      </c>
      <c r="C141" s="2">
        <v>120</v>
      </c>
      <c r="D141" s="2">
        <v>484468.0124148488</v>
      </c>
      <c r="E141" s="2">
        <v>58136161.48978186</v>
      </c>
      <c r="F141" s="2">
        <f>E141/1.19</f>
        <v>48853917.21830408</v>
      </c>
      <c r="G141" s="2">
        <v>150</v>
      </c>
      <c r="H141" s="2">
        <v>15623021.81143134</v>
      </c>
      <c r="I141" s="2">
        <v>290</v>
      </c>
      <c r="J141" s="2">
        <v>30189179.37357994</v>
      </c>
      <c r="K141" s="2">
        <v>12492074.22355032</v>
      </c>
      <c r="L141" s="2">
        <v>4902822.399294719</v>
      </c>
      <c r="M141" s="2">
        <v>11118858.56659411</v>
      </c>
      <c r="N141" s="3">
        <v>2</v>
      </c>
      <c r="O141" s="3">
        <v>3</v>
      </c>
      <c r="P141" s="2">
        <v>304531.4515593781</v>
      </c>
      <c r="Q141" s="2">
        <v>877465.8506522262</v>
      </c>
      <c r="R141" s="2">
        <v>346058.4676811115</v>
      </c>
      <c r="S141" s="2">
        <v>387585.4838028449</v>
      </c>
      <c r="T141" s="2">
        <v>4138859.273466093</v>
      </c>
      <c r="U141" s="2">
        <f>M141+P141+Q141+R141+S141+T141</f>
        <v>17173359.093755767</v>
      </c>
      <c r="V141" s="2">
        <f>F141-K141-L141-U141</f>
        <v>14285661.501703277</v>
      </c>
      <c r="W141" s="2">
        <v>0</v>
      </c>
      <c r="X141" s="2">
        <v>0</v>
      </c>
      <c r="Y141" s="2">
        <f>W141+X141</f>
        <v>0</v>
      </c>
      <c r="Z141" s="2">
        <v>3.434251993894577E-09</v>
      </c>
      <c r="AA141" s="2">
        <v>0</v>
      </c>
      <c r="AB141" s="2">
        <v>0</v>
      </c>
      <c r="AC141" s="2">
        <v>0</v>
      </c>
      <c r="AD141" s="2">
        <v>195524.5696925246</v>
      </c>
      <c r="AE141" s="2">
        <v>2932868.545387873</v>
      </c>
      <c r="AF141" s="2">
        <f>F141-H141-L141-U141-AA141-AC141-AD141</f>
        <v>10959189.344129728</v>
      </c>
      <c r="AG141" s="2">
        <f>F141-H141-L141-U141-AA141-AB141-AD141-Y141</f>
        <v>10959189.344129728</v>
      </c>
      <c r="AH141" s="2">
        <f>AH140+AG141</f>
        <v>426697793.26959777</v>
      </c>
      <c r="AI141" s="2">
        <v>53807877.09610831</v>
      </c>
      <c r="AJ141" s="2">
        <f>AH141-AI141</f>
        <v>372889916.17348945</v>
      </c>
      <c r="AK141" s="3">
        <v>0.25</v>
      </c>
    </row>
    <row r="142" spans="1:37">
      <c r="A142" s="2">
        <v>141</v>
      </c>
      <c r="B142" s="2">
        <v>2038</v>
      </c>
      <c r="C142" s="2">
        <v>131</v>
      </c>
      <c r="D142" s="2">
        <v>484468.0124148488</v>
      </c>
      <c r="E142" s="2">
        <v>63465309.62634519</v>
      </c>
      <c r="F142" s="2">
        <f>E142/1.19</f>
        <v>53332192.96331529</v>
      </c>
      <c r="G142" s="2">
        <v>170</v>
      </c>
      <c r="H142" s="2">
        <v>17706091.38628886</v>
      </c>
      <c r="I142" s="2">
        <v>329</v>
      </c>
      <c r="J142" s="2">
        <v>34255530.60868877</v>
      </c>
      <c r="K142" s="2">
        <v>13639740.15118003</v>
      </c>
      <c r="L142" s="2">
        <v>5352452.515801076</v>
      </c>
      <c r="M142" s="2">
        <v>11118858.56659411</v>
      </c>
      <c r="N142" s="3">
        <v>2</v>
      </c>
      <c r="O142" s="3">
        <v>3</v>
      </c>
      <c r="P142" s="2">
        <v>304531.4515593781</v>
      </c>
      <c r="Q142" s="2">
        <v>877465.8506522262</v>
      </c>
      <c r="R142" s="2">
        <v>346058.4676811115</v>
      </c>
      <c r="S142" s="2">
        <v>387585.4838028449</v>
      </c>
      <c r="T142" s="2">
        <v>4138859.273466093</v>
      </c>
      <c r="U142" s="2">
        <f>M142+P142+Q142+R142+S142+T142</f>
        <v>17173359.093755767</v>
      </c>
      <c r="V142" s="2">
        <f>F142-K142-L142-U142</f>
        <v>17166641.202578425</v>
      </c>
      <c r="W142" s="2">
        <v>0</v>
      </c>
      <c r="X142" s="2">
        <v>0</v>
      </c>
      <c r="Y142" s="2">
        <f>W142+X142</f>
        <v>0</v>
      </c>
      <c r="Z142" s="2">
        <v>3.434251993894577E-09</v>
      </c>
      <c r="AA142" s="2">
        <v>0</v>
      </c>
      <c r="AB142" s="2">
        <v>0</v>
      </c>
      <c r="AC142" s="2">
        <v>0</v>
      </c>
      <c r="AD142" s="2">
        <v>391049.1393850502</v>
      </c>
      <c r="AE142" s="2">
        <v>3323917.684772924</v>
      </c>
      <c r="AF142" s="2">
        <f>F142-H142-L142-U142-AA142-AC142-AD142</f>
        <v>12709240.828084541</v>
      </c>
      <c r="AG142" s="2">
        <f>F142-H142-L142-U142-AA142-AB142-AD142-Y142</f>
        <v>12709240.828084541</v>
      </c>
      <c r="AH142" s="2">
        <f>AH141+AG142</f>
        <v>439407034.0976823</v>
      </c>
      <c r="AI142" s="2">
        <v>53807877.09610831</v>
      </c>
      <c r="AJ142" s="2">
        <f>AH142-AI142</f>
        <v>385599157.001574</v>
      </c>
      <c r="AK142" s="3">
        <v>0.25</v>
      </c>
    </row>
    <row r="143" spans="1:37">
      <c r="A143" s="2">
        <v>142</v>
      </c>
      <c r="B143" s="2">
        <v>2038</v>
      </c>
      <c r="C143" s="2">
        <v>155</v>
      </c>
      <c r="D143" s="2">
        <v>484468.0124148488</v>
      </c>
      <c r="E143" s="2">
        <v>75092541.92430156</v>
      </c>
      <c r="F143" s="2">
        <f>E143/1.19</f>
        <v>63102976.40697611</v>
      </c>
      <c r="G143" s="2">
        <v>200</v>
      </c>
      <c r="H143" s="2">
        <v>20830695.74857512</v>
      </c>
      <c r="I143" s="2">
        <v>374</v>
      </c>
      <c r="J143" s="2">
        <v>38945649.63632646</v>
      </c>
      <c r="K143" s="2">
        <v>16140576.72093744</v>
      </c>
      <c r="L143" s="2">
        <v>6333210.733663809</v>
      </c>
      <c r="M143" s="2">
        <v>11118858.56659411</v>
      </c>
      <c r="N143" s="3">
        <v>2</v>
      </c>
      <c r="O143" s="3">
        <v>3</v>
      </c>
      <c r="P143" s="2">
        <v>304531.4515593781</v>
      </c>
      <c r="Q143" s="2">
        <v>877465.8506522262</v>
      </c>
      <c r="R143" s="2">
        <v>346058.4676811115</v>
      </c>
      <c r="S143" s="2">
        <v>387585.4838028449</v>
      </c>
      <c r="T143" s="2">
        <v>4138859.273466093</v>
      </c>
      <c r="U143" s="2">
        <f>M143+P143+Q143+R143+S143+T143</f>
        <v>17173359.093755767</v>
      </c>
      <c r="V143" s="2">
        <f>F143-K143-L143-U143</f>
        <v>23455829.858619094</v>
      </c>
      <c r="W143" s="2">
        <v>0</v>
      </c>
      <c r="X143" s="2">
        <v>0</v>
      </c>
      <c r="Y143" s="2">
        <f>W143+X143</f>
        <v>0</v>
      </c>
      <c r="Z143" s="2">
        <v>3.434251993894577E-09</v>
      </c>
      <c r="AA143" s="2">
        <v>0</v>
      </c>
      <c r="AB143" s="2">
        <v>0</v>
      </c>
      <c r="AC143" s="2">
        <v>0</v>
      </c>
      <c r="AD143" s="2">
        <v>586573.7090775743</v>
      </c>
      <c r="AE143" s="2">
        <v>3910491.393850498</v>
      </c>
      <c r="AF143" s="2">
        <f>F143-H143-L143-U143-AA143-AC143-AD143</f>
        <v>18179137.12190383</v>
      </c>
      <c r="AG143" s="2">
        <f>F143-H143-L143-U143-AA143-AB143-AD143-Y143</f>
        <v>18179137.12190383</v>
      </c>
      <c r="AH143" s="2">
        <f>AH142+AG143</f>
        <v>457586171.21958613</v>
      </c>
      <c r="AI143" s="2">
        <v>53807877.09610831</v>
      </c>
      <c r="AJ143" s="2">
        <f>AH143-AI143</f>
        <v>403778294.1234778</v>
      </c>
      <c r="AK143" s="3">
        <v>0.25</v>
      </c>
    </row>
    <row r="144" spans="1:37">
      <c r="A144" s="2">
        <v>143</v>
      </c>
      <c r="B144" s="2">
        <v>2038</v>
      </c>
      <c r="C144" s="2">
        <v>167</v>
      </c>
      <c r="D144" s="2">
        <v>484468.0124148488</v>
      </c>
      <c r="E144" s="2">
        <v>80906158.07327975</v>
      </c>
      <c r="F144" s="2">
        <f>E144/1.19</f>
        <v>67988368.12880652</v>
      </c>
      <c r="G144" s="2">
        <v>30</v>
      </c>
      <c r="H144" s="2">
        <v>3124604.362286269</v>
      </c>
      <c r="I144" s="2">
        <v>237</v>
      </c>
      <c r="J144" s="2">
        <v>24679827.22195846</v>
      </c>
      <c r="K144" s="2">
        <v>17390426.77665427</v>
      </c>
      <c r="L144" s="2">
        <v>6823544.384262225</v>
      </c>
      <c r="M144" s="2">
        <v>11118858.56659411</v>
      </c>
      <c r="N144" s="3">
        <v>2</v>
      </c>
      <c r="O144" s="3">
        <v>3</v>
      </c>
      <c r="P144" s="2">
        <v>304531.4515593781</v>
      </c>
      <c r="Q144" s="2">
        <v>877465.8506522262</v>
      </c>
      <c r="R144" s="2">
        <v>346058.4676811115</v>
      </c>
      <c r="S144" s="2">
        <v>387585.4838028449</v>
      </c>
      <c r="T144" s="2">
        <v>4138859.273466093</v>
      </c>
      <c r="U144" s="2">
        <f>M144+P144+Q144+R144+S144+T144</f>
        <v>17173359.093755767</v>
      </c>
      <c r="V144" s="2">
        <f>F144-K144-L144-U144</f>
        <v>26601037.87413425</v>
      </c>
      <c r="W144" s="2">
        <v>0</v>
      </c>
      <c r="X144" s="2">
        <v>0</v>
      </c>
      <c r="Y144" s="2">
        <f>W144+X144</f>
        <v>0</v>
      </c>
      <c r="Z144" s="2">
        <v>3.434251993894577E-09</v>
      </c>
      <c r="AA144" s="2">
        <v>0</v>
      </c>
      <c r="AB144" s="2">
        <v>0</v>
      </c>
      <c r="AC144" s="2">
        <v>0</v>
      </c>
      <c r="AD144" s="2">
        <v>-3323917.684772923</v>
      </c>
      <c r="AE144" s="2">
        <v>586573.7090775748</v>
      </c>
      <c r="AF144" s="2">
        <f>F144-H144-L144-U144-AA144-AC144-AD144</f>
        <v>44190777.97327518</v>
      </c>
      <c r="AG144" s="2">
        <f>F144-H144-L144-U144-AA144-AB144-AD144-Y144</f>
        <v>44190777.97327518</v>
      </c>
      <c r="AH144" s="2">
        <f>AH143+AG144</f>
        <v>501776949.1928613</v>
      </c>
      <c r="AI144" s="2">
        <v>53807877.09610831</v>
      </c>
      <c r="AJ144" s="2">
        <f>AH144-AI144</f>
        <v>447969072.096753</v>
      </c>
      <c r="AK144" s="3">
        <v>0.25</v>
      </c>
    </row>
    <row r="145" spans="1:37">
      <c r="A145" s="2">
        <v>144</v>
      </c>
      <c r="B145" s="2">
        <v>2038</v>
      </c>
      <c r="C145" s="2">
        <v>203</v>
      </c>
      <c r="D145" s="2">
        <v>484468.0124148488</v>
      </c>
      <c r="E145" s="2">
        <v>98347006.52021432</v>
      </c>
      <c r="F145" s="2">
        <f>E145/1.19</f>
        <v>82644543.29429775</v>
      </c>
      <c r="G145" s="2">
        <v>30</v>
      </c>
      <c r="H145" s="2">
        <v>3124604.362286269</v>
      </c>
      <c r="I145" s="2">
        <v>64</v>
      </c>
      <c r="J145" s="2">
        <v>6664732.664388251</v>
      </c>
      <c r="K145" s="2">
        <v>21139698.91985648</v>
      </c>
      <c r="L145" s="2">
        <v>8294523.09414161</v>
      </c>
      <c r="M145" s="2">
        <v>11118858.56659411</v>
      </c>
      <c r="N145" s="3">
        <v>2</v>
      </c>
      <c r="O145" s="3">
        <v>3</v>
      </c>
      <c r="P145" s="2">
        <v>304531.4515593781</v>
      </c>
      <c r="Q145" s="2">
        <v>877465.8506522262</v>
      </c>
      <c r="R145" s="2">
        <v>346058.4676811115</v>
      </c>
      <c r="S145" s="2">
        <v>387585.4838028449</v>
      </c>
      <c r="T145" s="2">
        <v>4138859.273466093</v>
      </c>
      <c r="U145" s="2">
        <f>M145+P145+Q145+R145+S145+T145</f>
        <v>17173359.093755767</v>
      </c>
      <c r="V145" s="2">
        <f>F145-K145-L145-U145</f>
        <v>36036962.186543904</v>
      </c>
      <c r="W145" s="2">
        <v>0</v>
      </c>
      <c r="X145" s="2">
        <v>0</v>
      </c>
      <c r="Y145" s="2">
        <f>W145+X145</f>
        <v>0</v>
      </c>
      <c r="Z145" s="2">
        <v>3.434251993894577E-09</v>
      </c>
      <c r="AA145" s="2">
        <v>0</v>
      </c>
      <c r="AB145" s="2">
        <v>26747731.85604348</v>
      </c>
      <c r="AC145" s="2">
        <v>26747731.85604348</v>
      </c>
      <c r="AD145" s="2">
        <v>0</v>
      </c>
      <c r="AE145" s="2">
        <v>586573.7090775748</v>
      </c>
      <c r="AF145" s="2">
        <f>F145-H145-L145-U145-AA145-AC145-AD145</f>
        <v>27304324.88807064</v>
      </c>
      <c r="AG145" s="2">
        <f>F145-H145-L145-U145-AA145-AB145-AD145-Y145</f>
        <v>27304324.88807064</v>
      </c>
      <c r="AH145" s="2">
        <f>AH144+AG145</f>
        <v>529081274.08093196</v>
      </c>
      <c r="AI145" s="2">
        <v>53807877.09610831</v>
      </c>
      <c r="AJ145" s="2">
        <f>AH145-AI145</f>
        <v>475273396.98482364</v>
      </c>
      <c r="AK145" s="3">
        <v>0.25</v>
      </c>
    </row>
    <row r="146" spans="1:37">
      <c r="A146" s="2">
        <v>145</v>
      </c>
      <c r="B146" s="2">
        <v>2039</v>
      </c>
      <c r="C146" s="2">
        <v>25</v>
      </c>
      <c r="D146" s="2">
        <v>499002.0527872943</v>
      </c>
      <c r="E146" s="2">
        <v>12475051.31968236</v>
      </c>
      <c r="F146" s="2">
        <f>E146/1.19</f>
        <v>10483236.403094418</v>
      </c>
      <c r="G146" s="2">
        <v>50</v>
      </c>
      <c r="H146" s="2">
        <v>5363904.155258095</v>
      </c>
      <c r="I146" s="2">
        <v>89</v>
      </c>
      <c r="J146" s="2">
        <v>9390777.867969515</v>
      </c>
      <c r="K146" s="2">
        <v>2637858.95167683</v>
      </c>
      <c r="L146" s="2">
        <v>1048645.415145191</v>
      </c>
      <c r="M146" s="2">
        <v>11452424.32359194</v>
      </c>
      <c r="N146" s="3">
        <v>2</v>
      </c>
      <c r="O146" s="3">
        <v>3</v>
      </c>
      <c r="P146" s="2">
        <v>313667.3951061594</v>
      </c>
      <c r="Q146" s="2">
        <v>938293.2396334705</v>
      </c>
      <c r="R146" s="2">
        <v>356440.2217115448</v>
      </c>
      <c r="S146" s="2">
        <v>399213.0483169302</v>
      </c>
      <c r="T146" s="2">
        <v>4476889.184697003</v>
      </c>
      <c r="U146" s="2">
        <f>M146+P146+Q146+R146+S146+T146</f>
        <v>17936927.413057044</v>
      </c>
      <c r="V146" s="2">
        <f>F146-K146-L146-U146</f>
        <v>-11140195.376784649</v>
      </c>
      <c r="W146" s="2">
        <v>0</v>
      </c>
      <c r="X146" s="2">
        <v>0</v>
      </c>
      <c r="Y146" s="2">
        <f>W146+X146</f>
        <v>0</v>
      </c>
      <c r="Z146" s="2">
        <v>3.434251993894577E-09</v>
      </c>
      <c r="AA146" s="2">
        <v>2138641.330269269</v>
      </c>
      <c r="AB146" s="2">
        <v>0</v>
      </c>
      <c r="AC146" s="2">
        <v>0</v>
      </c>
      <c r="AD146" s="2">
        <v>420377.8248389284</v>
      </c>
      <c r="AE146" s="2">
        <v>1006951.533916503</v>
      </c>
      <c r="AF146" s="2">
        <f>F146-H146-L146-U146-AA146-AC146-AD146</f>
        <v>-16425259.73547411</v>
      </c>
      <c r="AG146" s="2">
        <f>F146-H146-L146-U146-AA146-AB146-AD146-Y146</f>
        <v>-16425259.73547411</v>
      </c>
      <c r="AH146" s="2">
        <f>AH145+AG146</f>
        <v>512656014.34545785</v>
      </c>
      <c r="AI146" s="2">
        <v>56098582.05401214</v>
      </c>
      <c r="AJ146" s="2">
        <f>AH146-AI146</f>
        <v>456557432.29144573</v>
      </c>
      <c r="AK146" s="3">
        <v>0.25</v>
      </c>
    </row>
    <row r="147" spans="1:37">
      <c r="A147" s="2">
        <v>146</v>
      </c>
      <c r="B147" s="2">
        <v>2039</v>
      </c>
      <c r="C147" s="2">
        <v>38</v>
      </c>
      <c r="D147" s="2">
        <v>499002.0527872943</v>
      </c>
      <c r="E147" s="2">
        <v>18962078.00591718</v>
      </c>
      <c r="F147" s="2">
        <f>E147/1.19</f>
        <v>15934519.332703516</v>
      </c>
      <c r="G147" s="2">
        <v>70</v>
      </c>
      <c r="H147" s="2">
        <v>7509465.817361334</v>
      </c>
      <c r="I147" s="2">
        <v>121</v>
      </c>
      <c r="J147" s="2">
        <v>12861191.73537757</v>
      </c>
      <c r="K147" s="2">
        <v>4039051.949953285</v>
      </c>
      <c r="L147" s="2">
        <v>1596301.538493051</v>
      </c>
      <c r="M147" s="2">
        <v>11452424.32359194</v>
      </c>
      <c r="N147" s="3">
        <v>2</v>
      </c>
      <c r="O147" s="3">
        <v>3</v>
      </c>
      <c r="P147" s="2">
        <v>313667.3951061594</v>
      </c>
      <c r="Q147" s="2">
        <v>938293.2396334705</v>
      </c>
      <c r="R147" s="2">
        <v>356440.2217115448</v>
      </c>
      <c r="S147" s="2">
        <v>399213.0483169302</v>
      </c>
      <c r="T147" s="2">
        <v>4476889.184697003</v>
      </c>
      <c r="U147" s="2">
        <f>M147+P147+Q147+R147+S147+T147</f>
        <v>17936927.413057044</v>
      </c>
      <c r="V147" s="2">
        <f>F147-K147-L147-U147</f>
        <v>-7637761.568799863</v>
      </c>
      <c r="W147" s="2">
        <v>0</v>
      </c>
      <c r="X147" s="2">
        <v>0</v>
      </c>
      <c r="Y147" s="2">
        <f>W147+X147</f>
        <v>0</v>
      </c>
      <c r="Z147" s="2">
        <v>3.434251993894577E-09</v>
      </c>
      <c r="AA147" s="2">
        <v>0</v>
      </c>
      <c r="AB147" s="2">
        <v>0</v>
      </c>
      <c r="AC147" s="2">
        <v>0</v>
      </c>
      <c r="AD147" s="2">
        <v>402780.6135666016</v>
      </c>
      <c r="AE147" s="2">
        <v>1409732.147483105</v>
      </c>
      <c r="AF147" s="2">
        <f>F147-H147-L147-U147-AA147-AC147-AD147</f>
        <v>-11510956.049774515</v>
      </c>
      <c r="AG147" s="2">
        <f>F147-H147-L147-U147-AA147-AB147-AD147-Y147</f>
        <v>-11510956.049774515</v>
      </c>
      <c r="AH147" s="2">
        <f>AH146+AG147</f>
        <v>501145058.2956833</v>
      </c>
      <c r="AI147" s="2">
        <v>56098582.05401214</v>
      </c>
      <c r="AJ147" s="2">
        <f>AH147-AI147</f>
        <v>445046476.2416712</v>
      </c>
      <c r="AK147" s="3">
        <v>0.25</v>
      </c>
    </row>
    <row r="148" spans="1:37">
      <c r="A148" s="2">
        <v>147</v>
      </c>
      <c r="B148" s="2">
        <v>2039</v>
      </c>
      <c r="C148" s="2">
        <v>50</v>
      </c>
      <c r="D148" s="2">
        <v>499002.0527872943</v>
      </c>
      <c r="E148" s="2">
        <v>24950102.63936472</v>
      </c>
      <c r="F148" s="2">
        <f>E148/1.19</f>
        <v>20966472.806188837</v>
      </c>
      <c r="G148" s="2">
        <v>70</v>
      </c>
      <c r="H148" s="2">
        <v>7509465.817361334</v>
      </c>
      <c r="I148" s="2">
        <v>141</v>
      </c>
      <c r="J148" s="2">
        <v>15038024.68552976</v>
      </c>
      <c r="K148" s="2">
        <v>5332632.867209136</v>
      </c>
      <c r="L148" s="2">
        <v>2101844.027398821</v>
      </c>
      <c r="M148" s="2">
        <v>11452424.32359194</v>
      </c>
      <c r="N148" s="3">
        <v>2</v>
      </c>
      <c r="O148" s="3">
        <v>3</v>
      </c>
      <c r="P148" s="2">
        <v>313667.3951061594</v>
      </c>
      <c r="Q148" s="2">
        <v>938293.2396334705</v>
      </c>
      <c r="R148" s="2">
        <v>356440.2217115448</v>
      </c>
      <c r="S148" s="2">
        <v>399213.0483169302</v>
      </c>
      <c r="T148" s="2">
        <v>4476889.184697003</v>
      </c>
      <c r="U148" s="2">
        <f>M148+P148+Q148+R148+S148+T148</f>
        <v>17936927.413057044</v>
      </c>
      <c r="V148" s="2">
        <f>F148-K148-L148-U148</f>
        <v>-4404931.501476165</v>
      </c>
      <c r="W148" s="2">
        <v>0</v>
      </c>
      <c r="X148" s="2">
        <v>0</v>
      </c>
      <c r="Y148" s="2">
        <f>W148+X148</f>
        <v>0</v>
      </c>
      <c r="Z148" s="2">
        <v>3.434251993894577E-09</v>
      </c>
      <c r="AA148" s="2">
        <v>0</v>
      </c>
      <c r="AB148" s="2">
        <v>0</v>
      </c>
      <c r="AC148" s="2">
        <v>0</v>
      </c>
      <c r="AD148" s="2">
        <v>0</v>
      </c>
      <c r="AE148" s="2">
        <v>1409732.147483105</v>
      </c>
      <c r="AF148" s="2">
        <f>F148-H148-L148-U148-AA148-AC148-AD148</f>
        <v>-6581764.451628363</v>
      </c>
      <c r="AG148" s="2">
        <f>F148-H148-L148-U148-AA148-AB148-AD148-Y148</f>
        <v>-6581764.451628363</v>
      </c>
      <c r="AH148" s="2">
        <f>AH147+AG148</f>
        <v>494563293.84405494</v>
      </c>
      <c r="AI148" s="2">
        <v>56098582.05401214</v>
      </c>
      <c r="AJ148" s="2">
        <f>AH148-AI148</f>
        <v>438464711.7900428</v>
      </c>
      <c r="AK148" s="3">
        <v>0.25</v>
      </c>
    </row>
    <row r="149" spans="1:37">
      <c r="A149" s="2">
        <v>148</v>
      </c>
      <c r="B149" s="2">
        <v>2039</v>
      </c>
      <c r="C149" s="2">
        <v>63</v>
      </c>
      <c r="D149" s="2">
        <v>499002.0527872943</v>
      </c>
      <c r="E149" s="2">
        <v>31437129.32559954</v>
      </c>
      <c r="F149" s="2">
        <f>E149/1.19</f>
        <v>26417755.735797934</v>
      </c>
      <c r="G149" s="2">
        <v>90</v>
      </c>
      <c r="H149" s="2">
        <v>9655027.47946457</v>
      </c>
      <c r="I149" s="2">
        <v>168</v>
      </c>
      <c r="J149" s="2">
        <v>17958583.39272315</v>
      </c>
      <c r="K149" s="2">
        <v>6734468.772271183</v>
      </c>
      <c r="L149" s="2">
        <v>2649551.583289527</v>
      </c>
      <c r="M149" s="2">
        <v>11452424.32359194</v>
      </c>
      <c r="N149" s="3">
        <v>2</v>
      </c>
      <c r="O149" s="3">
        <v>3</v>
      </c>
      <c r="P149" s="2">
        <v>313667.3951061594</v>
      </c>
      <c r="Q149" s="2">
        <v>938293.2396334705</v>
      </c>
      <c r="R149" s="2">
        <v>356440.2217115448</v>
      </c>
      <c r="S149" s="2">
        <v>399213.0483169302</v>
      </c>
      <c r="T149" s="2">
        <v>4476889.184697003</v>
      </c>
      <c r="U149" s="2">
        <f>M149+P149+Q149+R149+S149+T149</f>
        <v>17936927.413057044</v>
      </c>
      <c r="V149" s="2">
        <f>F149-K149-L149-U149</f>
        <v>-903192.0328198187</v>
      </c>
      <c r="W149" s="2">
        <v>0</v>
      </c>
      <c r="X149" s="2">
        <v>0</v>
      </c>
      <c r="Y149" s="2">
        <f>W149+X149</f>
        <v>0</v>
      </c>
      <c r="Z149" s="2">
        <v>3.434251993894577E-09</v>
      </c>
      <c r="AA149" s="2">
        <v>0</v>
      </c>
      <c r="AB149" s="2">
        <v>0</v>
      </c>
      <c r="AC149" s="2">
        <v>0</v>
      </c>
      <c r="AD149" s="2">
        <v>402780.613566601</v>
      </c>
      <c r="AE149" s="2">
        <v>1812512.761049706</v>
      </c>
      <c r="AF149" s="2">
        <f>F149-H149-L149-U149-AA149-AC149-AD149</f>
        <v>-4226531.353579809</v>
      </c>
      <c r="AG149" s="2">
        <f>F149-H149-L149-U149-AA149-AB149-AD149-Y149</f>
        <v>-4226531.353579809</v>
      </c>
      <c r="AH149" s="2">
        <f>AH148+AG149</f>
        <v>490336762.4904751</v>
      </c>
      <c r="AI149" s="2">
        <v>56098582.05401214</v>
      </c>
      <c r="AJ149" s="2">
        <f>AH149-AI149</f>
        <v>434238180.436463</v>
      </c>
      <c r="AK149" s="3">
        <v>0.25</v>
      </c>
    </row>
    <row r="150" spans="1:37">
      <c r="A150" s="2">
        <v>149</v>
      </c>
      <c r="B150" s="2">
        <v>2039</v>
      </c>
      <c r="C150" s="2">
        <v>75</v>
      </c>
      <c r="D150" s="2">
        <v>499002.0527872943</v>
      </c>
      <c r="E150" s="2">
        <v>37425153.95904707</v>
      </c>
      <c r="F150" s="2">
        <f>E150/1.19</f>
        <v>31449709.209283255</v>
      </c>
      <c r="G150" s="2">
        <v>100</v>
      </c>
      <c r="H150" s="2">
        <v>10727808.31051619</v>
      </c>
      <c r="I150" s="2">
        <v>193</v>
      </c>
      <c r="J150" s="2">
        <v>20658483.57733281</v>
      </c>
      <c r="K150" s="2">
        <v>8027908.125906532</v>
      </c>
      <c r="L150" s="2">
        <v>3155082.747105657</v>
      </c>
      <c r="M150" s="2">
        <v>11452424.32359194</v>
      </c>
      <c r="N150" s="3">
        <v>2</v>
      </c>
      <c r="O150" s="3">
        <v>3</v>
      </c>
      <c r="P150" s="2">
        <v>313667.3951061594</v>
      </c>
      <c r="Q150" s="2">
        <v>938293.2396334705</v>
      </c>
      <c r="R150" s="2">
        <v>356440.2217115448</v>
      </c>
      <c r="S150" s="2">
        <v>399213.0483169302</v>
      </c>
      <c r="T150" s="2">
        <v>4476889.184697003</v>
      </c>
      <c r="U150" s="2">
        <f>M150+P150+Q150+R150+S150+T150</f>
        <v>17936927.413057044</v>
      </c>
      <c r="V150" s="2">
        <f>F150-K150-L150-U150</f>
        <v>2329790.923214022</v>
      </c>
      <c r="W150" s="2">
        <v>0</v>
      </c>
      <c r="X150" s="2">
        <v>0</v>
      </c>
      <c r="Y150" s="2">
        <f>W150+X150</f>
        <v>0</v>
      </c>
      <c r="Z150" s="2">
        <v>3.434251993894577E-09</v>
      </c>
      <c r="AA150" s="2">
        <v>0</v>
      </c>
      <c r="AB150" s="2">
        <v>0</v>
      </c>
      <c r="AC150" s="2">
        <v>0</v>
      </c>
      <c r="AD150" s="2">
        <v>201390.3067833006</v>
      </c>
      <c r="AE150" s="2">
        <v>2013903.067833006</v>
      </c>
      <c r="AF150" s="2">
        <f>F150-H150-L150-U150-AA150-AC150-AD150</f>
        <v>-571499.5681789375</v>
      </c>
      <c r="AG150" s="2">
        <f>F150-H150-L150-U150-AA150-AB150-AD150-Y150</f>
        <v>-571499.5681789375</v>
      </c>
      <c r="AH150" s="2">
        <f>AH149+AG150</f>
        <v>489765262.92229617</v>
      </c>
      <c r="AI150" s="2">
        <v>56098582.05401214</v>
      </c>
      <c r="AJ150" s="2">
        <f>AH150-AI150</f>
        <v>433666680.86828405</v>
      </c>
      <c r="AK150" s="3">
        <v>0.25</v>
      </c>
    </row>
    <row r="151" spans="1:37">
      <c r="A151" s="2">
        <v>150</v>
      </c>
      <c r="B151" s="2">
        <v>2039</v>
      </c>
      <c r="C151" s="2">
        <v>88</v>
      </c>
      <c r="D151" s="2">
        <v>499002.0527872943</v>
      </c>
      <c r="E151" s="2">
        <v>43912180.6452819</v>
      </c>
      <c r="F151" s="2">
        <f>E151/1.19</f>
        <v>36900992.13889235</v>
      </c>
      <c r="G151" s="2">
        <v>130</v>
      </c>
      <c r="H151" s="2">
        <v>13946150.80367105</v>
      </c>
      <c r="I151" s="2">
        <v>235</v>
      </c>
      <c r="J151" s="2">
        <v>25176746.37627216</v>
      </c>
      <c r="K151" s="2">
        <v>9427888.004731702</v>
      </c>
      <c r="L151" s="2">
        <v>3702641.820897413</v>
      </c>
      <c r="M151" s="2">
        <v>11452424.32359194</v>
      </c>
      <c r="N151" s="3">
        <v>2</v>
      </c>
      <c r="O151" s="3">
        <v>3</v>
      </c>
      <c r="P151" s="2">
        <v>313667.3951061594</v>
      </c>
      <c r="Q151" s="2">
        <v>938293.2396334705</v>
      </c>
      <c r="R151" s="2">
        <v>356440.2217115448</v>
      </c>
      <c r="S151" s="2">
        <v>399213.0483169302</v>
      </c>
      <c r="T151" s="2">
        <v>4476889.184697003</v>
      </c>
      <c r="U151" s="2">
        <f>M151+P151+Q151+R151+S151+T151</f>
        <v>17936927.413057044</v>
      </c>
      <c r="V151" s="2">
        <f>F151-K151-L151-U151</f>
        <v>5833534.900206193</v>
      </c>
      <c r="W151" s="2">
        <v>0</v>
      </c>
      <c r="X151" s="2">
        <v>0</v>
      </c>
      <c r="Y151" s="2">
        <f>W151+X151</f>
        <v>0</v>
      </c>
      <c r="Z151" s="2">
        <v>3.434251993894577E-09</v>
      </c>
      <c r="AA151" s="2">
        <v>0</v>
      </c>
      <c r="AB151" s="2">
        <v>0</v>
      </c>
      <c r="AC151" s="2">
        <v>0</v>
      </c>
      <c r="AD151" s="2">
        <v>604170.920349902</v>
      </c>
      <c r="AE151" s="2">
        <v>2618073.988182908</v>
      </c>
      <c r="AF151" s="2">
        <f>F151-H151-L151-U151-AA151-AC151-AD151</f>
        <v>711101.180916944</v>
      </c>
      <c r="AG151" s="2">
        <f>F151-H151-L151-U151-AA151-AB151-AD151-Y151</f>
        <v>711101.180916944</v>
      </c>
      <c r="AH151" s="2">
        <f>AH150+AG151</f>
        <v>490476364.10321313</v>
      </c>
      <c r="AI151" s="2">
        <v>56098582.05401214</v>
      </c>
      <c r="AJ151" s="2">
        <f>AH151-AI151</f>
        <v>434377782.049201</v>
      </c>
      <c r="AK151" s="3">
        <v>0.25</v>
      </c>
    </row>
    <row r="152" spans="1:37">
      <c r="A152" s="2">
        <v>151</v>
      </c>
      <c r="B152" s="2">
        <v>2039</v>
      </c>
      <c r="C152" s="2">
        <v>100</v>
      </c>
      <c r="D152" s="2">
        <v>499002.0527872943</v>
      </c>
      <c r="E152" s="2">
        <v>49900205.27872943</v>
      </c>
      <c r="F152" s="2">
        <f>E152/1.19</f>
        <v>41932945.61237767</v>
      </c>
      <c r="G152" s="2">
        <v>130</v>
      </c>
      <c r="H152" s="2">
        <v>13946150.80367105</v>
      </c>
      <c r="I152" s="2">
        <v>265</v>
      </c>
      <c r="J152" s="2">
        <v>28404295.21283548</v>
      </c>
      <c r="K152" s="2">
        <v>10718601.96710773</v>
      </c>
      <c r="L152" s="2">
        <v>4207954.953412797</v>
      </c>
      <c r="M152" s="2">
        <v>11452424.32359194</v>
      </c>
      <c r="N152" s="3">
        <v>2</v>
      </c>
      <c r="O152" s="3">
        <v>3</v>
      </c>
      <c r="P152" s="2">
        <v>313667.3951061594</v>
      </c>
      <c r="Q152" s="2">
        <v>938293.2396334705</v>
      </c>
      <c r="R152" s="2">
        <v>356440.2217115448</v>
      </c>
      <c r="S152" s="2">
        <v>399213.0483169302</v>
      </c>
      <c r="T152" s="2">
        <v>4476889.184697003</v>
      </c>
      <c r="U152" s="2">
        <f>M152+P152+Q152+R152+S152+T152</f>
        <v>17936927.413057044</v>
      </c>
      <c r="V152" s="2">
        <f>F152-K152-L152-U152</f>
        <v>9069461.278800104</v>
      </c>
      <c r="W152" s="2">
        <v>0</v>
      </c>
      <c r="X152" s="2">
        <v>0</v>
      </c>
      <c r="Y152" s="2">
        <f>W152+X152</f>
        <v>0</v>
      </c>
      <c r="Z152" s="2">
        <v>3.434251993894577E-09</v>
      </c>
      <c r="AA152" s="2">
        <v>0</v>
      </c>
      <c r="AB152" s="2">
        <v>0</v>
      </c>
      <c r="AC152" s="2">
        <v>0</v>
      </c>
      <c r="AD152" s="2">
        <v>0</v>
      </c>
      <c r="AE152" s="2">
        <v>2618073.988182908</v>
      </c>
      <c r="AF152" s="2">
        <f>F152-H152-L152-U152-AA152-AC152-AD152</f>
        <v>5841912.442236785</v>
      </c>
      <c r="AG152" s="2">
        <f>F152-H152-L152-U152-AA152-AB152-AD152-Y152</f>
        <v>5841912.442236785</v>
      </c>
      <c r="AH152" s="2">
        <f>AH151+AG152</f>
        <v>496318276.5454499</v>
      </c>
      <c r="AI152" s="2">
        <v>56098582.05401214</v>
      </c>
      <c r="AJ152" s="2">
        <f>AH152-AI152</f>
        <v>440219694.4914378</v>
      </c>
      <c r="AK152" s="3">
        <v>0.25</v>
      </c>
    </row>
    <row r="153" spans="1:37">
      <c r="A153" s="2">
        <v>152</v>
      </c>
      <c r="B153" s="2">
        <v>2039</v>
      </c>
      <c r="C153" s="2">
        <v>126</v>
      </c>
      <c r="D153" s="2">
        <v>499002.0527872943</v>
      </c>
      <c r="E153" s="2">
        <v>62874258.65119908</v>
      </c>
      <c r="F153" s="2">
        <f>E153/1.19</f>
        <v>52835511.47159587</v>
      </c>
      <c r="G153" s="2">
        <v>170</v>
      </c>
      <c r="H153" s="2">
        <v>18237274.12787752</v>
      </c>
      <c r="I153" s="2">
        <v>309</v>
      </c>
      <c r="J153" s="2">
        <v>33131597.53167889</v>
      </c>
      <c r="K153" s="2">
        <v>13509971.80903411</v>
      </c>
      <c r="L153" s="2">
        <v>5302385.907738394</v>
      </c>
      <c r="M153" s="2">
        <v>11452424.32359194</v>
      </c>
      <c r="N153" s="3">
        <v>2</v>
      </c>
      <c r="O153" s="3">
        <v>3</v>
      </c>
      <c r="P153" s="2">
        <v>313667.3951061594</v>
      </c>
      <c r="Q153" s="2">
        <v>938293.2396334705</v>
      </c>
      <c r="R153" s="2">
        <v>356440.2217115448</v>
      </c>
      <c r="S153" s="2">
        <v>399213.0483169302</v>
      </c>
      <c r="T153" s="2">
        <v>4476889.184697003</v>
      </c>
      <c r="U153" s="2">
        <f>M153+P153+Q153+R153+S153+T153</f>
        <v>17936927.413057044</v>
      </c>
      <c r="V153" s="2">
        <f>F153-K153-L153-U153</f>
        <v>16086226.34176632</v>
      </c>
      <c r="W153" s="2">
        <v>0</v>
      </c>
      <c r="X153" s="2">
        <v>0</v>
      </c>
      <c r="Y153" s="2">
        <f>W153+X153</f>
        <v>0</v>
      </c>
      <c r="Z153" s="2">
        <v>3.434251993894577E-09</v>
      </c>
      <c r="AA153" s="2">
        <v>0</v>
      </c>
      <c r="AB153" s="2">
        <v>0</v>
      </c>
      <c r="AC153" s="2">
        <v>0</v>
      </c>
      <c r="AD153" s="2">
        <v>805561.2271332024</v>
      </c>
      <c r="AE153" s="2">
        <v>3423635.215316111</v>
      </c>
      <c r="AF153" s="2">
        <f>F153-H153-L153-U153-AA153-AC153-AD153</f>
        <v>10553362.795789707</v>
      </c>
      <c r="AG153" s="2">
        <f>F153-H153-L153-U153-AA153-AB153-AD153-Y153</f>
        <v>10553362.795789707</v>
      </c>
      <c r="AH153" s="2">
        <f>AH152+AG153</f>
        <v>506871639.34123963</v>
      </c>
      <c r="AI153" s="2">
        <v>56098582.05401214</v>
      </c>
      <c r="AJ153" s="2">
        <f>AH153-AI153</f>
        <v>450773057.2872275</v>
      </c>
      <c r="AK153" s="3">
        <v>0.25</v>
      </c>
    </row>
    <row r="154" spans="1:37">
      <c r="A154" s="2">
        <v>153</v>
      </c>
      <c r="B154" s="2">
        <v>2039</v>
      </c>
      <c r="C154" s="2">
        <v>138</v>
      </c>
      <c r="D154" s="2">
        <v>499002.0527872943</v>
      </c>
      <c r="E154" s="2">
        <v>68862283.28464662</v>
      </c>
      <c r="F154" s="2">
        <f>E154/1.19</f>
        <v>57867464.94508119</v>
      </c>
      <c r="G154" s="2">
        <v>170</v>
      </c>
      <c r="H154" s="2">
        <v>18237274.12787752</v>
      </c>
      <c r="I154" s="2">
        <v>341</v>
      </c>
      <c r="J154" s="2">
        <v>36569489.01024789</v>
      </c>
      <c r="K154" s="2">
        <v>14799382.64930853</v>
      </c>
      <c r="L154" s="2">
        <v>5807594.79048565</v>
      </c>
      <c r="M154" s="2">
        <v>11452424.32359194</v>
      </c>
      <c r="N154" s="3">
        <v>2</v>
      </c>
      <c r="O154" s="3">
        <v>3</v>
      </c>
      <c r="P154" s="2">
        <v>313667.3951061594</v>
      </c>
      <c r="Q154" s="2">
        <v>938293.2396334705</v>
      </c>
      <c r="R154" s="2">
        <v>356440.2217115448</v>
      </c>
      <c r="S154" s="2">
        <v>399213.0483169302</v>
      </c>
      <c r="T154" s="2">
        <v>4476889.184697003</v>
      </c>
      <c r="U154" s="2">
        <f>M154+P154+Q154+R154+S154+T154</f>
        <v>17936927.413057044</v>
      </c>
      <c r="V154" s="2">
        <f>F154-K154-L154-U154</f>
        <v>19323560.09222997</v>
      </c>
      <c r="W154" s="2">
        <v>0</v>
      </c>
      <c r="X154" s="2">
        <v>0</v>
      </c>
      <c r="Y154" s="2">
        <f>W154+X154</f>
        <v>0</v>
      </c>
      <c r="Z154" s="2">
        <v>3.434251993894577E-09</v>
      </c>
      <c r="AA154" s="2">
        <v>0</v>
      </c>
      <c r="AB154" s="2">
        <v>0</v>
      </c>
      <c r="AC154" s="2">
        <v>0</v>
      </c>
      <c r="AD154" s="2">
        <v>0</v>
      </c>
      <c r="AE154" s="2">
        <v>3423635.215316111</v>
      </c>
      <c r="AF154" s="2">
        <f>F154-H154-L154-U154-AA154-AC154-AD154</f>
        <v>15885668.613660976</v>
      </c>
      <c r="AG154" s="2">
        <f>F154-H154-L154-U154-AA154-AB154-AD154-Y154</f>
        <v>15885668.613660976</v>
      </c>
      <c r="AH154" s="2">
        <f>AH153+AG154</f>
        <v>522757307.9549006</v>
      </c>
      <c r="AI154" s="2">
        <v>56098582.05401214</v>
      </c>
      <c r="AJ154" s="2">
        <f>AH154-AI154</f>
        <v>466658725.9008885</v>
      </c>
      <c r="AK154" s="3">
        <v>0.25</v>
      </c>
    </row>
    <row r="155" spans="1:37">
      <c r="A155" s="2">
        <v>154</v>
      </c>
      <c r="B155" s="2">
        <v>2039</v>
      </c>
      <c r="C155" s="2">
        <v>163</v>
      </c>
      <c r="D155" s="2">
        <v>499002.0527872943</v>
      </c>
      <c r="E155" s="2">
        <v>81337334.60432898</v>
      </c>
      <c r="F155" s="2">
        <f>E155/1.19</f>
        <v>68350701.34817562</v>
      </c>
      <c r="G155" s="2">
        <v>220</v>
      </c>
      <c r="H155" s="2">
        <v>23601178.28313562</v>
      </c>
      <c r="I155" s="2">
        <v>398</v>
      </c>
      <c r="J155" s="2">
        <v>42687924.38995835</v>
      </c>
      <c r="K155" s="2">
        <v>17482742.90342516</v>
      </c>
      <c r="L155" s="2">
        <v>6859880.309826025</v>
      </c>
      <c r="M155" s="2">
        <v>11452424.32359194</v>
      </c>
      <c r="N155" s="3">
        <v>2</v>
      </c>
      <c r="O155" s="3">
        <v>3</v>
      </c>
      <c r="P155" s="2">
        <v>313667.3951061594</v>
      </c>
      <c r="Q155" s="2">
        <v>938293.2396334705</v>
      </c>
      <c r="R155" s="2">
        <v>356440.2217115448</v>
      </c>
      <c r="S155" s="2">
        <v>399213.0483169302</v>
      </c>
      <c r="T155" s="2">
        <v>4476889.184697003</v>
      </c>
      <c r="U155" s="2">
        <f>M155+P155+Q155+R155+S155+T155</f>
        <v>17936927.413057044</v>
      </c>
      <c r="V155" s="2">
        <f>F155-K155-L155-U155</f>
        <v>26071150.72186739</v>
      </c>
      <c r="W155" s="2">
        <v>0</v>
      </c>
      <c r="X155" s="2">
        <v>0</v>
      </c>
      <c r="Y155" s="2">
        <f>W155+X155</f>
        <v>0</v>
      </c>
      <c r="Z155" s="2">
        <v>3.434251993894577E-09</v>
      </c>
      <c r="AA155" s="2">
        <v>0</v>
      </c>
      <c r="AB155" s="2">
        <v>0</v>
      </c>
      <c r="AC155" s="2">
        <v>0</v>
      </c>
      <c r="AD155" s="2">
        <v>1006951.533916504</v>
      </c>
      <c r="AE155" s="2">
        <v>4430586.749232614</v>
      </c>
      <c r="AF155" s="2">
        <f>F155-H155-L155-U155-AA155-AC155-AD155</f>
        <v>18945763.80824042</v>
      </c>
      <c r="AG155" s="2">
        <f>F155-H155-L155-U155-AA155-AB155-AD155-Y155</f>
        <v>18945763.80824042</v>
      </c>
      <c r="AH155" s="2">
        <f>AH154+AG155</f>
        <v>541703071.763141</v>
      </c>
      <c r="AI155" s="2">
        <v>56098582.05401214</v>
      </c>
      <c r="AJ155" s="2">
        <f>AH155-AI155</f>
        <v>485604489.7091289</v>
      </c>
      <c r="AK155" s="3">
        <v>0.25</v>
      </c>
    </row>
    <row r="156" spans="1:37">
      <c r="A156" s="2">
        <v>155</v>
      </c>
      <c r="B156" s="2">
        <v>2039</v>
      </c>
      <c r="C156" s="2">
        <v>176</v>
      </c>
      <c r="D156" s="2">
        <v>499002.0527872943</v>
      </c>
      <c r="E156" s="2">
        <v>87824361.29056379</v>
      </c>
      <c r="F156" s="2">
        <f>E156/1.19</f>
        <v>73801984.2777847</v>
      </c>
      <c r="G156" s="2">
        <v>20</v>
      </c>
      <c r="H156" s="2">
        <v>2145561.662103238</v>
      </c>
      <c r="I156" s="2">
        <v>242</v>
      </c>
      <c r="J156" s="2">
        <v>25956228.76698302</v>
      </c>
      <c r="K156" s="2">
        <v>18877257.28507856</v>
      </c>
      <c r="L156" s="2">
        <v>7407002.14384404</v>
      </c>
      <c r="M156" s="2">
        <v>11452424.32359194</v>
      </c>
      <c r="N156" s="3">
        <v>2</v>
      </c>
      <c r="O156" s="3">
        <v>3</v>
      </c>
      <c r="P156" s="2">
        <v>313667.3951061594</v>
      </c>
      <c r="Q156" s="2">
        <v>938293.2396334705</v>
      </c>
      <c r="R156" s="2">
        <v>356440.2217115448</v>
      </c>
      <c r="S156" s="2">
        <v>399213.0483169302</v>
      </c>
      <c r="T156" s="2">
        <v>4476889.184697003</v>
      </c>
      <c r="U156" s="2">
        <f>M156+P156+Q156+R156+S156+T156</f>
        <v>17936927.413057044</v>
      </c>
      <c r="V156" s="2">
        <f>F156-K156-L156-U156</f>
        <v>29580797.43580506</v>
      </c>
      <c r="W156" s="2">
        <v>0</v>
      </c>
      <c r="X156" s="2">
        <v>0</v>
      </c>
      <c r="Y156" s="2">
        <f>W156+X156</f>
        <v>0</v>
      </c>
      <c r="Z156" s="2">
        <v>3.434251993894577E-09</v>
      </c>
      <c r="AA156" s="2">
        <v>0</v>
      </c>
      <c r="AB156" s="2">
        <v>0</v>
      </c>
      <c r="AC156" s="2">
        <v>0</v>
      </c>
      <c r="AD156" s="2">
        <v>-4027806.135666013</v>
      </c>
      <c r="AE156" s="2">
        <v>402780.6135666013</v>
      </c>
      <c r="AF156" s="2">
        <f>F156-H156-L156-U156-AA156-AC156-AD156</f>
        <v>50340299.1944464</v>
      </c>
      <c r="AG156" s="2">
        <f>F156-H156-L156-U156-AA156-AB156-AD156-Y156</f>
        <v>50340299.1944464</v>
      </c>
      <c r="AH156" s="2">
        <f>AH155+AG156</f>
        <v>592043370.9575875</v>
      </c>
      <c r="AI156" s="2">
        <v>56098582.05401214</v>
      </c>
      <c r="AJ156" s="2">
        <f>AH156-AI156</f>
        <v>535944788.90357536</v>
      </c>
      <c r="AK156" s="3">
        <v>0.25</v>
      </c>
    </row>
    <row r="157" spans="1:37">
      <c r="A157" s="2">
        <v>156</v>
      </c>
      <c r="B157" s="2">
        <v>2039</v>
      </c>
      <c r="C157" s="2">
        <v>214</v>
      </c>
      <c r="D157" s="2">
        <v>499002.0527872943</v>
      </c>
      <c r="E157" s="2">
        <v>106786439.296481</v>
      </c>
      <c r="F157" s="2">
        <f>E157/1.19</f>
        <v>89736503.61048822</v>
      </c>
      <c r="G157" s="2">
        <v>40</v>
      </c>
      <c r="H157" s="2">
        <v>4291123.324206476</v>
      </c>
      <c r="I157" s="2">
        <v>68</v>
      </c>
      <c r="J157" s="2">
        <v>7293687.738301016</v>
      </c>
      <c r="K157" s="2">
        <v>22953664.35288848</v>
      </c>
      <c r="L157" s="2">
        <v>9006292.091765624</v>
      </c>
      <c r="M157" s="2">
        <v>11452424.32359194</v>
      </c>
      <c r="N157" s="3">
        <v>2</v>
      </c>
      <c r="O157" s="3">
        <v>3</v>
      </c>
      <c r="P157" s="2">
        <v>313667.3951061594</v>
      </c>
      <c r="Q157" s="2">
        <v>938293.2396334705</v>
      </c>
      <c r="R157" s="2">
        <v>356440.2217115448</v>
      </c>
      <c r="S157" s="2">
        <v>399213.0483169302</v>
      </c>
      <c r="T157" s="2">
        <v>4476889.184697003</v>
      </c>
      <c r="U157" s="2">
        <f>M157+P157+Q157+R157+S157+T157</f>
        <v>17936927.413057044</v>
      </c>
      <c r="V157" s="2">
        <f>F157-K157-L157-U157</f>
        <v>39839619.75277707</v>
      </c>
      <c r="W157" s="2">
        <v>0</v>
      </c>
      <c r="X157" s="2">
        <v>0</v>
      </c>
      <c r="Y157" s="2">
        <f>W157+X157</f>
        <v>0</v>
      </c>
      <c r="Z157" s="2">
        <v>3.434251993894577E-09</v>
      </c>
      <c r="AA157" s="2">
        <v>0</v>
      </c>
      <c r="AB157" s="2">
        <v>30320116.1406509</v>
      </c>
      <c r="AC157" s="2">
        <v>30320116.1406509</v>
      </c>
      <c r="AD157" s="2">
        <v>402780.6135666013</v>
      </c>
      <c r="AE157" s="2">
        <v>805561.2271332026</v>
      </c>
      <c r="AF157" s="2">
        <f>F157-H157-L157-U157-AA157-AC157-AD157</f>
        <v>27779264.027241576</v>
      </c>
      <c r="AG157" s="2">
        <f>F157-H157-L157-U157-AA157-AB157-AD157-Y157</f>
        <v>27779264.027241576</v>
      </c>
      <c r="AH157" s="2">
        <f>AH156+AG157</f>
        <v>619822634.9848291</v>
      </c>
      <c r="AI157" s="2">
        <v>56098582.05401214</v>
      </c>
      <c r="AJ157" s="2">
        <f>AH157-AI157</f>
        <v>563724052.9308169</v>
      </c>
      <c r="AK157" s="3">
        <v>0.25</v>
      </c>
    </row>
    <row r="158" spans="1:37">
      <c r="A158" s="2">
        <v>157</v>
      </c>
      <c r="B158" s="2">
        <v>2040</v>
      </c>
      <c r="C158" s="2">
        <v>26</v>
      </c>
      <c r="D158" s="2">
        <v>513972.1143709132</v>
      </c>
      <c r="E158" s="2">
        <v>13363274.97364374</v>
      </c>
      <c r="F158" s="2">
        <f>E158/1.19</f>
        <v>11229642.834994743</v>
      </c>
      <c r="G158" s="2">
        <v>60</v>
      </c>
      <c r="H158" s="2">
        <v>6629785.535899007</v>
      </c>
      <c r="I158" s="2">
        <v>102</v>
      </c>
      <c r="J158" s="2">
        <v>11095267.76537814</v>
      </c>
      <c r="K158" s="2">
        <v>2828205.50882188</v>
      </c>
      <c r="L158" s="2">
        <v>1123511.448686382</v>
      </c>
      <c r="M158" s="2">
        <v>12539442.24573455</v>
      </c>
      <c r="N158" s="3">
        <v>2</v>
      </c>
      <c r="O158" s="3">
        <v>3.5</v>
      </c>
      <c r="P158" s="2">
        <v>337762.7540938599</v>
      </c>
      <c r="Q158" s="2">
        <v>1003816.219829817</v>
      </c>
      <c r="R158" s="2">
        <v>367133.4283628912</v>
      </c>
      <c r="S158" s="2">
        <v>411189.4397664382</v>
      </c>
      <c r="T158" s="2">
        <v>4842489.920106535</v>
      </c>
      <c r="U158" s="2">
        <f>M158+P158+Q158+R158+S158+T158</f>
        <v>19501834.007894088</v>
      </c>
      <c r="V158" s="2">
        <f>F158-K158-L158-U158</f>
        <v>-12223908.130407607</v>
      </c>
      <c r="W158" s="2">
        <v>0</v>
      </c>
      <c r="X158" s="2">
        <v>0</v>
      </c>
      <c r="Y158" s="2">
        <f>W158+X158</f>
        <v>0</v>
      </c>
      <c r="Z158" s="2">
        <v>3.434251993894577E-09</v>
      </c>
      <c r="AA158" s="2">
        <v>0</v>
      </c>
      <c r="AB158" s="2">
        <v>0</v>
      </c>
      <c r="AC158" s="2">
        <v>0</v>
      </c>
      <c r="AD158" s="2">
        <v>439030.8687875955</v>
      </c>
      <c r="AE158" s="2">
        <v>1244592.095920798</v>
      </c>
      <c r="AF158" s="2">
        <f>F158-H158-L158-U158-AA158-AC158-AD158</f>
        <v>-16464519.026272329</v>
      </c>
      <c r="AG158" s="2">
        <f>F158-H158-L158-U158-AA158-AB158-AD158-Y158</f>
        <v>-16464519.026272329</v>
      </c>
      <c r="AH158" s="2">
        <f>AH157+AG158</f>
        <v>603358115.9585568</v>
      </c>
      <c r="AI158" s="2">
        <v>60793301.83852327</v>
      </c>
      <c r="AJ158" s="2">
        <f>AH158-AI158</f>
        <v>542564814.1200335</v>
      </c>
      <c r="AK158" s="3">
        <v>0.25</v>
      </c>
    </row>
    <row r="159" spans="1:37">
      <c r="A159" s="2">
        <v>158</v>
      </c>
      <c r="B159" s="2">
        <v>2040</v>
      </c>
      <c r="C159" s="2">
        <v>40</v>
      </c>
      <c r="D159" s="2">
        <v>513972.1143709132</v>
      </c>
      <c r="E159" s="2">
        <v>20558884.57483653</v>
      </c>
      <c r="F159" s="2">
        <f>E159/1.19</f>
        <v>17276373.592299603</v>
      </c>
      <c r="G159" s="2">
        <v>60</v>
      </c>
      <c r="H159" s="2">
        <v>6629785.535899007</v>
      </c>
      <c r="I159" s="2">
        <v>122</v>
      </c>
      <c r="J159" s="2">
        <v>13348496.93059143</v>
      </c>
      <c r="K159" s="2">
        <v>4376556.370685716</v>
      </c>
      <c r="L159" s="2">
        <v>1730516.829625059</v>
      </c>
      <c r="M159" s="2">
        <v>12539442.24573455</v>
      </c>
      <c r="N159" s="3">
        <v>2</v>
      </c>
      <c r="O159" s="3">
        <v>3.5</v>
      </c>
      <c r="P159" s="2">
        <v>337762.7540938599</v>
      </c>
      <c r="Q159" s="2">
        <v>1003816.219829817</v>
      </c>
      <c r="R159" s="2">
        <v>367133.4283628912</v>
      </c>
      <c r="S159" s="2">
        <v>411189.4397664382</v>
      </c>
      <c r="T159" s="2">
        <v>4842489.920106535</v>
      </c>
      <c r="U159" s="2">
        <f>M159+P159+Q159+R159+S159+T159</f>
        <v>19501834.007894088</v>
      </c>
      <c r="V159" s="2">
        <f>F159-K159-L159-U159</f>
        <v>-8332533.615905259</v>
      </c>
      <c r="W159" s="2">
        <v>0</v>
      </c>
      <c r="X159" s="2">
        <v>0</v>
      </c>
      <c r="Y159" s="2">
        <f>W159+X159</f>
        <v>0</v>
      </c>
      <c r="Z159" s="2">
        <v>3.434251993894577E-09</v>
      </c>
      <c r="AA159" s="2">
        <v>0</v>
      </c>
      <c r="AB159" s="2">
        <v>0</v>
      </c>
      <c r="AC159" s="2">
        <v>0</v>
      </c>
      <c r="AD159" s="2">
        <v>0</v>
      </c>
      <c r="AE159" s="2">
        <v>1244592.095920798</v>
      </c>
      <c r="AF159" s="2">
        <f>F159-H159-L159-U159-AA159-AC159-AD159</f>
        <v>-10585762.78111855</v>
      </c>
      <c r="AG159" s="2">
        <f>F159-H159-L159-U159-AA159-AB159-AD159-Y159</f>
        <v>-10585762.78111855</v>
      </c>
      <c r="AH159" s="2">
        <f>AH158+AG159</f>
        <v>592772353.1774383</v>
      </c>
      <c r="AI159" s="2">
        <v>60793301.83852327</v>
      </c>
      <c r="AJ159" s="2">
        <f>AH159-AI159</f>
        <v>531979051.338915</v>
      </c>
      <c r="AK159" s="3">
        <v>0.25</v>
      </c>
    </row>
    <row r="160" spans="1:37">
      <c r="A160" s="2">
        <v>159</v>
      </c>
      <c r="B160" s="2">
        <v>2040</v>
      </c>
      <c r="C160" s="2">
        <v>53</v>
      </c>
      <c r="D160" s="2">
        <v>513972.1143709132</v>
      </c>
      <c r="E160" s="2">
        <v>27240522.0616584</v>
      </c>
      <c r="F160" s="2">
        <f>E160/1.19</f>
        <v>22891195.009796973</v>
      </c>
      <c r="G160" s="2">
        <v>80</v>
      </c>
      <c r="H160" s="2">
        <v>8839714.047865342</v>
      </c>
      <c r="I160" s="2">
        <v>149</v>
      </c>
      <c r="J160" s="2">
        <v>16366551.66232703</v>
      </c>
      <c r="K160" s="2">
        <v>5821659.316129749</v>
      </c>
      <c r="L160" s="2">
        <v>2294752.569250898</v>
      </c>
      <c r="M160" s="2">
        <v>12539442.24573455</v>
      </c>
      <c r="N160" s="3">
        <v>2</v>
      </c>
      <c r="O160" s="3">
        <v>3.5</v>
      </c>
      <c r="P160" s="2">
        <v>337762.7540938599</v>
      </c>
      <c r="Q160" s="2">
        <v>1003816.219829817</v>
      </c>
      <c r="R160" s="2">
        <v>367133.4283628912</v>
      </c>
      <c r="S160" s="2">
        <v>411189.4397664382</v>
      </c>
      <c r="T160" s="2">
        <v>4842489.920106535</v>
      </c>
      <c r="U160" s="2">
        <f>M160+P160+Q160+R160+S160+T160</f>
        <v>19501834.007894088</v>
      </c>
      <c r="V160" s="2">
        <f>F160-K160-L160-U160</f>
        <v>-4727050.883477759</v>
      </c>
      <c r="W160" s="2">
        <v>0</v>
      </c>
      <c r="X160" s="2">
        <v>0</v>
      </c>
      <c r="Y160" s="2">
        <f>W160+X160</f>
        <v>0</v>
      </c>
      <c r="Z160" s="2">
        <v>3.434251993894577E-09</v>
      </c>
      <c r="AA160" s="2">
        <v>0</v>
      </c>
      <c r="AB160" s="2">
        <v>0</v>
      </c>
      <c r="AC160" s="2">
        <v>0</v>
      </c>
      <c r="AD160" s="2">
        <v>414864.0319735997</v>
      </c>
      <c r="AE160" s="2">
        <v>1659456.127894398</v>
      </c>
      <c r="AF160" s="2">
        <f>F160-H160-L160-U160-AA160-AC160-AD160</f>
        <v>-8159969.647186953</v>
      </c>
      <c r="AG160" s="2">
        <f>F160-H160-L160-U160-AA160-AB160-AD160-Y160</f>
        <v>-8159969.647186953</v>
      </c>
      <c r="AH160" s="2">
        <f>AH159+AG160</f>
        <v>584612383.5302513</v>
      </c>
      <c r="AI160" s="2">
        <v>60793301.83852327</v>
      </c>
      <c r="AJ160" s="2">
        <f>AH160-AI160</f>
        <v>523819081.691728</v>
      </c>
      <c r="AK160" s="3">
        <v>0.25</v>
      </c>
    </row>
    <row r="161" spans="1:37">
      <c r="A161" s="2">
        <v>160</v>
      </c>
      <c r="B161" s="2">
        <v>2040</v>
      </c>
      <c r="C161" s="2">
        <v>66</v>
      </c>
      <c r="D161" s="2">
        <v>513972.1143709132</v>
      </c>
      <c r="E161" s="2">
        <v>33922159.54848027</v>
      </c>
      <c r="F161" s="2">
        <f>E161/1.19</f>
        <v>28506016.427294347</v>
      </c>
      <c r="G161" s="2">
        <v>90</v>
      </c>
      <c r="H161" s="2">
        <v>9944678.303848509</v>
      </c>
      <c r="I161" s="2">
        <v>173</v>
      </c>
      <c r="J161" s="2">
        <v>19045367.29769192</v>
      </c>
      <c r="K161" s="2">
        <v>7265862.668483621</v>
      </c>
      <c r="L161" s="2">
        <v>2858916.341429523</v>
      </c>
      <c r="M161" s="2">
        <v>12539442.24573455</v>
      </c>
      <c r="N161" s="3">
        <v>2</v>
      </c>
      <c r="O161" s="3">
        <v>3.5</v>
      </c>
      <c r="P161" s="2">
        <v>337762.7540938599</v>
      </c>
      <c r="Q161" s="2">
        <v>1003816.219829817</v>
      </c>
      <c r="R161" s="2">
        <v>367133.4283628912</v>
      </c>
      <c r="S161" s="2">
        <v>411189.4397664382</v>
      </c>
      <c r="T161" s="2">
        <v>4842489.920106535</v>
      </c>
      <c r="U161" s="2">
        <f>M161+P161+Q161+R161+S161+T161</f>
        <v>19501834.007894088</v>
      </c>
      <c r="V161" s="2">
        <f>F161-K161-L161-U161</f>
        <v>-1120596.5905128866</v>
      </c>
      <c r="W161" s="2">
        <v>0</v>
      </c>
      <c r="X161" s="2">
        <v>0</v>
      </c>
      <c r="Y161" s="2">
        <f>W161+X161</f>
        <v>0</v>
      </c>
      <c r="Z161" s="2">
        <v>3.434251993894577E-09</v>
      </c>
      <c r="AA161" s="2">
        <v>0</v>
      </c>
      <c r="AB161" s="2">
        <v>0</v>
      </c>
      <c r="AC161" s="2">
        <v>0</v>
      </c>
      <c r="AD161" s="2">
        <v>207432.0159867993</v>
      </c>
      <c r="AE161" s="2">
        <v>1866888.143881197</v>
      </c>
      <c r="AF161" s="2">
        <f>F161-H161-L161-U161-AA161-AC161-AD161</f>
        <v>-4006844.2418645723</v>
      </c>
      <c r="AG161" s="2">
        <f>F161-H161-L161-U161-AA161-AB161-AD161-Y161</f>
        <v>-4006844.2418645723</v>
      </c>
      <c r="AH161" s="2">
        <f>AH160+AG161</f>
        <v>580605539.2883867</v>
      </c>
      <c r="AI161" s="2">
        <v>60793301.83852327</v>
      </c>
      <c r="AJ161" s="2">
        <f>AH161-AI161</f>
        <v>519812237.44986343</v>
      </c>
      <c r="AK161" s="3">
        <v>0.25</v>
      </c>
    </row>
    <row r="162" spans="1:37">
      <c r="A162" s="2">
        <v>161</v>
      </c>
      <c r="B162" s="2">
        <v>2040</v>
      </c>
      <c r="C162" s="2">
        <v>79</v>
      </c>
      <c r="D162" s="2">
        <v>513972.1143709132</v>
      </c>
      <c r="E162" s="2">
        <v>40603797.03530214</v>
      </c>
      <c r="F162" s="2">
        <f>E162/1.19</f>
        <v>34120837.84479172</v>
      </c>
      <c r="G162" s="2">
        <v>110</v>
      </c>
      <c r="H162" s="2">
        <v>12154606.81581485</v>
      </c>
      <c r="I162" s="2">
        <v>204</v>
      </c>
      <c r="J162" s="2">
        <v>22490440.70372926</v>
      </c>
      <c r="K162" s="2">
        <v>8709533.409777505</v>
      </c>
      <c r="L162" s="2">
        <v>3423037.50472335</v>
      </c>
      <c r="M162" s="2">
        <v>12539442.24573455</v>
      </c>
      <c r="N162" s="3">
        <v>2</v>
      </c>
      <c r="O162" s="3">
        <v>3.5</v>
      </c>
      <c r="P162" s="2">
        <v>337762.7540938599</v>
      </c>
      <c r="Q162" s="2">
        <v>1003816.219829817</v>
      </c>
      <c r="R162" s="2">
        <v>367133.4283628912</v>
      </c>
      <c r="S162" s="2">
        <v>411189.4397664382</v>
      </c>
      <c r="T162" s="2">
        <v>4842489.920106535</v>
      </c>
      <c r="U162" s="2">
        <f>M162+P162+Q162+R162+S162+T162</f>
        <v>19501834.007894088</v>
      </c>
      <c r="V162" s="2">
        <f>F162-K162-L162-U162</f>
        <v>2486432.9223967753</v>
      </c>
      <c r="W162" s="2">
        <v>0</v>
      </c>
      <c r="X162" s="2">
        <v>0</v>
      </c>
      <c r="Y162" s="2">
        <f>W162+X162</f>
        <v>0</v>
      </c>
      <c r="Z162" s="2">
        <v>3.434251993894577E-09</v>
      </c>
      <c r="AA162" s="2">
        <v>0</v>
      </c>
      <c r="AB162" s="2">
        <v>0</v>
      </c>
      <c r="AC162" s="2">
        <v>0</v>
      </c>
      <c r="AD162" s="2">
        <v>414864.0319735995</v>
      </c>
      <c r="AE162" s="2">
        <v>2281752.175854797</v>
      </c>
      <c r="AF162" s="2">
        <f>F162-H162-L162-U162-AA162-AC162-AD162</f>
        <v>-1373504.5156141622</v>
      </c>
      <c r="AG162" s="2">
        <f>F162-H162-L162-U162-AA162-AB162-AD162-Y162</f>
        <v>-1373504.5156141622</v>
      </c>
      <c r="AH162" s="2">
        <f>AH161+AG162</f>
        <v>579232034.7727726</v>
      </c>
      <c r="AI162" s="2">
        <v>60793301.83852327</v>
      </c>
      <c r="AJ162" s="2">
        <f>AH162-AI162</f>
        <v>518438732.9342493</v>
      </c>
      <c r="AK162" s="3">
        <v>0.25</v>
      </c>
    </row>
    <row r="163" spans="1:37">
      <c r="A163" s="2">
        <v>162</v>
      </c>
      <c r="B163" s="2">
        <v>2040</v>
      </c>
      <c r="C163" s="2">
        <v>92</v>
      </c>
      <c r="D163" s="2">
        <v>513972.1143709132</v>
      </c>
      <c r="E163" s="2">
        <v>47285434.52212401</v>
      </c>
      <c r="F163" s="2">
        <f>E163/1.19</f>
        <v>39735659.26228909</v>
      </c>
      <c r="G163" s="2">
        <v>130</v>
      </c>
      <c r="H163" s="2">
        <v>14364535.32778118</v>
      </c>
      <c r="I163" s="2">
        <v>242</v>
      </c>
      <c r="J163" s="2">
        <v>26703305.98690277</v>
      </c>
      <c r="K163" s="2">
        <v>10151670.04460766</v>
      </c>
      <c r="L163" s="2">
        <v>3987035.939500078</v>
      </c>
      <c r="M163" s="2">
        <v>12539442.24573455</v>
      </c>
      <c r="N163" s="3">
        <v>2</v>
      </c>
      <c r="O163" s="3">
        <v>3.5</v>
      </c>
      <c r="P163" s="2">
        <v>337762.7540938599</v>
      </c>
      <c r="Q163" s="2">
        <v>1003816.219829817</v>
      </c>
      <c r="R163" s="2">
        <v>367133.4283628912</v>
      </c>
      <c r="S163" s="2">
        <v>411189.4397664382</v>
      </c>
      <c r="T163" s="2">
        <v>4842489.920106535</v>
      </c>
      <c r="U163" s="2">
        <f>M163+P163+Q163+R163+S163+T163</f>
        <v>19501834.007894088</v>
      </c>
      <c r="V163" s="2">
        <f>F163-K163-L163-U163</f>
        <v>6095119.270287264</v>
      </c>
      <c r="W163" s="2">
        <v>0</v>
      </c>
      <c r="X163" s="2">
        <v>0</v>
      </c>
      <c r="Y163" s="2">
        <f>W163+X163</f>
        <v>0</v>
      </c>
      <c r="Z163" s="2">
        <v>3.434251993894577E-09</v>
      </c>
      <c r="AA163" s="2">
        <v>0</v>
      </c>
      <c r="AB163" s="2">
        <v>0</v>
      </c>
      <c r="AC163" s="2">
        <v>0</v>
      </c>
      <c r="AD163" s="2">
        <v>414864.0319735995</v>
      </c>
      <c r="AE163" s="2">
        <v>2696616.207828396</v>
      </c>
      <c r="AF163" s="2">
        <f>F163-H163-L163-U163-AA163-AC163-AD163</f>
        <v>1467389.9551401483</v>
      </c>
      <c r="AG163" s="2">
        <f>F163-H163-L163-U163-AA163-AB163-AD163-Y163</f>
        <v>1467389.9551401483</v>
      </c>
      <c r="AH163" s="2">
        <f>AH162+AG163</f>
        <v>580699424.7279127</v>
      </c>
      <c r="AI163" s="2">
        <v>60793301.83852327</v>
      </c>
      <c r="AJ163" s="2">
        <f>AH163-AI163</f>
        <v>519906122.8893894</v>
      </c>
      <c r="AK163" s="3">
        <v>0.25</v>
      </c>
    </row>
    <row r="164" spans="1:37">
      <c r="A164" s="2">
        <v>163</v>
      </c>
      <c r="B164" s="2">
        <v>2040</v>
      </c>
      <c r="C164" s="2">
        <v>106</v>
      </c>
      <c r="D164" s="2">
        <v>513972.1143709132</v>
      </c>
      <c r="E164" s="2">
        <v>54481044.12331679</v>
      </c>
      <c r="F164" s="2">
        <f>E164/1.19</f>
        <v>45782390.01959395</v>
      </c>
      <c r="G164" s="2">
        <v>150</v>
      </c>
      <c r="H164" s="2">
        <v>16574463.83974752</v>
      </c>
      <c r="I164" s="2">
        <v>286</v>
      </c>
      <c r="J164" s="2">
        <v>31575107.5776071</v>
      </c>
      <c r="K164" s="2">
        <v>11702662.24904319</v>
      </c>
      <c r="L164" s="2">
        <v>4594252.62784449</v>
      </c>
      <c r="M164" s="2">
        <v>12539442.24573455</v>
      </c>
      <c r="N164" s="3">
        <v>2</v>
      </c>
      <c r="O164" s="3">
        <v>3.5</v>
      </c>
      <c r="P164" s="2">
        <v>337762.7540938599</v>
      </c>
      <c r="Q164" s="2">
        <v>1003816.219829817</v>
      </c>
      <c r="R164" s="2">
        <v>367133.4283628912</v>
      </c>
      <c r="S164" s="2">
        <v>411189.4397664382</v>
      </c>
      <c r="T164" s="2">
        <v>4842489.920106535</v>
      </c>
      <c r="U164" s="2">
        <f>M164+P164+Q164+R164+S164+T164</f>
        <v>19501834.007894088</v>
      </c>
      <c r="V164" s="2">
        <f>F164-K164-L164-U164</f>
        <v>9983641.13481218</v>
      </c>
      <c r="W164" s="2">
        <v>0</v>
      </c>
      <c r="X164" s="2">
        <v>0</v>
      </c>
      <c r="Y164" s="2">
        <f>W164+X164</f>
        <v>0</v>
      </c>
      <c r="Z164" s="2">
        <v>3.434251993894577E-09</v>
      </c>
      <c r="AA164" s="2">
        <v>0</v>
      </c>
      <c r="AB164" s="2">
        <v>0</v>
      </c>
      <c r="AC164" s="2">
        <v>0</v>
      </c>
      <c r="AD164" s="2">
        <v>414864.0319735995</v>
      </c>
      <c r="AE164" s="2">
        <v>3111480.239801995</v>
      </c>
      <c r="AF164" s="2">
        <f>F164-H164-L164-U164-AA164-AC164-AD164</f>
        <v>4696975.512134251</v>
      </c>
      <c r="AG164" s="2">
        <f>F164-H164-L164-U164-AA164-AB164-AD164-Y164</f>
        <v>4696975.512134251</v>
      </c>
      <c r="AH164" s="2">
        <f>AH163+AG164</f>
        <v>585396400.2400469</v>
      </c>
      <c r="AI164" s="2">
        <v>60793301.83852327</v>
      </c>
      <c r="AJ164" s="2">
        <f>AH164-AI164</f>
        <v>524603098.4015236</v>
      </c>
      <c r="AK164" s="3">
        <v>0.25</v>
      </c>
    </row>
    <row r="165" spans="1:37">
      <c r="A165" s="2">
        <v>164</v>
      </c>
      <c r="B165" s="2">
        <v>2040</v>
      </c>
      <c r="C165" s="2">
        <v>132</v>
      </c>
      <c r="D165" s="2">
        <v>513972.1143709132</v>
      </c>
      <c r="E165" s="2">
        <v>67844319.09696054</v>
      </c>
      <c r="F165" s="2">
        <f>E165/1.19</f>
        <v>57012032.854588695</v>
      </c>
      <c r="G165" s="2">
        <v>170</v>
      </c>
      <c r="H165" s="2">
        <v>18784392.35171385</v>
      </c>
      <c r="I165" s="2">
        <v>324</v>
      </c>
      <c r="J165" s="2">
        <v>35781749.94978067</v>
      </c>
      <c r="K165" s="2">
        <v>14577749.97954027</v>
      </c>
      <c r="L165" s="2">
        <v>5721514.654264889</v>
      </c>
      <c r="M165" s="2">
        <v>12539442.24573455</v>
      </c>
      <c r="N165" s="3">
        <v>2</v>
      </c>
      <c r="O165" s="3">
        <v>3.5</v>
      </c>
      <c r="P165" s="2">
        <v>337762.7540938599</v>
      </c>
      <c r="Q165" s="2">
        <v>1003816.219829817</v>
      </c>
      <c r="R165" s="2">
        <v>367133.4283628912</v>
      </c>
      <c r="S165" s="2">
        <v>411189.4397664382</v>
      </c>
      <c r="T165" s="2">
        <v>4842489.920106535</v>
      </c>
      <c r="U165" s="2">
        <f>M165+P165+Q165+R165+S165+T165</f>
        <v>19501834.007894088</v>
      </c>
      <c r="V165" s="2">
        <f>F165-K165-L165-U165</f>
        <v>17210934.212889444</v>
      </c>
      <c r="W165" s="2">
        <v>0</v>
      </c>
      <c r="X165" s="2">
        <v>0</v>
      </c>
      <c r="Y165" s="2">
        <f>W165+X165</f>
        <v>0</v>
      </c>
      <c r="Z165" s="2">
        <v>3.434251993894577E-09</v>
      </c>
      <c r="AA165" s="2">
        <v>0</v>
      </c>
      <c r="AB165" s="2">
        <v>0</v>
      </c>
      <c r="AC165" s="2">
        <v>0</v>
      </c>
      <c r="AD165" s="2">
        <v>414864.031973599</v>
      </c>
      <c r="AE165" s="2">
        <v>3526344.271775594</v>
      </c>
      <c r="AF165" s="2">
        <f>F165-H165-L165-U165-AA165-AC165-AD165</f>
        <v>12589427.808742268</v>
      </c>
      <c r="AG165" s="2">
        <f>F165-H165-L165-U165-AA165-AB165-AD165-Y165</f>
        <v>12589427.808742268</v>
      </c>
      <c r="AH165" s="2">
        <f>AH164+AG165</f>
        <v>597985828.0487891</v>
      </c>
      <c r="AI165" s="2">
        <v>60793301.83852327</v>
      </c>
      <c r="AJ165" s="2">
        <f>AH165-AI165</f>
        <v>537192526.2102659</v>
      </c>
      <c r="AK165" s="3">
        <v>0.25</v>
      </c>
    </row>
    <row r="166" spans="1:37">
      <c r="A166" s="2">
        <v>165</v>
      </c>
      <c r="B166" s="2">
        <v>2040</v>
      </c>
      <c r="C166" s="2">
        <v>145</v>
      </c>
      <c r="D166" s="2">
        <v>513972.1143709132</v>
      </c>
      <c r="E166" s="2">
        <v>74525956.5837824</v>
      </c>
      <c r="F166" s="2">
        <f>E166/1.19</f>
        <v>62626854.272086054</v>
      </c>
      <c r="G166" s="2">
        <v>180</v>
      </c>
      <c r="H166" s="2">
        <v>19889356.60769702</v>
      </c>
      <c r="I166" s="2">
        <v>359</v>
      </c>
      <c r="J166" s="2">
        <v>39654617.56772716</v>
      </c>
      <c r="K166" s="2">
        <v>16016488.98975053</v>
      </c>
      <c r="L166" s="2">
        <v>6285241.279072024</v>
      </c>
      <c r="M166" s="2">
        <v>12539442.24573455</v>
      </c>
      <c r="N166" s="3">
        <v>2</v>
      </c>
      <c r="O166" s="3">
        <v>3.5</v>
      </c>
      <c r="P166" s="2">
        <v>337762.7540938599</v>
      </c>
      <c r="Q166" s="2">
        <v>1003816.219829817</v>
      </c>
      <c r="R166" s="2">
        <v>367133.4283628912</v>
      </c>
      <c r="S166" s="2">
        <v>411189.4397664382</v>
      </c>
      <c r="T166" s="2">
        <v>4842489.920106535</v>
      </c>
      <c r="U166" s="2">
        <f>M166+P166+Q166+R166+S166+T166</f>
        <v>19501834.007894088</v>
      </c>
      <c r="V166" s="2">
        <f>F166-K166-L166-U166</f>
        <v>20823289.995369416</v>
      </c>
      <c r="W166" s="2">
        <v>0</v>
      </c>
      <c r="X166" s="2">
        <v>0</v>
      </c>
      <c r="Y166" s="2">
        <f>W166+X166</f>
        <v>0</v>
      </c>
      <c r="Z166" s="2">
        <v>3.434251993894577E-09</v>
      </c>
      <c r="AA166" s="2">
        <v>0</v>
      </c>
      <c r="AB166" s="2">
        <v>0</v>
      </c>
      <c r="AC166" s="2">
        <v>0</v>
      </c>
      <c r="AD166" s="2">
        <v>207432.0159867997</v>
      </c>
      <c r="AE166" s="2">
        <v>3733776.287762394</v>
      </c>
      <c r="AF166" s="2">
        <f>F166-H166-L166-U166-AA166-AC166-AD166</f>
        <v>16742990.361436125</v>
      </c>
      <c r="AG166" s="2">
        <f>F166-H166-L166-U166-AA166-AB166-AD166-Y166</f>
        <v>16742990.361436125</v>
      </c>
      <c r="AH166" s="2">
        <f>AH165+AG166</f>
        <v>614728818.4102253</v>
      </c>
      <c r="AI166" s="2">
        <v>60793301.83852327</v>
      </c>
      <c r="AJ166" s="2">
        <f>AH166-AI166</f>
        <v>553935516.571702</v>
      </c>
      <c r="AK166" s="3">
        <v>0.25</v>
      </c>
    </row>
    <row r="167" spans="1:37">
      <c r="A167" s="2">
        <v>166</v>
      </c>
      <c r="B167" s="2">
        <v>2040</v>
      </c>
      <c r="C167" s="2">
        <v>171</v>
      </c>
      <c r="D167" s="2">
        <v>513972.1143709132</v>
      </c>
      <c r="E167" s="2">
        <v>87889231.55742615</v>
      </c>
      <c r="F167" s="2">
        <f>E167/1.19</f>
        <v>73856497.1070808</v>
      </c>
      <c r="G167" s="2">
        <v>230</v>
      </c>
      <c r="H167" s="2">
        <v>25414177.88761286</v>
      </c>
      <c r="I167" s="2">
        <v>418</v>
      </c>
      <c r="J167" s="2">
        <v>46177854.83927356</v>
      </c>
      <c r="K167" s="2">
        <v>18890940.61606646</v>
      </c>
      <c r="L167" s="2">
        <v>7412452.417157929</v>
      </c>
      <c r="M167" s="2">
        <v>12539442.24573455</v>
      </c>
      <c r="N167" s="3">
        <v>2</v>
      </c>
      <c r="O167" s="3">
        <v>3.5</v>
      </c>
      <c r="P167" s="2">
        <v>337762.7540938599</v>
      </c>
      <c r="Q167" s="2">
        <v>1003816.219829817</v>
      </c>
      <c r="R167" s="2">
        <v>367133.4283628912</v>
      </c>
      <c r="S167" s="2">
        <v>411189.4397664382</v>
      </c>
      <c r="T167" s="2">
        <v>4842489.920106535</v>
      </c>
      <c r="U167" s="2">
        <f>M167+P167+Q167+R167+S167+T167</f>
        <v>19501834.007894088</v>
      </c>
      <c r="V167" s="2">
        <f>F167-K167-L167-U167</f>
        <v>28051270.065962326</v>
      </c>
      <c r="W167" s="2">
        <v>0</v>
      </c>
      <c r="X167" s="2">
        <v>0</v>
      </c>
      <c r="Y167" s="2">
        <f>W167+X167</f>
        <v>0</v>
      </c>
      <c r="Z167" s="2">
        <v>3.434251993894577E-09</v>
      </c>
      <c r="AA167" s="2">
        <v>0</v>
      </c>
      <c r="AB167" s="2">
        <v>0</v>
      </c>
      <c r="AC167" s="2">
        <v>0</v>
      </c>
      <c r="AD167" s="2">
        <v>1037160.079933998</v>
      </c>
      <c r="AE167" s="2">
        <v>4770936.367696392</v>
      </c>
      <c r="AF167" s="2">
        <f>F167-H167-L167-U167-AA167-AC167-AD167</f>
        <v>20490872.714481935</v>
      </c>
      <c r="AG167" s="2">
        <f>F167-H167-L167-U167-AA167-AB167-AD167-Y167</f>
        <v>20490872.714481935</v>
      </c>
      <c r="AH167" s="2">
        <f>AH166+AG167</f>
        <v>635219691.1247072</v>
      </c>
      <c r="AI167" s="2">
        <v>60793301.83852327</v>
      </c>
      <c r="AJ167" s="2">
        <f>AH167-AI167</f>
        <v>574426389.286184</v>
      </c>
      <c r="AK167" s="3">
        <v>0.25</v>
      </c>
    </row>
    <row r="168" spans="1:37">
      <c r="A168" s="2">
        <v>167</v>
      </c>
      <c r="B168" s="2">
        <v>2040</v>
      </c>
      <c r="C168" s="2">
        <v>185</v>
      </c>
      <c r="D168" s="2">
        <v>513972.1143709132</v>
      </c>
      <c r="E168" s="2">
        <v>95084841.15861894</v>
      </c>
      <c r="F168" s="2">
        <f>E168/1.19</f>
        <v>79903227.86438566</v>
      </c>
      <c r="G168" s="2">
        <v>20</v>
      </c>
      <c r="H168" s="2">
        <v>2209928.511966336</v>
      </c>
      <c r="I168" s="2">
        <v>253</v>
      </c>
      <c r="J168" s="2">
        <v>27950020.97685775</v>
      </c>
      <c r="K168" s="2">
        <v>20437762.37438215</v>
      </c>
      <c r="L168" s="2">
        <v>8019335.469812756</v>
      </c>
      <c r="M168" s="2">
        <v>12539442.24573455</v>
      </c>
      <c r="N168" s="3">
        <v>2</v>
      </c>
      <c r="O168" s="3">
        <v>3.5</v>
      </c>
      <c r="P168" s="2">
        <v>337762.7540938599</v>
      </c>
      <c r="Q168" s="2">
        <v>1003816.219829817</v>
      </c>
      <c r="R168" s="2">
        <v>367133.4283628912</v>
      </c>
      <c r="S168" s="2">
        <v>411189.4397664382</v>
      </c>
      <c r="T168" s="2">
        <v>4842489.920106535</v>
      </c>
      <c r="U168" s="2">
        <f>M168+P168+Q168+R168+S168+T168</f>
        <v>19501834.007894088</v>
      </c>
      <c r="V168" s="2">
        <f>F168-K168-L168-U168</f>
        <v>31944296.012296665</v>
      </c>
      <c r="W168" s="2">
        <v>0</v>
      </c>
      <c r="X168" s="2">
        <v>0</v>
      </c>
      <c r="Y168" s="2">
        <f>W168+X168</f>
        <v>0</v>
      </c>
      <c r="Z168" s="2">
        <v>3.434251993894577E-09</v>
      </c>
      <c r="AA168" s="2">
        <v>0</v>
      </c>
      <c r="AB168" s="2">
        <v>0</v>
      </c>
      <c r="AC168" s="2">
        <v>0</v>
      </c>
      <c r="AD168" s="2">
        <v>-4356072.335722793</v>
      </c>
      <c r="AE168" s="2">
        <v>414864.0319735995</v>
      </c>
      <c r="AF168" s="2">
        <f>F168-H168-L168-U168-AA168-AC168-AD168</f>
        <v>54528202.210435286</v>
      </c>
      <c r="AG168" s="2">
        <f>F168-H168-L168-U168-AA168-AB168-AD168-Y168</f>
        <v>54528202.210435286</v>
      </c>
      <c r="AH168" s="2">
        <f>AH167+AG168</f>
        <v>689747893.3351425</v>
      </c>
      <c r="AI168" s="2">
        <v>60793301.83852327</v>
      </c>
      <c r="AJ168" s="2">
        <f>AH168-AI168</f>
        <v>628954591.4966192</v>
      </c>
      <c r="AK168" s="3">
        <v>0.25</v>
      </c>
    </row>
    <row r="169" spans="1:37">
      <c r="A169" s="2">
        <v>168</v>
      </c>
      <c r="B169" s="2">
        <v>2040</v>
      </c>
      <c r="C169" s="2">
        <v>224</v>
      </c>
      <c r="D169" s="2">
        <v>513972.1143709132</v>
      </c>
      <c r="E169" s="2">
        <v>115129753.6190846</v>
      </c>
      <c r="F169" s="2">
        <f>E169/1.19</f>
        <v>96747692.11687778</v>
      </c>
      <c r="G169" s="2">
        <v>50</v>
      </c>
      <c r="H169" s="2">
        <v>5524821.279915839</v>
      </c>
      <c r="I169" s="2">
        <v>79</v>
      </c>
      <c r="J169" s="2">
        <v>8727764.152756151</v>
      </c>
      <c r="K169" s="2">
        <v>24747078.10401744</v>
      </c>
      <c r="L169" s="2">
        <v>9709963.240154527</v>
      </c>
      <c r="M169" s="2">
        <v>12539442.24573455</v>
      </c>
      <c r="N169" s="3">
        <v>2</v>
      </c>
      <c r="O169" s="3">
        <v>3.5</v>
      </c>
      <c r="P169" s="2">
        <v>337762.7540938599</v>
      </c>
      <c r="Q169" s="2">
        <v>1003816.219829817</v>
      </c>
      <c r="R169" s="2">
        <v>367133.4283628912</v>
      </c>
      <c r="S169" s="2">
        <v>411189.4397664382</v>
      </c>
      <c r="T169" s="2">
        <v>4842489.920106535</v>
      </c>
      <c r="U169" s="2">
        <f>M169+P169+Q169+R169+S169+T169</f>
        <v>19501834.007894088</v>
      </c>
      <c r="V169" s="2">
        <f>F169-K169-L169-U169</f>
        <v>42788816.764811724</v>
      </c>
      <c r="W169" s="2">
        <v>0</v>
      </c>
      <c r="X169" s="2">
        <v>0</v>
      </c>
      <c r="Y169" s="2">
        <f>W169+X169</f>
        <v>0</v>
      </c>
      <c r="Z169" s="2">
        <v>3.434251993894577E-09</v>
      </c>
      <c r="AA169" s="2">
        <v>0</v>
      </c>
      <c r="AB169" s="2">
        <v>32886408.68601679</v>
      </c>
      <c r="AC169" s="2">
        <v>32886408.68601679</v>
      </c>
      <c r="AD169" s="2">
        <v>622296.0479603991</v>
      </c>
      <c r="AE169" s="2">
        <v>1037160.079933999</v>
      </c>
      <c r="AF169" s="2">
        <f>F169-H169-L169-U169-AA169-AC169-AD169</f>
        <v>28502368.85493614</v>
      </c>
      <c r="AG169" s="2">
        <f>F169-H169-L169-U169-AA169-AB169-AD169-Y169</f>
        <v>28502368.85493614</v>
      </c>
      <c r="AH169" s="2">
        <f>AH168+AG169</f>
        <v>718250262.1900786</v>
      </c>
      <c r="AI169" s="2">
        <v>60793301.83852327</v>
      </c>
      <c r="AJ169" s="2">
        <f>AH169-AI169</f>
        <v>657456960.3515553</v>
      </c>
      <c r="AK169" s="3">
        <v>0.25</v>
      </c>
    </row>
    <row r="170" spans="1:37">
      <c r="A170" s="2">
        <v>169</v>
      </c>
      <c r="B170" s="2">
        <v>2041</v>
      </c>
      <c r="C170" s="2">
        <v>28</v>
      </c>
      <c r="D170" s="2">
        <v>529391.2778020406</v>
      </c>
      <c r="E170" s="2">
        <v>14822955.77845714</v>
      </c>
      <c r="F170" s="2">
        <f>E170/1.19</f>
        <v>12456265.360048015</v>
      </c>
      <c r="G170" s="2">
        <v>50</v>
      </c>
      <c r="H170" s="2">
        <v>5690565.918313314</v>
      </c>
      <c r="I170" s="2">
        <v>101</v>
      </c>
      <c r="J170" s="2">
        <v>11288770.05564353</v>
      </c>
      <c r="K170" s="2">
        <v>3129560.01542593</v>
      </c>
      <c r="L170" s="2">
        <v>1245627.66393259</v>
      </c>
      <c r="M170" s="2">
        <v>12915625.51310659</v>
      </c>
      <c r="N170" s="3">
        <v>2</v>
      </c>
      <c r="O170" s="3">
        <v>3.5</v>
      </c>
      <c r="P170" s="2">
        <v>347895.6367166757</v>
      </c>
      <c r="Q170" s="2">
        <v>1074316.852078343</v>
      </c>
      <c r="R170" s="2">
        <v>378147.431213778</v>
      </c>
      <c r="S170" s="2">
        <v>423525.1229594313</v>
      </c>
      <c r="T170" s="2">
        <v>5237341.922310825</v>
      </c>
      <c r="U170" s="2">
        <f>M170+P170+Q170+R170+S170+T170</f>
        <v>20376852.47838564</v>
      </c>
      <c r="V170" s="2">
        <f>F170-K170-L170-U170</f>
        <v>-12295774.797696143</v>
      </c>
      <c r="W170" s="2">
        <v>0</v>
      </c>
      <c r="X170" s="2">
        <v>0</v>
      </c>
      <c r="Y170" s="2">
        <f>W170+X170</f>
        <v>0</v>
      </c>
      <c r="Z170" s="2">
        <v>3.434251993894577E-09</v>
      </c>
      <c r="AA170" s="2">
        <v>0</v>
      </c>
      <c r="AB170" s="2">
        <v>0</v>
      </c>
      <c r="AC170" s="2">
        <v>0</v>
      </c>
      <c r="AD170" s="2">
        <v>31114.80239802005</v>
      </c>
      <c r="AE170" s="2">
        <v>1068274.882332019</v>
      </c>
      <c r="AF170" s="2">
        <f>F170-H170-L170-U170-AA170-AC170-AD170</f>
        <v>-14887895.50298155</v>
      </c>
      <c r="AG170" s="2">
        <f>F170-H170-L170-U170-AA170-AB170-AD170-Y170</f>
        <v>-14887895.50298155</v>
      </c>
      <c r="AH170" s="2">
        <f>AH169+AG170</f>
        <v>703362366.6870971</v>
      </c>
      <c r="AI170" s="2">
        <v>63418357.24999793</v>
      </c>
      <c r="AJ170" s="2">
        <f>AH170-AI170</f>
        <v>639944009.4370991</v>
      </c>
      <c r="AK170" s="3">
        <v>0.25</v>
      </c>
    </row>
    <row r="171" spans="1:37">
      <c r="A171" s="2">
        <v>170</v>
      </c>
      <c r="B171" s="2">
        <v>2041</v>
      </c>
      <c r="C171" s="2">
        <v>42</v>
      </c>
      <c r="D171" s="2">
        <v>529391.2778020406</v>
      </c>
      <c r="E171" s="2">
        <v>22234433.66768571</v>
      </c>
      <c r="F171" s="2">
        <f>E171/1.19</f>
        <v>18684398.040072024</v>
      </c>
      <c r="G171" s="2">
        <v>70</v>
      </c>
      <c r="H171" s="2">
        <v>7966792.285638641</v>
      </c>
      <c r="I171" s="2">
        <v>129</v>
      </c>
      <c r="J171" s="2">
        <v>14526125.97675673</v>
      </c>
      <c r="K171" s="2">
        <v>4729436.364525447</v>
      </c>
      <c r="L171" s="2">
        <v>1871249.203209809</v>
      </c>
      <c r="M171" s="2">
        <v>12915625.51310659</v>
      </c>
      <c r="N171" s="3">
        <v>2</v>
      </c>
      <c r="O171" s="3">
        <v>3.5</v>
      </c>
      <c r="P171" s="2">
        <v>347895.6367166757</v>
      </c>
      <c r="Q171" s="2">
        <v>1074316.852078343</v>
      </c>
      <c r="R171" s="2">
        <v>378147.431213778</v>
      </c>
      <c r="S171" s="2">
        <v>423525.1229594313</v>
      </c>
      <c r="T171" s="2">
        <v>5237341.922310825</v>
      </c>
      <c r="U171" s="2">
        <f>M171+P171+Q171+R171+S171+T171</f>
        <v>20376852.47838564</v>
      </c>
      <c r="V171" s="2">
        <f>F171-K171-L171-U171</f>
        <v>-8293140.006048871</v>
      </c>
      <c r="W171" s="2">
        <v>0</v>
      </c>
      <c r="X171" s="2">
        <v>0</v>
      </c>
      <c r="Y171" s="2">
        <f>W171+X171</f>
        <v>0</v>
      </c>
      <c r="Z171" s="2">
        <v>3.434251993894577E-09</v>
      </c>
      <c r="AA171" s="2">
        <v>0</v>
      </c>
      <c r="AB171" s="2">
        <v>0</v>
      </c>
      <c r="AC171" s="2">
        <v>0</v>
      </c>
      <c r="AD171" s="2">
        <v>427309.9529328074</v>
      </c>
      <c r="AE171" s="2">
        <v>1495584.835264826</v>
      </c>
      <c r="AF171" s="2">
        <f>F171-H171-L171-U171-AA171-AC171-AD171</f>
        <v>-11957805.880094873</v>
      </c>
      <c r="AG171" s="2">
        <f>F171-H171-L171-U171-AA171-AB171-AD171-Y171</f>
        <v>-11957805.880094873</v>
      </c>
      <c r="AH171" s="2">
        <f>AH170+AG171</f>
        <v>691404560.8070022</v>
      </c>
      <c r="AI171" s="2">
        <v>63418357.24999793</v>
      </c>
      <c r="AJ171" s="2">
        <f>AH171-AI171</f>
        <v>627986203.5570042</v>
      </c>
      <c r="AK171" s="3">
        <v>0.25</v>
      </c>
    </row>
    <row r="172" spans="1:37">
      <c r="A172" s="2">
        <v>171</v>
      </c>
      <c r="B172" s="2">
        <v>2041</v>
      </c>
      <c r="C172" s="2">
        <v>55</v>
      </c>
      <c r="D172" s="2">
        <v>529391.2778020406</v>
      </c>
      <c r="E172" s="2">
        <v>29116520.27911223</v>
      </c>
      <c r="F172" s="2">
        <f>E172/1.19</f>
        <v>24467664.100094315</v>
      </c>
      <c r="G172" s="2">
        <v>80</v>
      </c>
      <c r="H172" s="2">
        <v>9104905.469301304</v>
      </c>
      <c r="I172" s="2">
        <v>154</v>
      </c>
      <c r="J172" s="2">
        <v>17412338.96025329</v>
      </c>
      <c r="K172" s="2">
        <v>6218692.485804746</v>
      </c>
      <c r="L172" s="2">
        <v>2452476.022022178</v>
      </c>
      <c r="M172" s="2">
        <v>12915625.51310659</v>
      </c>
      <c r="N172" s="3">
        <v>2</v>
      </c>
      <c r="O172" s="3">
        <v>3.5</v>
      </c>
      <c r="P172" s="2">
        <v>347895.6367166757</v>
      </c>
      <c r="Q172" s="2">
        <v>1074316.852078343</v>
      </c>
      <c r="R172" s="2">
        <v>378147.431213778</v>
      </c>
      <c r="S172" s="2">
        <v>423525.1229594313</v>
      </c>
      <c r="T172" s="2">
        <v>5237341.922310825</v>
      </c>
      <c r="U172" s="2">
        <f>M172+P172+Q172+R172+S172+T172</f>
        <v>20376852.47838564</v>
      </c>
      <c r="V172" s="2">
        <f>F172-K172-L172-U172</f>
        <v>-4580356.88611825</v>
      </c>
      <c r="W172" s="2">
        <v>0</v>
      </c>
      <c r="X172" s="2">
        <v>0</v>
      </c>
      <c r="Y172" s="2">
        <f>W172+X172</f>
        <v>0</v>
      </c>
      <c r="Z172" s="2">
        <v>3.434251993894577E-09</v>
      </c>
      <c r="AA172" s="2">
        <v>0</v>
      </c>
      <c r="AB172" s="2">
        <v>0</v>
      </c>
      <c r="AC172" s="2">
        <v>0</v>
      </c>
      <c r="AD172" s="2">
        <v>213654.9764664038</v>
      </c>
      <c r="AE172" s="2">
        <v>1709239.81173123</v>
      </c>
      <c r="AF172" s="2">
        <f>F172-H172-L172-U172-AA172-AC172-AD172</f>
        <v>-7680224.84608121</v>
      </c>
      <c r="AG172" s="2">
        <f>F172-H172-L172-U172-AA172-AB172-AD172-Y172</f>
        <v>-7680224.84608121</v>
      </c>
      <c r="AH172" s="2">
        <f>AH171+AG172</f>
        <v>683724335.9609209</v>
      </c>
      <c r="AI172" s="2">
        <v>63418357.24999793</v>
      </c>
      <c r="AJ172" s="2">
        <f>AH172-AI172</f>
        <v>620305978.710923</v>
      </c>
      <c r="AK172" s="3">
        <v>0.25</v>
      </c>
    </row>
    <row r="173" spans="1:37">
      <c r="A173" s="2">
        <v>172</v>
      </c>
      <c r="B173" s="2">
        <v>2041</v>
      </c>
      <c r="C173" s="2">
        <v>69</v>
      </c>
      <c r="D173" s="2">
        <v>529391.2778020406</v>
      </c>
      <c r="E173" s="2">
        <v>36527998.1683408</v>
      </c>
      <c r="F173" s="2">
        <f>E173/1.19</f>
        <v>30695796.780118324</v>
      </c>
      <c r="G173" s="2">
        <v>100</v>
      </c>
      <c r="H173" s="2">
        <v>11381131.83662663</v>
      </c>
      <c r="I173" s="2">
        <v>185</v>
      </c>
      <c r="J173" s="2">
        <v>20971622.43079836</v>
      </c>
      <c r="K173" s="2">
        <v>7821848.366081552</v>
      </c>
      <c r="L173" s="2">
        <v>3078359.92379358</v>
      </c>
      <c r="M173" s="2">
        <v>12915625.51310659</v>
      </c>
      <c r="N173" s="3">
        <v>2</v>
      </c>
      <c r="O173" s="3">
        <v>3.5</v>
      </c>
      <c r="P173" s="2">
        <v>347895.6367166757</v>
      </c>
      <c r="Q173" s="2">
        <v>1074316.852078343</v>
      </c>
      <c r="R173" s="2">
        <v>378147.431213778</v>
      </c>
      <c r="S173" s="2">
        <v>423525.1229594313</v>
      </c>
      <c r="T173" s="2">
        <v>5237341.922310825</v>
      </c>
      <c r="U173" s="2">
        <f>M173+P173+Q173+R173+S173+T173</f>
        <v>20376852.47838564</v>
      </c>
      <c r="V173" s="2">
        <f>F173-K173-L173-U173</f>
        <v>-581263.9881424457</v>
      </c>
      <c r="W173" s="2">
        <v>0</v>
      </c>
      <c r="X173" s="2">
        <v>0</v>
      </c>
      <c r="Y173" s="2">
        <f>W173+X173</f>
        <v>0</v>
      </c>
      <c r="Z173" s="2">
        <v>3.434251993894577E-09</v>
      </c>
      <c r="AA173" s="2">
        <v>0</v>
      </c>
      <c r="AB173" s="2">
        <v>0</v>
      </c>
      <c r="AC173" s="2">
        <v>0</v>
      </c>
      <c r="AD173" s="2">
        <v>427309.9529328074</v>
      </c>
      <c r="AE173" s="2">
        <v>2136549.764664037</v>
      </c>
      <c r="AF173" s="2">
        <f>F173-H173-L173-U173-AA173-AC173-AD173</f>
        <v>-4567857.411620329</v>
      </c>
      <c r="AG173" s="2">
        <f>F173-H173-L173-U173-AA173-AB173-AD173-Y173</f>
        <v>-4567857.411620329</v>
      </c>
      <c r="AH173" s="2">
        <f>AH172+AG173</f>
        <v>679156478.5493006</v>
      </c>
      <c r="AI173" s="2">
        <v>63418357.24999793</v>
      </c>
      <c r="AJ173" s="2">
        <f>AH173-AI173</f>
        <v>615738121.2993026</v>
      </c>
      <c r="AK173" s="3">
        <v>0.25</v>
      </c>
    </row>
    <row r="174" spans="1:37">
      <c r="A174" s="2">
        <v>173</v>
      </c>
      <c r="B174" s="2">
        <v>2041</v>
      </c>
      <c r="C174" s="2">
        <v>83</v>
      </c>
      <c r="D174" s="2">
        <v>529391.2778020406</v>
      </c>
      <c r="E174" s="2">
        <v>43939476.05756937</v>
      </c>
      <c r="F174" s="2">
        <f>E174/1.19</f>
        <v>36923929.46014233</v>
      </c>
      <c r="G174" s="2">
        <v>110</v>
      </c>
      <c r="H174" s="2">
        <v>12519245.02028929</v>
      </c>
      <c r="I174" s="2">
        <v>212</v>
      </c>
      <c r="J174" s="2">
        <v>24068013.21908672</v>
      </c>
      <c r="K174" s="2">
        <v>9422854.232000932</v>
      </c>
      <c r="L174" s="2">
        <v>3704071.824416389</v>
      </c>
      <c r="M174" s="2">
        <v>12915625.51310659</v>
      </c>
      <c r="N174" s="3">
        <v>2</v>
      </c>
      <c r="O174" s="3">
        <v>3.5</v>
      </c>
      <c r="P174" s="2">
        <v>347895.6367166757</v>
      </c>
      <c r="Q174" s="2">
        <v>1074316.852078343</v>
      </c>
      <c r="R174" s="2">
        <v>378147.431213778</v>
      </c>
      <c r="S174" s="2">
        <v>423525.1229594313</v>
      </c>
      <c r="T174" s="2">
        <v>5237341.922310825</v>
      </c>
      <c r="U174" s="2">
        <f>M174+P174+Q174+R174+S174+T174</f>
        <v>20376852.47838564</v>
      </c>
      <c r="V174" s="2">
        <f>F174-K174-L174-U174</f>
        <v>3420150.925339371</v>
      </c>
      <c r="W174" s="2">
        <v>0</v>
      </c>
      <c r="X174" s="2">
        <v>0</v>
      </c>
      <c r="Y174" s="2">
        <f>W174+X174</f>
        <v>0</v>
      </c>
      <c r="Z174" s="2">
        <v>3.434251993894577E-09</v>
      </c>
      <c r="AA174" s="2">
        <v>0</v>
      </c>
      <c r="AB174" s="2">
        <v>0</v>
      </c>
      <c r="AC174" s="2">
        <v>0</v>
      </c>
      <c r="AD174" s="2">
        <v>213654.9764664033</v>
      </c>
      <c r="AE174" s="2">
        <v>2350204.74113044</v>
      </c>
      <c r="AF174" s="2">
        <f>F174-H174-L174-U174-AA174-AC174-AD174</f>
        <v>110105.16058460902</v>
      </c>
      <c r="AG174" s="2">
        <f>F174-H174-L174-U174-AA174-AB174-AD174-Y174</f>
        <v>110105.16058460902</v>
      </c>
      <c r="AH174" s="2">
        <f>AH173+AG174</f>
        <v>679266583.7098851</v>
      </c>
      <c r="AI174" s="2">
        <v>63418357.24999793</v>
      </c>
      <c r="AJ174" s="2">
        <f>AH174-AI174</f>
        <v>615848226.4598871</v>
      </c>
      <c r="AK174" s="3">
        <v>0.25</v>
      </c>
    </row>
    <row r="175" spans="1:37">
      <c r="A175" s="2">
        <v>174</v>
      </c>
      <c r="B175" s="2">
        <v>2041</v>
      </c>
      <c r="C175" s="2">
        <v>97</v>
      </c>
      <c r="D175" s="2">
        <v>529391.2778020406</v>
      </c>
      <c r="E175" s="2">
        <v>51350953.94679794</v>
      </c>
      <c r="F175" s="2">
        <f>E175/1.19</f>
        <v>43152062.140166335</v>
      </c>
      <c r="G175" s="2">
        <v>140</v>
      </c>
      <c r="H175" s="2">
        <v>15933584.57127728</v>
      </c>
      <c r="I175" s="2">
        <v>255</v>
      </c>
      <c r="J175" s="2">
        <v>28978430.21745119</v>
      </c>
      <c r="K175" s="2">
        <v>11023167.57291281</v>
      </c>
      <c r="L175" s="2">
        <v>4329728.323038597</v>
      </c>
      <c r="M175" s="2">
        <v>12915625.51310659</v>
      </c>
      <c r="N175" s="3">
        <v>2</v>
      </c>
      <c r="O175" s="3">
        <v>3.5</v>
      </c>
      <c r="P175" s="2">
        <v>347895.6367166757</v>
      </c>
      <c r="Q175" s="2">
        <v>1074316.852078343</v>
      </c>
      <c r="R175" s="2">
        <v>378147.431213778</v>
      </c>
      <c r="S175" s="2">
        <v>423525.1229594313</v>
      </c>
      <c r="T175" s="2">
        <v>5237341.922310825</v>
      </c>
      <c r="U175" s="2">
        <f>M175+P175+Q175+R175+S175+T175</f>
        <v>20376852.47838564</v>
      </c>
      <c r="V175" s="2">
        <f>F175-K175-L175-U175</f>
        <v>7422313.765829291</v>
      </c>
      <c r="W175" s="2">
        <v>0</v>
      </c>
      <c r="X175" s="2">
        <v>0</v>
      </c>
      <c r="Y175" s="2">
        <f>W175+X175</f>
        <v>0</v>
      </c>
      <c r="Z175" s="2">
        <v>3.434251993894577E-09</v>
      </c>
      <c r="AA175" s="2">
        <v>0</v>
      </c>
      <c r="AB175" s="2">
        <v>0</v>
      </c>
      <c r="AC175" s="2">
        <v>0</v>
      </c>
      <c r="AD175" s="2">
        <v>640964.9293992114</v>
      </c>
      <c r="AE175" s="2">
        <v>2991169.670529652</v>
      </c>
      <c r="AF175" s="2">
        <f>F175-H175-L175-U175-AA175-AC175-AD175</f>
        <v>1870931.8380656051</v>
      </c>
      <c r="AG175" s="2">
        <f>F175-H175-L175-U175-AA175-AB175-AD175-Y175</f>
        <v>1870931.8380656051</v>
      </c>
      <c r="AH175" s="2">
        <f>AH174+AG175</f>
        <v>681137515.5479507</v>
      </c>
      <c r="AI175" s="2">
        <v>63418357.24999793</v>
      </c>
      <c r="AJ175" s="2">
        <f>AH175-AI175</f>
        <v>617719158.2979528</v>
      </c>
      <c r="AK175" s="3">
        <v>0.25</v>
      </c>
    </row>
    <row r="176" spans="1:37">
      <c r="A176" s="2">
        <v>175</v>
      </c>
      <c r="B176" s="2">
        <v>2041</v>
      </c>
      <c r="C176" s="2">
        <v>111</v>
      </c>
      <c r="D176" s="2">
        <v>529391.2778020406</v>
      </c>
      <c r="E176" s="2">
        <v>58762431.8360265</v>
      </c>
      <c r="F176" s="2">
        <f>E176/1.19</f>
        <v>49380194.82019034</v>
      </c>
      <c r="G176" s="2">
        <v>150</v>
      </c>
      <c r="H176" s="2">
        <v>17071697.75493994</v>
      </c>
      <c r="I176" s="2">
        <v>294</v>
      </c>
      <c r="J176" s="2">
        <v>33428981.78736541</v>
      </c>
      <c r="K176" s="2">
        <v>12621146.18502572</v>
      </c>
      <c r="L176" s="2">
        <v>4955198.043356888</v>
      </c>
      <c r="M176" s="2">
        <v>12915625.51310659</v>
      </c>
      <c r="N176" s="3">
        <v>2</v>
      </c>
      <c r="O176" s="3">
        <v>3.5</v>
      </c>
      <c r="P176" s="2">
        <v>347895.6367166757</v>
      </c>
      <c r="Q176" s="2">
        <v>1074316.852078343</v>
      </c>
      <c r="R176" s="2">
        <v>378147.431213778</v>
      </c>
      <c r="S176" s="2">
        <v>423525.1229594313</v>
      </c>
      <c r="T176" s="2">
        <v>5237341.922310825</v>
      </c>
      <c r="U176" s="2">
        <f>M176+P176+Q176+R176+S176+T176</f>
        <v>20376852.47838564</v>
      </c>
      <c r="V176" s="2">
        <f>F176-K176-L176-U176</f>
        <v>11426998.113422092</v>
      </c>
      <c r="W176" s="2">
        <v>0</v>
      </c>
      <c r="X176" s="2">
        <v>0</v>
      </c>
      <c r="Y176" s="2">
        <f>W176+X176</f>
        <v>0</v>
      </c>
      <c r="Z176" s="2">
        <v>3.434251993894577E-09</v>
      </c>
      <c r="AA176" s="2">
        <v>0</v>
      </c>
      <c r="AB176" s="2">
        <v>0</v>
      </c>
      <c r="AC176" s="2">
        <v>0</v>
      </c>
      <c r="AD176" s="2">
        <v>213654.9764664038</v>
      </c>
      <c r="AE176" s="2">
        <v>3204824.646996056</v>
      </c>
      <c r="AF176" s="2">
        <f>F176-H176-L176-U176-AA176-AC176-AD176</f>
        <v>6762791.567041466</v>
      </c>
      <c r="AG176" s="2">
        <f>F176-H176-L176-U176-AA176-AB176-AD176-Y176</f>
        <v>6762791.567041466</v>
      </c>
      <c r="AH176" s="2">
        <f>AH175+AG176</f>
        <v>687900307.1149923</v>
      </c>
      <c r="AI176" s="2">
        <v>63418357.24999793</v>
      </c>
      <c r="AJ176" s="2">
        <f>AH176-AI176</f>
        <v>624481949.8649943</v>
      </c>
      <c r="AK176" s="3">
        <v>0.25</v>
      </c>
    </row>
    <row r="177" spans="1:37">
      <c r="A177" s="2">
        <v>176</v>
      </c>
      <c r="B177" s="2">
        <v>2041</v>
      </c>
      <c r="C177" s="2">
        <v>139</v>
      </c>
      <c r="D177" s="2">
        <v>529391.2778020406</v>
      </c>
      <c r="E177" s="2">
        <v>73585387.61448364</v>
      </c>
      <c r="F177" s="2">
        <f>E177/1.19</f>
        <v>61836460.18023836</v>
      </c>
      <c r="G177" s="2">
        <v>180</v>
      </c>
      <c r="H177" s="2">
        <v>20486037.30592793</v>
      </c>
      <c r="I177" s="2">
        <v>335</v>
      </c>
      <c r="J177" s="2">
        <v>38104496.61656808</v>
      </c>
      <c r="K177" s="2">
        <v>15810522.47672526</v>
      </c>
      <c r="L177" s="2">
        <v>6205611.009391367</v>
      </c>
      <c r="M177" s="2">
        <v>12915625.51310659</v>
      </c>
      <c r="N177" s="3">
        <v>2</v>
      </c>
      <c r="O177" s="3">
        <v>3.5</v>
      </c>
      <c r="P177" s="2">
        <v>347895.6367166757</v>
      </c>
      <c r="Q177" s="2">
        <v>1074316.852078343</v>
      </c>
      <c r="R177" s="2">
        <v>378147.431213778</v>
      </c>
      <c r="S177" s="2">
        <v>423525.1229594313</v>
      </c>
      <c r="T177" s="2">
        <v>5237341.922310825</v>
      </c>
      <c r="U177" s="2">
        <f>M177+P177+Q177+R177+S177+T177</f>
        <v>20376852.47838564</v>
      </c>
      <c r="V177" s="2">
        <f>F177-K177-L177-U177</f>
        <v>19443474.215736087</v>
      </c>
      <c r="W177" s="2">
        <v>0</v>
      </c>
      <c r="X177" s="2">
        <v>0</v>
      </c>
      <c r="Y177" s="2">
        <f>W177+X177</f>
        <v>0</v>
      </c>
      <c r="Z177" s="2">
        <v>3.434251993894577E-09</v>
      </c>
      <c r="AA177" s="2">
        <v>0</v>
      </c>
      <c r="AB177" s="2">
        <v>0</v>
      </c>
      <c r="AC177" s="2">
        <v>0</v>
      </c>
      <c r="AD177" s="2">
        <v>640964.9293992105</v>
      </c>
      <c r="AE177" s="2">
        <v>3845789.576395266</v>
      </c>
      <c r="AF177" s="2">
        <f>F177-H177-L177-U177-AA177-AC177-AD177</f>
        <v>14126994.457134217</v>
      </c>
      <c r="AG177" s="2">
        <f>F177-H177-L177-U177-AA177-AB177-AD177-Y177</f>
        <v>14126994.457134217</v>
      </c>
      <c r="AH177" s="2">
        <f>AH176+AG177</f>
        <v>702027301.5721265</v>
      </c>
      <c r="AI177" s="2">
        <v>63418357.24999793</v>
      </c>
      <c r="AJ177" s="2">
        <f>AH177-AI177</f>
        <v>638608944.3221285</v>
      </c>
      <c r="AK177" s="3">
        <v>0.25</v>
      </c>
    </row>
    <row r="178" spans="1:37">
      <c r="A178" s="2">
        <v>177</v>
      </c>
      <c r="B178" s="2">
        <v>2041</v>
      </c>
      <c r="C178" s="2">
        <v>152</v>
      </c>
      <c r="D178" s="2">
        <v>529391.2778020406</v>
      </c>
      <c r="E178" s="2">
        <v>80467474.22591017</v>
      </c>
      <c r="F178" s="2">
        <f>E178/1.19</f>
        <v>67619726.24026065</v>
      </c>
      <c r="G178" s="2">
        <v>200</v>
      </c>
      <c r="H178" s="2">
        <v>22762263.67325326</v>
      </c>
      <c r="I178" s="2">
        <v>383</v>
      </c>
      <c r="J178" s="2">
        <v>43573774.18878798</v>
      </c>
      <c r="K178" s="2">
        <v>17292986.10103335</v>
      </c>
      <c r="L178" s="2">
        <v>6786294.42844604</v>
      </c>
      <c r="M178" s="2">
        <v>12915625.51310659</v>
      </c>
      <c r="N178" s="3">
        <v>2</v>
      </c>
      <c r="O178" s="3">
        <v>3.5</v>
      </c>
      <c r="P178" s="2">
        <v>347895.6367166757</v>
      </c>
      <c r="Q178" s="2">
        <v>1074316.852078343</v>
      </c>
      <c r="R178" s="2">
        <v>378147.431213778</v>
      </c>
      <c r="S178" s="2">
        <v>423525.1229594313</v>
      </c>
      <c r="T178" s="2">
        <v>5237341.922310825</v>
      </c>
      <c r="U178" s="2">
        <f>M178+P178+Q178+R178+S178+T178</f>
        <v>20376852.47838564</v>
      </c>
      <c r="V178" s="2">
        <f>F178-K178-L178-U178</f>
        <v>23163593.232395615</v>
      </c>
      <c r="W178" s="2">
        <v>0</v>
      </c>
      <c r="X178" s="2">
        <v>0</v>
      </c>
      <c r="Y178" s="2">
        <f>W178+X178</f>
        <v>0</v>
      </c>
      <c r="Z178" s="2">
        <v>3.434251993894577E-09</v>
      </c>
      <c r="AA178" s="2">
        <v>0</v>
      </c>
      <c r="AB178" s="2">
        <v>0</v>
      </c>
      <c r="AC178" s="2">
        <v>0</v>
      </c>
      <c r="AD178" s="2">
        <v>427309.9529328081</v>
      </c>
      <c r="AE178" s="2">
        <v>4273099.529328074</v>
      </c>
      <c r="AF178" s="2">
        <f>F178-H178-L178-U178-AA178-AC178-AD178</f>
        <v>17267005.707242906</v>
      </c>
      <c r="AG178" s="2">
        <f>F178-H178-L178-U178-AA178-AB178-AD178-Y178</f>
        <v>17267005.707242906</v>
      </c>
      <c r="AH178" s="2">
        <f>AH177+AG178</f>
        <v>719294307.2793694</v>
      </c>
      <c r="AI178" s="2">
        <v>63418357.24999793</v>
      </c>
      <c r="AJ178" s="2">
        <f>AH178-AI178</f>
        <v>655875950.0293714</v>
      </c>
      <c r="AK178" s="3">
        <v>0.25</v>
      </c>
    </row>
    <row r="179" spans="1:37">
      <c r="A179" s="2">
        <v>178</v>
      </c>
      <c r="B179" s="2">
        <v>2041</v>
      </c>
      <c r="C179" s="2">
        <v>180</v>
      </c>
      <c r="D179" s="2">
        <v>529391.2778020406</v>
      </c>
      <c r="E179" s="2">
        <v>95290430.00436731</v>
      </c>
      <c r="F179" s="2">
        <f>E179/1.19</f>
        <v>80075991.60030867</v>
      </c>
      <c r="G179" s="2">
        <v>230</v>
      </c>
      <c r="H179" s="2">
        <v>26176603.22424125</v>
      </c>
      <c r="I179" s="2">
        <v>433</v>
      </c>
      <c r="J179" s="2">
        <v>49269026.78603859</v>
      </c>
      <c r="K179" s="2">
        <v>20481350.62699063</v>
      </c>
      <c r="L179" s="2">
        <v>8036626.453221137</v>
      </c>
      <c r="M179" s="2">
        <v>12915625.51310659</v>
      </c>
      <c r="N179" s="3">
        <v>2</v>
      </c>
      <c r="O179" s="3">
        <v>3.5</v>
      </c>
      <c r="P179" s="2">
        <v>347895.6367166757</v>
      </c>
      <c r="Q179" s="2">
        <v>1074316.852078343</v>
      </c>
      <c r="R179" s="2">
        <v>378147.431213778</v>
      </c>
      <c r="S179" s="2">
        <v>423525.1229594313</v>
      </c>
      <c r="T179" s="2">
        <v>5237341.922310825</v>
      </c>
      <c r="U179" s="2">
        <f>M179+P179+Q179+R179+S179+T179</f>
        <v>20376852.47838564</v>
      </c>
      <c r="V179" s="2">
        <f>F179-K179-L179-U179</f>
        <v>31181162.041711267</v>
      </c>
      <c r="W179" s="2">
        <v>0</v>
      </c>
      <c r="X179" s="2">
        <v>0</v>
      </c>
      <c r="Y179" s="2">
        <f>W179+X179</f>
        <v>0</v>
      </c>
      <c r="Z179" s="2">
        <v>3.434251993894577E-09</v>
      </c>
      <c r="AA179" s="2">
        <v>0</v>
      </c>
      <c r="AB179" s="2">
        <v>0</v>
      </c>
      <c r="AC179" s="2">
        <v>0</v>
      </c>
      <c r="AD179" s="2">
        <v>640964.929399211</v>
      </c>
      <c r="AE179" s="2">
        <v>4914064.458727285</v>
      </c>
      <c r="AF179" s="2">
        <f>F179-H179-L179-U179-AA179-AC179-AD179</f>
        <v>24844944.515061446</v>
      </c>
      <c r="AG179" s="2">
        <f>F179-H179-L179-U179-AA179-AB179-AD179-Y179</f>
        <v>24844944.515061446</v>
      </c>
      <c r="AH179" s="2">
        <f>AH178+AG179</f>
        <v>744139251.7944309</v>
      </c>
      <c r="AI179" s="2">
        <v>63418357.24999793</v>
      </c>
      <c r="AJ179" s="2">
        <f>AH179-AI179</f>
        <v>680720894.5444329</v>
      </c>
      <c r="AK179" s="3">
        <v>0.25</v>
      </c>
    </row>
    <row r="180" spans="1:37">
      <c r="A180" s="2">
        <v>179</v>
      </c>
      <c r="B180" s="2">
        <v>2041</v>
      </c>
      <c r="C180" s="2">
        <v>194</v>
      </c>
      <c r="D180" s="2">
        <v>529391.2778020406</v>
      </c>
      <c r="E180" s="2">
        <v>102701907.8935959</v>
      </c>
      <c r="F180" s="2">
        <f>E180/1.19</f>
        <v>86304124.28033267</v>
      </c>
      <c r="G180" s="2">
        <v>0</v>
      </c>
      <c r="H180" s="2">
        <v>0</v>
      </c>
      <c r="I180" s="2">
        <v>239</v>
      </c>
      <c r="J180" s="2">
        <v>27194682.22139313</v>
      </c>
      <c r="K180" s="2">
        <v>22074344.56464547</v>
      </c>
      <c r="L180" s="2">
        <v>8661697.399582781</v>
      </c>
      <c r="M180" s="2">
        <v>12915625.51310659</v>
      </c>
      <c r="N180" s="3">
        <v>2</v>
      </c>
      <c r="O180" s="3">
        <v>3.5</v>
      </c>
      <c r="P180" s="2">
        <v>347895.6367166757</v>
      </c>
      <c r="Q180" s="2">
        <v>1074316.852078343</v>
      </c>
      <c r="R180" s="2">
        <v>378147.431213778</v>
      </c>
      <c r="S180" s="2">
        <v>423525.1229594313</v>
      </c>
      <c r="T180" s="2">
        <v>5237341.922310825</v>
      </c>
      <c r="U180" s="2">
        <f>M180+P180+Q180+R180+S180+T180</f>
        <v>20376852.47838564</v>
      </c>
      <c r="V180" s="2">
        <f>F180-K180-L180-U180</f>
        <v>35191229.837718785</v>
      </c>
      <c r="W180" s="2">
        <v>0</v>
      </c>
      <c r="X180" s="2">
        <v>0</v>
      </c>
      <c r="Y180" s="2">
        <f>W180+X180</f>
        <v>0</v>
      </c>
      <c r="Z180" s="2">
        <v>3.434251993894577E-09</v>
      </c>
      <c r="AA180" s="2">
        <v>0</v>
      </c>
      <c r="AB180" s="2">
        <v>0</v>
      </c>
      <c r="AC180" s="2">
        <v>0</v>
      </c>
      <c r="AD180" s="2">
        <v>-4914064.458727285</v>
      </c>
      <c r="AE180" s="2">
        <v>0</v>
      </c>
      <c r="AF180" s="2">
        <f>F180-H180-L180-U180-AA180-AC180-AD180</f>
        <v>62179638.861091524</v>
      </c>
      <c r="AG180" s="2">
        <f>F180-H180-L180-U180-AA180-AB180-AD180-Y180</f>
        <v>62179638.861091524</v>
      </c>
      <c r="AH180" s="2">
        <f>AH179+AG180</f>
        <v>806318890.6555223</v>
      </c>
      <c r="AI180" s="2">
        <v>63418357.24999793</v>
      </c>
      <c r="AJ180" s="2">
        <f>AH180-AI180</f>
        <v>742900533.4055244</v>
      </c>
      <c r="AK180" s="3">
        <v>0.25</v>
      </c>
    </row>
    <row r="181" spans="1:37">
      <c r="A181" s="2">
        <v>180</v>
      </c>
      <c r="B181" s="2">
        <v>2041</v>
      </c>
      <c r="C181" s="2">
        <v>235</v>
      </c>
      <c r="D181" s="2">
        <v>529391.2778020406</v>
      </c>
      <c r="E181" s="2">
        <v>124406950.2834795</v>
      </c>
      <c r="F181" s="2">
        <f>E181/1.19</f>
        <v>104543655.70040298</v>
      </c>
      <c r="G181" s="2">
        <v>0</v>
      </c>
      <c r="H181" s="2">
        <v>0</v>
      </c>
      <c r="I181" s="2">
        <v>4</v>
      </c>
      <c r="J181" s="2">
        <v>455141.1250442378</v>
      </c>
      <c r="K181" s="2">
        <v>26739541.09634889</v>
      </c>
      <c r="L181" s="2">
        <v>10492262.3139276</v>
      </c>
      <c r="M181" s="2">
        <v>12915625.51310659</v>
      </c>
      <c r="N181" s="3">
        <v>2</v>
      </c>
      <c r="O181" s="3">
        <v>3.5</v>
      </c>
      <c r="P181" s="2">
        <v>347895.6367166757</v>
      </c>
      <c r="Q181" s="2">
        <v>1074316.852078343</v>
      </c>
      <c r="R181" s="2">
        <v>378147.431213778</v>
      </c>
      <c r="S181" s="2">
        <v>423525.1229594313</v>
      </c>
      <c r="T181" s="2">
        <v>5237341.922310825</v>
      </c>
      <c r="U181" s="2">
        <f>M181+P181+Q181+R181+S181+T181</f>
        <v>20376852.47838564</v>
      </c>
      <c r="V181" s="2">
        <f>F181-K181-L181-U181</f>
        <v>46934999.81174086</v>
      </c>
      <c r="W181" s="2">
        <v>0</v>
      </c>
      <c r="X181" s="2">
        <v>0</v>
      </c>
      <c r="Y181" s="2">
        <f>W181+X181</f>
        <v>0</v>
      </c>
      <c r="Z181" s="2">
        <v>3.434251993894577E-09</v>
      </c>
      <c r="AA181" s="2">
        <v>0</v>
      </c>
      <c r="AB181" s="2">
        <v>40176502.32339989</v>
      </c>
      <c r="AC181" s="2">
        <v>40176502.32339989</v>
      </c>
      <c r="AD181" s="2">
        <v>0</v>
      </c>
      <c r="AE181" s="2">
        <v>0</v>
      </c>
      <c r="AF181" s="2">
        <f>F181-H181-L181-U181-AA181-AC181-AD181</f>
        <v>33498038.584689856</v>
      </c>
      <c r="AG181" s="2">
        <f>F181-H181-L181-U181-AA181-AB181-AD181-Y181</f>
        <v>33498038.584689856</v>
      </c>
      <c r="AH181" s="2">
        <f>AH180+AG181</f>
        <v>839816929.2402122</v>
      </c>
      <c r="AI181" s="2">
        <v>63418357.24999793</v>
      </c>
      <c r="AJ181" s="2">
        <f>AH181-AI181</f>
        <v>776398571.9902142</v>
      </c>
      <c r="AK181" s="3">
        <v>0.25</v>
      </c>
    </row>
  </sheetData>
  <autoFilter ref="A1:AK18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  <c r="AL1" s="1" t="s">
        <v>152</v>
      </c>
      <c r="AM1" s="1" t="s">
        <v>153</v>
      </c>
      <c r="AN1" s="1" t="s">
        <v>154</v>
      </c>
      <c r="AO1" s="1" t="s">
        <v>155</v>
      </c>
    </row>
    <row r="2" spans="1:41">
      <c r="A2" s="2">
        <v>78</v>
      </c>
      <c r="B2" s="2">
        <v>2027</v>
      </c>
      <c r="C2" s="2">
        <f>SUM('Base_mensual'!C2:C13)</f>
        <v>200</v>
      </c>
      <c r="D2" s="2">
        <v>349990</v>
      </c>
      <c r="E2" s="2">
        <f>SUM('Base_mensual'!E2:E13)</f>
        <v>69998000.0</v>
      </c>
      <c r="F2" s="2">
        <f>SUM('Base_mensual'!F2:F13)</f>
        <v>58821848.7394958</v>
      </c>
      <c r="G2" s="2">
        <f>SUM('Base_mensual'!G2:G13)</f>
        <v>210</v>
      </c>
      <c r="H2" s="2">
        <f>SUM('Base_mensual'!H2:H13)</f>
        <v>15800964.705882352</v>
      </c>
      <c r="I2" s="2">
        <v>20</v>
      </c>
      <c r="J2" s="2">
        <v>1504853.781512605</v>
      </c>
      <c r="K2" s="2">
        <f>SUM('Base_mensual'!K2:K13)</f>
        <v>15048537.81512605</v>
      </c>
      <c r="L2" s="2">
        <f>SUM('Base_mensual'!L2:L13)</f>
        <v>5903783.025210084</v>
      </c>
      <c r="M2" s="2">
        <f>SUM('Base_mensual'!M2:M13)</f>
        <v>19440000.0</v>
      </c>
      <c r="N2" s="3">
        <v>0</v>
      </c>
      <c r="O2" s="3">
        <v>0</v>
      </c>
      <c r="P2" s="2">
        <f>SUM('Base_mensual'!P2:P13)</f>
        <v>1440000.0</v>
      </c>
      <c r="Q2" s="2">
        <f>SUM('Base_mensual'!Q2:Q13)</f>
        <v>1920000.0</v>
      </c>
      <c r="R2" s="2">
        <f>SUM('Base_mensual'!R2:R13)</f>
        <v>0</v>
      </c>
      <c r="S2" s="2">
        <f>SUM('Base_mensual'!S2:S13)</f>
        <v>3360000.0</v>
      </c>
      <c r="T2" s="2">
        <f>SUM('Base_mensual'!T2:T13)</f>
        <v>6000000.0</v>
      </c>
      <c r="U2" s="2">
        <f>SUM('Base_mensual'!U2:U13)</f>
        <v>32160000.0</v>
      </c>
      <c r="V2" s="2">
        <f>SUM('Base_mensual'!V2:V13)</f>
        <v>5709527.899159664</v>
      </c>
      <c r="W2" s="2">
        <f>SUM('Base_mensual'!W2:W13)</f>
        <v>3073382.712136357</v>
      </c>
      <c r="X2" s="2">
        <f>SUM('Base_mensual'!X2:X13)</f>
        <v>1578461.3472276744</v>
      </c>
      <c r="Y2" s="2">
        <f>SUM('Base_mensual'!Y2:Y13)</f>
        <v>4651844.059364032</v>
      </c>
      <c r="Z2" s="2">
        <v>26121538.65277232</v>
      </c>
      <c r="AA2" s="2">
        <f>SUM('Base_mensual'!AA2:AA13)</f>
        <v>0</v>
      </c>
      <c r="AB2" s="2">
        <f>SUM('Base_mensual'!AB2:AB13)</f>
        <v>0.0</v>
      </c>
      <c r="AC2" s="2">
        <f>SUM('Base_mensual'!AC2:AC13)</f>
        <v>0.0</v>
      </c>
      <c r="AD2" s="2">
        <f>SUM('Base_mensual'!AD2:AD13)</f>
        <v>141251.1092436975</v>
      </c>
      <c r="AE2" s="2">
        <v>141251.1092436975</v>
      </c>
      <c r="AF2" s="2">
        <f>SUM('Base_mensual'!AF2:AF13)</f>
        <v>4815849.899159664</v>
      </c>
      <c r="AG2" s="2">
        <f>SUM('Base_mensual'!AG2:AG13)</f>
        <v>164005.83979563287</v>
      </c>
      <c r="AH2" s="2">
        <v>25061617.83979563</v>
      </c>
      <c r="AI2" s="2">
        <v>10327799.81484101</v>
      </c>
      <c r="AJ2" s="2">
        <v>14733818.02495462</v>
      </c>
      <c r="AK2" s="3">
        <v>0.125</v>
      </c>
      <c r="AL2" s="3">
        <v>1.035256091498917</v>
      </c>
      <c r="AM2" s="2">
        <v>2917110.357812885</v>
      </c>
      <c r="AN2" s="2">
        <v>170</v>
      </c>
      <c r="AO2" s="2">
        <v>195</v>
      </c>
    </row>
    <row r="3" spans="1:41">
      <c r="A3" s="2">
        <v>222</v>
      </c>
      <c r="B3" s="2">
        <v>2028</v>
      </c>
      <c r="C3" s="2">
        <f>SUM('Base_mensual'!C14:C25)</f>
        <v>350</v>
      </c>
      <c r="D3" s="2">
        <v>360489.7</v>
      </c>
      <c r="E3" s="2">
        <f>SUM('Base_mensual'!E14:E25)</f>
        <v>126171395.0</v>
      </c>
      <c r="F3" s="2">
        <f>SUM('Base_mensual'!F14:F25)</f>
        <v>106026382.35294119</v>
      </c>
      <c r="G3" s="2">
        <f>SUM('Base_mensual'!G14:G25)</f>
        <v>360</v>
      </c>
      <c r="H3" s="2">
        <f>SUM('Base_mensual'!H14:H25)</f>
        <v>27899989.109243695</v>
      </c>
      <c r="I3" s="2">
        <v>30</v>
      </c>
      <c r="J3" s="2">
        <v>2324550.22972421</v>
      </c>
      <c r="K3" s="2">
        <f>SUM('Base_mensual'!K14:K25)</f>
        <v>27080292.66103209</v>
      </c>
      <c r="L3" s="2">
        <f>SUM('Base_mensual'!L14:L25)</f>
        <v>10637993.162882568</v>
      </c>
      <c r="M3" s="2">
        <f>SUM('Base_mensual'!M14:M25)</f>
        <v>28783350.0</v>
      </c>
      <c r="N3" s="3">
        <v>0.5</v>
      </c>
      <c r="O3" s="3">
        <v>0</v>
      </c>
      <c r="P3" s="2">
        <f>SUM('Base_mensual'!P14:P25)</f>
        <v>1606800.0</v>
      </c>
      <c r="Q3" s="2">
        <f>SUM('Base_mensual'!Q14:Q25)</f>
        <v>2317500.0</v>
      </c>
      <c r="R3" s="2">
        <f>SUM('Base_mensual'!R14:R25)</f>
        <v>0</v>
      </c>
      <c r="S3" s="2">
        <f>SUM('Base_mensual'!S14:S25)</f>
        <v>3460800.0</v>
      </c>
      <c r="T3" s="2">
        <f>SUM('Base_mensual'!T14:T25)</f>
        <v>10815000.0</v>
      </c>
      <c r="U3" s="2">
        <f>SUM('Base_mensual'!U14:U25)</f>
        <v>46983450.0</v>
      </c>
      <c r="V3" s="2">
        <f>SUM('Base_mensual'!V14:V25)</f>
        <v>21324646.529026527</v>
      </c>
      <c r="W3" s="2">
        <f>SUM('Base_mensual'!W14:W25)</f>
        <v>2883967.3504690346</v>
      </c>
      <c r="X3" s="2">
        <f>SUM('Base_mensual'!X14:X25)</f>
        <v>1767876.7088949974</v>
      </c>
      <c r="Y3" s="2">
        <f>SUM('Base_mensual'!Y14:Y25)</f>
        <v>4651844.059364032</v>
      </c>
      <c r="Z3" s="2">
        <v>24353661.94387732</v>
      </c>
      <c r="AA3" s="2">
        <f>SUM('Base_mensual'!AA14:AA25)</f>
        <v>0</v>
      </c>
      <c r="AB3" s="2">
        <f>SUM('Base_mensual'!AB14:AB25)</f>
        <v>1238446.9539919328</v>
      </c>
      <c r="AC3" s="2">
        <f>SUM('Base_mensual'!AC14:AC25)</f>
        <v>2132049.463382743</v>
      </c>
      <c r="AD3" s="2">
        <f>SUM('Base_mensual'!AD14:AD25)</f>
        <v>149726.17579831928</v>
      </c>
      <c r="AE3" s="2">
        <v>290977.2850420168</v>
      </c>
      <c r="AF3" s="2">
        <f>SUM('Base_mensual'!AF14:AF25)</f>
        <v>18223174.441633858</v>
      </c>
      <c r="AG3" s="2">
        <f>SUM('Base_mensual'!AG14:AG25)</f>
        <v>14464932.891660638</v>
      </c>
      <c r="AH3" s="2">
        <v>39526550.73145627</v>
      </c>
      <c r="AI3" s="2">
        <v>14033662.31484101</v>
      </c>
      <c r="AJ3" s="2">
        <v>25492888.41661526</v>
      </c>
      <c r="AK3" s="3">
        <v>0.15</v>
      </c>
      <c r="AL3" s="3">
        <v>4.109505113900613</v>
      </c>
      <c r="AM3" s="2">
        <v>45209.63097224198</v>
      </c>
      <c r="AN3" s="2">
        <v>241</v>
      </c>
      <c r="AO3" s="2">
        <v>265</v>
      </c>
    </row>
    <row r="4" spans="1:41">
      <c r="A4" s="2">
        <v>366</v>
      </c>
      <c r="B4" s="2">
        <v>2029</v>
      </c>
      <c r="C4" s="2">
        <f>SUM('Base_mensual'!C26:C37)</f>
        <v>500</v>
      </c>
      <c r="D4" s="2">
        <v>371304.391</v>
      </c>
      <c r="E4" s="2">
        <f>SUM('Base_mensual'!E26:E37)</f>
        <v>185652195.5</v>
      </c>
      <c r="F4" s="2">
        <f>SUM('Base_mensual'!F26:F37)</f>
        <v>156010248.31932774</v>
      </c>
      <c r="G4" s="2">
        <f>SUM('Base_mensual'!G26:G37)</f>
        <v>510</v>
      </c>
      <c r="H4" s="2">
        <f>SUM('Base_mensual'!H26:H37)</f>
        <v>40710734.108571425</v>
      </c>
      <c r="I4" s="2">
        <v>40</v>
      </c>
      <c r="J4" s="2">
        <v>3192391.134390004</v>
      </c>
      <c r="K4" s="2">
        <f>SUM('Base_mensual'!K26:K37)</f>
        <v>39842893.20390563</v>
      </c>
      <c r="L4" s="2">
        <f>SUM('Base_mensual'!L26:L37)</f>
        <v>15652741.23131245</v>
      </c>
      <c r="M4" s="2">
        <f>SUM('Base_mensual'!M26:M37)</f>
        <v>41247792.0</v>
      </c>
      <c r="N4" s="3">
        <v>0.5</v>
      </c>
      <c r="O4" s="3">
        <v>0.5</v>
      </c>
      <c r="P4" s="2">
        <f>SUM('Base_mensual'!P26:P37)</f>
        <v>1782312.0</v>
      </c>
      <c r="Q4" s="2">
        <f>SUM('Base_mensual'!Q26:Q37)</f>
        <v>2928084.0</v>
      </c>
      <c r="R4" s="2">
        <f>SUM('Base_mensual'!R26:R37)</f>
        <v>0</v>
      </c>
      <c r="S4" s="2">
        <f>SUM('Base_mensual'!S26:S37)</f>
        <v>3564624.0</v>
      </c>
      <c r="T4" s="2">
        <f>SUM('Base_mensual'!T26:T37)</f>
        <v>15913500.0</v>
      </c>
      <c r="U4" s="2">
        <f>SUM('Base_mensual'!U26:U37)</f>
        <v>65436312.0</v>
      </c>
      <c r="V4" s="2">
        <f>SUM('Base_mensual'!V26:V37)</f>
        <v>35078301.88410965</v>
      </c>
      <c r="W4" s="2">
        <f>SUM('Base_mensual'!W26:W37)</f>
        <v>2671822.1454016333</v>
      </c>
      <c r="X4" s="2">
        <f>SUM('Base_mensual'!X26:X37)</f>
        <v>1980021.9139623984</v>
      </c>
      <c r="Y4" s="2">
        <f>SUM('Base_mensual'!Y26:Y37)</f>
        <v>4651844.059364032</v>
      </c>
      <c r="Z4" s="2">
        <v>22373640.02991493</v>
      </c>
      <c r="AA4" s="2">
        <f>SUM('Base_mensual'!AA26:AA37)</f>
        <v>0</v>
      </c>
      <c r="AB4" s="2">
        <f>SUM('Base_mensual'!AB26:AB37)</f>
        <v>7884659.708510557</v>
      </c>
      <c r="AC4" s="2">
        <f>SUM('Base_mensual'!AC26:AC37)</f>
        <v>8552615.244860966</v>
      </c>
      <c r="AD4" s="2">
        <f>SUM('Base_mensual'!AD26:AD37)</f>
        <v>8729.318551260454</v>
      </c>
      <c r="AE4" s="2">
        <v>299706.6035932773</v>
      </c>
      <c r="AF4" s="2">
        <f>SUM('Base_mensual'!AF26:AF37)</f>
        <v>25649116.416031636</v>
      </c>
      <c r="AG4" s="2">
        <f>SUM('Base_mensual'!AG26:AG37)</f>
        <v>21665227.89301801</v>
      </c>
      <c r="AH4" s="2">
        <v>61191778.62447429</v>
      </c>
      <c r="AI4" s="2">
        <v>18646877.81484101</v>
      </c>
      <c r="AJ4" s="2">
        <v>42544900.80963328</v>
      </c>
      <c r="AK4" s="3">
        <v>0.25</v>
      </c>
      <c r="AL4" s="3">
        <v>5.65734182327254</v>
      </c>
      <c r="AM4" s="2">
        <v>7311983.881308958</v>
      </c>
      <c r="AN4" s="2">
        <v>326</v>
      </c>
      <c r="AO4" s="2">
        <v>349</v>
      </c>
    </row>
    <row r="5" spans="1:41">
      <c r="A5" s="2">
        <v>510</v>
      </c>
      <c r="B5" s="2">
        <v>2030</v>
      </c>
      <c r="C5" s="2">
        <f>SUM('Base_mensual'!C38:C49)</f>
        <v>650</v>
      </c>
      <c r="D5" s="2">
        <v>382443.52273</v>
      </c>
      <c r="E5" s="2">
        <f>SUM('Base_mensual'!E38:E49)</f>
        <v>248588289.77449998</v>
      </c>
      <c r="F5" s="2">
        <f>SUM('Base_mensual'!F38:F49)</f>
        <v>208897722.49957985</v>
      </c>
      <c r="G5" s="2">
        <f>SUM('Base_mensual'!G38:G49)</f>
        <v>660</v>
      </c>
      <c r="H5" s="2">
        <f>SUM('Base_mensual'!H38:H49)</f>
        <v>54265013.8176605</v>
      </c>
      <c r="I5" s="2">
        <v>50</v>
      </c>
      <c r="J5" s="2">
        <v>4110190.852085568</v>
      </c>
      <c r="K5" s="2">
        <f>SUM('Base_mensual'!K38:K49)</f>
        <v>53347214.09996494</v>
      </c>
      <c r="L5" s="2">
        <f>SUM('Base_mensual'!L38:L49)</f>
        <v>20958826.916722197</v>
      </c>
      <c r="M5" s="2">
        <f>SUM('Base_mensual'!M38:M49)</f>
        <v>60187403.16</v>
      </c>
      <c r="N5" s="3">
        <v>1</v>
      </c>
      <c r="O5" s="3">
        <v>1</v>
      </c>
      <c r="P5" s="2">
        <f>SUM('Base_mensual'!P38:P49)</f>
        <v>2098035.84</v>
      </c>
      <c r="Q5" s="2">
        <f>SUM('Base_mensual'!Q38:Q49)</f>
        <v>3769908.1500000004</v>
      </c>
      <c r="R5" s="2">
        <f>SUM('Base_mensual'!R38:R49)</f>
        <v>3278181.0</v>
      </c>
      <c r="S5" s="2">
        <f>SUM('Base_mensual'!S38:S49)</f>
        <v>3671562.7199999997</v>
      </c>
      <c r="T5" s="2">
        <f>SUM('Base_mensual'!T38:T49)</f>
        <v>21308176.5</v>
      </c>
      <c r="U5" s="2">
        <f>SUM('Base_mensual'!U38:U49)</f>
        <v>94313267.37</v>
      </c>
      <c r="V5" s="2">
        <f>SUM('Base_mensual'!V38:V49)</f>
        <v>40278414.1128927</v>
      </c>
      <c r="W5" s="2">
        <f>SUM('Base_mensual'!W38:W49)</f>
        <v>2434219.515726144</v>
      </c>
      <c r="X5" s="2">
        <f>SUM('Base_mensual'!X38:X49)</f>
        <v>2217624.5436378876</v>
      </c>
      <c r="Y5" s="2">
        <f>SUM('Base_mensual'!Y38:Y49)</f>
        <v>4651844.059364032</v>
      </c>
      <c r="Z5" s="2">
        <v>20156015.48627704</v>
      </c>
      <c r="AA5" s="2">
        <f>SUM('Base_mensual'!AA38:AA49)</f>
        <v>1639090.5</v>
      </c>
      <c r="AB5" s="2">
        <f>SUM('Base_mensual'!AB38:AB49)</f>
        <v>8821826.094867751</v>
      </c>
      <c r="AC5" s="2">
        <f>SUM('Base_mensual'!AC38:AC49)</f>
        <v>9430380.973799285</v>
      </c>
      <c r="AD5" s="2">
        <f>SUM('Base_mensual'!AD38:AD49)</f>
        <v>163340.09895833622</v>
      </c>
      <c r="AE5" s="2">
        <v>463046.7025516134</v>
      </c>
      <c r="AF5" s="2">
        <f>SUM('Base_mensual'!AF38:AF49)</f>
        <v>28127802.822439518</v>
      </c>
      <c r="AG5" s="2">
        <f>SUM('Base_mensual'!AG38:AG49)</f>
        <v>24084513.64200702</v>
      </c>
      <c r="AH5" s="2">
        <v>85276292.26648131</v>
      </c>
      <c r="AI5" s="2">
        <v>25866116.65734101</v>
      </c>
      <c r="AJ5" s="2">
        <v>59410175.60914031</v>
      </c>
      <c r="AK5" s="3">
        <v>0.25</v>
      </c>
      <c r="AL5" s="3">
        <v>6.177412083177115</v>
      </c>
      <c r="AM5" s="2">
        <v>13227652.17999458</v>
      </c>
      <c r="AN5" s="2">
        <v>456</v>
      </c>
      <c r="AO5" s="2">
        <v>478</v>
      </c>
    </row>
    <row r="6" spans="1:41">
      <c r="A6" s="2">
        <v>654</v>
      </c>
      <c r="B6" s="2">
        <v>2031</v>
      </c>
      <c r="C6" s="2">
        <f>SUM('Base_mensual'!C50:C61)</f>
        <v>850</v>
      </c>
      <c r="D6" s="2">
        <v>393916.8284119</v>
      </c>
      <c r="E6" s="2">
        <f>SUM('Base_mensual'!E50:E61)</f>
        <v>334829304.150115</v>
      </c>
      <c r="F6" s="2">
        <f>SUM('Base_mensual'!F50:F61)</f>
        <v>281369163.1513572</v>
      </c>
      <c r="G6" s="2">
        <f>SUM('Base_mensual'!G50:G61)</f>
        <v>850</v>
      </c>
      <c r="H6" s="2">
        <f>SUM('Base_mensual'!H50:H61)</f>
        <v>71983363.02630572</v>
      </c>
      <c r="I6" s="2">
        <v>50</v>
      </c>
      <c r="J6" s="2">
        <v>4233500.379643884</v>
      </c>
      <c r="K6" s="2">
        <f>SUM('Base_mensual'!K50:K61)</f>
        <v>71860053.49874741</v>
      </c>
      <c r="L6" s="2">
        <f>SUM('Base_mensual'!L50:L61)</f>
        <v>28230364.418405548</v>
      </c>
      <c r="M6" s="2">
        <f>SUM('Base_mensual'!M50:M61)</f>
        <v>82049592.24900001</v>
      </c>
      <c r="N6" s="3">
        <v>1.5</v>
      </c>
      <c r="O6" s="3">
        <v>1.5</v>
      </c>
      <c r="P6" s="2">
        <f>SUM('Base_mensual'!P50:P61)</f>
        <v>2431099.0296000005</v>
      </c>
      <c r="Q6" s="2">
        <f>SUM('Base_mensual'!Q50:Q61)</f>
        <v>4895963.323500001</v>
      </c>
      <c r="R6" s="2">
        <f>SUM('Base_mensual'!R50:R61)</f>
        <v>3376526.43</v>
      </c>
      <c r="S6" s="2">
        <f>SUM('Base_mensual'!S50:S61)</f>
        <v>3781709.6016000006</v>
      </c>
      <c r="T6" s="2">
        <f>SUM('Base_mensual'!T50:T61)</f>
        <v>28700474.655000005</v>
      </c>
      <c r="U6" s="2">
        <f>SUM('Base_mensual'!U50:U61)</f>
        <v>125235365.28870003</v>
      </c>
      <c r="V6" s="2">
        <f>SUM('Base_mensual'!V50:V61)</f>
        <v>56043379.94550421</v>
      </c>
      <c r="W6" s="2">
        <f>SUM('Base_mensual'!W50:W61)</f>
        <v>2168104.5704895956</v>
      </c>
      <c r="X6" s="2">
        <f>SUM('Base_mensual'!X50:X61)</f>
        <v>2483739.4888744364</v>
      </c>
      <c r="Y6" s="2">
        <f>SUM('Base_mensual'!Y50:Y61)</f>
        <v>4651844.059364032</v>
      </c>
      <c r="Z6" s="2">
        <v>17672275.99740261</v>
      </c>
      <c r="AA6" s="2">
        <f>SUM('Base_mensual'!AA50:AA61)</f>
        <v>0</v>
      </c>
      <c r="AB6" s="2">
        <f>SUM('Base_mensual'!AB50:AB61)</f>
        <v>13437991.461864073</v>
      </c>
      <c r="AC6" s="2">
        <f>SUM('Base_mensual'!AC50:AC61)</f>
        <v>13980017.604486473</v>
      </c>
      <c r="AD6" s="2">
        <f>SUM('Base_mensual'!AD50:AD61)</f>
        <v>13891.401076548558</v>
      </c>
      <c r="AE6" s="2">
        <v>476938.1036281619</v>
      </c>
      <c r="AF6" s="2">
        <f>SUM('Base_mensual'!AF50:AF61)</f>
        <v>41926161.41238287</v>
      </c>
      <c r="AG6" s="2">
        <f>SUM('Base_mensual'!AG50:AG61)</f>
        <v>37816343.49564124</v>
      </c>
      <c r="AH6" s="2">
        <v>123092635.7621226</v>
      </c>
      <c r="AI6" s="2">
        <v>33596641.13701601</v>
      </c>
      <c r="AJ6" s="2">
        <v>89495994.62510654</v>
      </c>
      <c r="AK6" s="3">
        <v>0.25</v>
      </c>
      <c r="AL6" s="3">
        <v>9.129323127140946</v>
      </c>
      <c r="AM6" s="2">
        <v>25774690.32194804</v>
      </c>
      <c r="AN6" s="2">
        <v>588</v>
      </c>
      <c r="AO6" s="2">
        <v>610</v>
      </c>
    </row>
    <row r="7" spans="1:41">
      <c r="A7" s="2">
        <v>798</v>
      </c>
      <c r="B7" s="2">
        <v>2032</v>
      </c>
      <c r="C7" s="2">
        <f>SUM('Base_mensual'!C62:C73)</f>
        <v>892</v>
      </c>
      <c r="D7" s="2">
        <v>405734.333264257</v>
      </c>
      <c r="E7" s="2">
        <f>SUM('Base_mensual'!E62:E73)</f>
        <v>361915025.27171725</v>
      </c>
      <c r="F7" s="2">
        <f>SUM('Base_mensual'!F62:F73)</f>
        <v>304130273.3375776</v>
      </c>
      <c r="G7" s="2">
        <f>SUM('Base_mensual'!G62:G73)</f>
        <v>890</v>
      </c>
      <c r="H7" s="2">
        <f>SUM('Base_mensual'!H62:H73)</f>
        <v>77631939.86613464</v>
      </c>
      <c r="I7" s="2">
        <v>48</v>
      </c>
      <c r="J7" s="2">
        <v>4186070.8725495</v>
      </c>
      <c r="K7" s="2">
        <f>SUM('Base_mensual'!K62:K73)</f>
        <v>77679369.37322903</v>
      </c>
      <c r="L7" s="2">
        <f>SUM('Base_mensual'!L62:L73)</f>
        <v>30514535.659097787</v>
      </c>
      <c r="M7" s="2">
        <f>SUM('Base_mensual'!M62:M73)</f>
        <v>91553670.0178425</v>
      </c>
      <c r="N7" s="3">
        <v>1.5</v>
      </c>
      <c r="O7" s="3">
        <v>2</v>
      </c>
      <c r="P7" s="2">
        <f>SUM('Base_mensual'!P62:P73)</f>
        <v>2643144.8894040002</v>
      </c>
      <c r="Q7" s="2">
        <f>SUM('Base_mensual'!Q62:Q73)</f>
        <v>5976289.70783136</v>
      </c>
      <c r="R7" s="2">
        <f>SUM('Base_mensual'!R62:R73)</f>
        <v>3477822.2229</v>
      </c>
      <c r="S7" s="2">
        <f>SUM('Base_mensual'!S62:S73)</f>
        <v>3895160.889648</v>
      </c>
      <c r="T7" s="2">
        <f>SUM('Base_mensual'!T62:T73)</f>
        <v>31022174.228267998</v>
      </c>
      <c r="U7" s="2">
        <f>SUM('Base_mensual'!U62:U73)</f>
        <v>138568261.95589387</v>
      </c>
      <c r="V7" s="2">
        <f>SUM('Base_mensual'!V62:V73)</f>
        <v>57368106.349356875</v>
      </c>
      <c r="W7" s="2">
        <f>SUM('Base_mensual'!W62:W73)</f>
        <v>1870055.831824661</v>
      </c>
      <c r="X7" s="2">
        <f>SUM('Base_mensual'!X62:X73)</f>
        <v>2781788.227539371</v>
      </c>
      <c r="Y7" s="2">
        <f>SUM('Base_mensual'!Y62:Y73)</f>
        <v>4651844.059364032</v>
      </c>
      <c r="Z7" s="2">
        <v>14890487.76986324</v>
      </c>
      <c r="AA7" s="2">
        <f>SUM('Base_mensual'!AA62:AA73)</f>
        <v>0</v>
      </c>
      <c r="AB7" s="2">
        <f>SUM('Base_mensual'!AB62:AB73)</f>
        <v>13886370.006156653</v>
      </c>
      <c r="AC7" s="2">
        <f>SUM('Base_mensual'!AC62:AC73)</f>
        <v>14353883.964112818</v>
      </c>
      <c r="AD7" s="2">
        <f>SUM('Base_mensual'!AD62:AD73)</f>
        <v>-149440.60580349067</v>
      </c>
      <c r="AE7" s="2">
        <v>327497.4978246712</v>
      </c>
      <c r="AF7" s="2">
        <f>SUM('Base_mensual'!AF62:AF73)</f>
        <v>43211092.498141944</v>
      </c>
      <c r="AG7" s="2">
        <f>SUM('Base_mensual'!AG62:AG73)</f>
        <v>39026762.396734074</v>
      </c>
      <c r="AH7" s="2">
        <v>162119398.1588566</v>
      </c>
      <c r="AI7" s="2">
        <v>36929865.30381447</v>
      </c>
      <c r="AJ7" s="2">
        <v>125189532.8550421</v>
      </c>
      <c r="AK7" s="3">
        <v>0.25</v>
      </c>
      <c r="AL7" s="3">
        <v>9.389525078377098</v>
      </c>
      <c r="AM7" s="2">
        <v>56085266.91102602</v>
      </c>
      <c r="AN7" s="2">
        <v>631</v>
      </c>
      <c r="AO7" s="2">
        <v>653</v>
      </c>
    </row>
    <row r="8" spans="1:41">
      <c r="A8" s="2">
        <v>942</v>
      </c>
      <c r="B8" s="2">
        <v>2033</v>
      </c>
      <c r="C8" s="2">
        <f>SUM('Base_mensual'!C74:C85)</f>
        <v>937</v>
      </c>
      <c r="D8" s="2">
        <v>417906.3632621848</v>
      </c>
      <c r="E8" s="2">
        <f>SUM('Base_mensual'!E74:E85)</f>
        <v>391578262.37666714</v>
      </c>
      <c r="F8" s="2">
        <f>SUM('Base_mensual'!F74:F85)</f>
        <v>329057363.3417371</v>
      </c>
      <c r="G8" s="2">
        <f>SUM('Base_mensual'!G74:G85)</f>
        <v>940</v>
      </c>
      <c r="H8" s="2">
        <f>SUM('Base_mensual'!H74:H85)</f>
        <v>84453083.34650739</v>
      </c>
      <c r="I8" s="2">
        <v>51</v>
      </c>
      <c r="J8" s="2">
        <v>4581262.201743433</v>
      </c>
      <c r="K8" s="2">
        <f>SUM('Base_mensual'!K74:K85)</f>
        <v>84057892.01731345</v>
      </c>
      <c r="L8" s="2">
        <f>SUM('Base_mensual'!L74:L85)</f>
        <v>33016506.491304472</v>
      </c>
      <c r="M8" s="2">
        <f>SUM('Base_mensual'!M74:M85)</f>
        <v>94300280.11837779</v>
      </c>
      <c r="N8" s="3">
        <v>1.5</v>
      </c>
      <c r="O8" s="3">
        <v>2</v>
      </c>
      <c r="P8" s="2">
        <f>SUM('Base_mensual'!P74:P85)</f>
        <v>2722439.2360861204</v>
      </c>
      <c r="Q8" s="2">
        <f>SUM('Base_mensual'!Q74:Q85)</f>
        <v>6964429.424735045</v>
      </c>
      <c r="R8" s="2">
        <f>SUM('Base_mensual'!R74:R85)</f>
        <v>3582156.8895870005</v>
      </c>
      <c r="S8" s="2">
        <f>SUM('Base_mensual'!S74:S85)</f>
        <v>4012015.7163374405</v>
      </c>
      <c r="T8" s="2">
        <f>SUM('Base_mensual'!T74:T85)</f>
        <v>33564810.055430196</v>
      </c>
      <c r="U8" s="2">
        <f>SUM('Base_mensual'!U74:U85)</f>
        <v>145146131.44055358</v>
      </c>
      <c r="V8" s="2">
        <f>SUM('Base_mensual'!V74:V85)</f>
        <v>66836833.392565586</v>
      </c>
      <c r="W8" s="2">
        <f>SUM('Base_mensual'!W74:W85)</f>
        <v>1536241.244519934</v>
      </c>
      <c r="X8" s="2">
        <f>SUM('Base_mensual'!X74:X85)</f>
        <v>3115602.814844098</v>
      </c>
      <c r="Y8" s="2">
        <f>SUM('Base_mensual'!Y74:Y85)</f>
        <v>4651844.059364032</v>
      </c>
      <c r="Z8" s="2">
        <v>11774884.95501914</v>
      </c>
      <c r="AA8" s="2">
        <f>SUM('Base_mensual'!AA74:AA85)</f>
        <v>1791078.4447935002</v>
      </c>
      <c r="AB8" s="2">
        <f>SUM('Base_mensual'!AB74:AB85)</f>
        <v>15778580.593514552</v>
      </c>
      <c r="AC8" s="2">
        <f>SUM('Base_mensual'!AC74:AC85)</f>
        <v>16162640.904644534</v>
      </c>
      <c r="AD8" s="2">
        <f>SUM('Base_mensual'!AD74:AD85)</f>
        <v>178486.13631444593</v>
      </c>
      <c r="AE8" s="2">
        <v>505983.634139117</v>
      </c>
      <c r="AF8" s="2">
        <f>SUM('Base_mensual'!AF74:AF85)</f>
        <v>48309436.577619165</v>
      </c>
      <c r="AG8" s="2">
        <f>SUM('Base_mensual'!AG74:AG85)</f>
        <v>44041652.82938511</v>
      </c>
      <c r="AH8" s="2">
        <v>206161050.9882417</v>
      </c>
      <c r="AI8" s="2">
        <v>38574332.6749794</v>
      </c>
      <c r="AJ8" s="2">
        <v>167586718.3132623</v>
      </c>
      <c r="AK8" s="3">
        <v>0.25</v>
      </c>
      <c r="AL8" s="3">
        <v>10.46756861738099</v>
      </c>
      <c r="AM8" s="2">
        <v>91295170.29757875</v>
      </c>
      <c r="AN8" s="2">
        <v>642</v>
      </c>
      <c r="AO8" s="2">
        <v>663</v>
      </c>
    </row>
    <row r="9" spans="1:41">
      <c r="A9" s="2">
        <v>1086</v>
      </c>
      <c r="B9" s="2">
        <v>2034</v>
      </c>
      <c r="C9" s="2">
        <f>SUM('Base_mensual'!C86:C97)</f>
        <v>984</v>
      </c>
      <c r="D9" s="2">
        <v>430443.5541600503</v>
      </c>
      <c r="E9" s="2">
        <f>SUM('Base_mensual'!E86:E97)</f>
        <v>423556457.2934895</v>
      </c>
      <c r="F9" s="2">
        <f>SUM('Base_mensual'!F86:F97)</f>
        <v>355929796.0449492</v>
      </c>
      <c r="G9" s="2">
        <f>SUM('Base_mensual'!G86:G97)</f>
        <v>990</v>
      </c>
      <c r="H9" s="2">
        <f>SUM('Base_mensual'!H86:H97)</f>
        <v>91613626.68982296</v>
      </c>
      <c r="I9" s="2">
        <v>57</v>
      </c>
      <c r="J9" s="2">
        <v>5273831.287123248</v>
      </c>
      <c r="K9" s="2">
        <f>SUM('Base_mensual'!K86:K97)</f>
        <v>90921057.60444315</v>
      </c>
      <c r="L9" s="2">
        <f>SUM('Base_mensual'!L86:L97)</f>
        <v>35712682.77449836</v>
      </c>
      <c r="M9" s="2">
        <f>SUM('Base_mensual'!M86:M97)</f>
        <v>104600772.25438522</v>
      </c>
      <c r="N9" s="3">
        <v>1.5</v>
      </c>
      <c r="O9" s="3">
        <v>2.5</v>
      </c>
      <c r="P9" s="2">
        <f>SUM('Base_mensual'!P86:P97)</f>
        <v>2951697.2770196884</v>
      </c>
      <c r="Q9" s="2">
        <f>SUM('Base_mensual'!Q86:Q97)</f>
        <v>7852990.605510881</v>
      </c>
      <c r="R9" s="2">
        <f>SUM('Base_mensual'!R86:R97)</f>
        <v>3689621.5962746106</v>
      </c>
      <c r="S9" s="2">
        <f>SUM('Base_mensual'!S86:S97)</f>
        <v>4132376.187827564</v>
      </c>
      <c r="T9" s="2">
        <f>SUM('Base_mensual'!T86:T97)</f>
        <v>36305876.50734217</v>
      </c>
      <c r="U9" s="2">
        <f>SUM('Base_mensual'!U86:U97)</f>
        <v>159533334.42836013</v>
      </c>
      <c r="V9" s="2">
        <f>SUM('Base_mensual'!V86:V97)</f>
        <v>69762721.23764755</v>
      </c>
      <c r="W9" s="2">
        <f>SUM('Base_mensual'!W86:W97)</f>
        <v>1162368.906738639</v>
      </c>
      <c r="X9" s="2">
        <f>SUM('Base_mensual'!X86:X97)</f>
        <v>3489475.1526253927</v>
      </c>
      <c r="Y9" s="2">
        <f>SUM('Base_mensual'!Y86:Y97)</f>
        <v>4651844.059364032</v>
      </c>
      <c r="Z9" s="2">
        <v>8285409.802393747</v>
      </c>
      <c r="AA9" s="2">
        <f>SUM('Base_mensual'!AA86:AA97)</f>
        <v>0</v>
      </c>
      <c r="AB9" s="2">
        <f>SUM('Base_mensual'!AB86:AB97)</f>
        <v>16976945.81138227</v>
      </c>
      <c r="AC9" s="2">
        <f>SUM('Base_mensual'!AC86:AC97)</f>
        <v>17267538.03806693</v>
      </c>
      <c r="AD9" s="2">
        <f>SUM('Base_mensual'!AD86:AD97)</f>
        <v>15179.509024173429</v>
      </c>
      <c r="AE9" s="2">
        <v>521163.1431632905</v>
      </c>
      <c r="AF9" s="2">
        <f>SUM('Base_mensual'!AF86:AF97)</f>
        <v>51787434.60517663</v>
      </c>
      <c r="AG9" s="2">
        <f>SUM('Base_mensual'!AG86:AG97)</f>
        <v>47426182.77249725</v>
      </c>
      <c r="AH9" s="2">
        <v>253587233.7607389</v>
      </c>
      <c r="AI9" s="2">
        <v>42171133.42193104</v>
      </c>
      <c r="AJ9" s="2">
        <v>211416100.3388079</v>
      </c>
      <c r="AK9" s="3">
        <v>0.25</v>
      </c>
      <c r="AL9" s="3">
        <v>11.19513598634711</v>
      </c>
      <c r="AM9" s="2">
        <v>130219487.0955071</v>
      </c>
      <c r="AN9" s="2">
        <v>685</v>
      </c>
      <c r="AO9" s="2">
        <v>705</v>
      </c>
    </row>
    <row r="10" spans="1:41">
      <c r="A10" s="2">
        <v>1230</v>
      </c>
      <c r="B10" s="2">
        <v>2035</v>
      </c>
      <c r="C10" s="2">
        <f>SUM('Base_mensual'!C98:C109)</f>
        <v>1033</v>
      </c>
      <c r="D10" s="2">
        <v>443356.8607848518</v>
      </c>
      <c r="E10" s="2">
        <f>SUM('Base_mensual'!E98:E109)</f>
        <v>457987637.19075197</v>
      </c>
      <c r="F10" s="2">
        <f>SUM('Base_mensual'!F98:F109)</f>
        <v>384863560.66449744</v>
      </c>
      <c r="G10" s="2">
        <f>SUM('Base_mensual'!G98:G109)</f>
        <v>1040</v>
      </c>
      <c r="H10" s="2">
        <f>SUM('Base_mensual'!H98:H109)</f>
        <v>99127794.8587256</v>
      </c>
      <c r="I10" s="2">
        <v>64</v>
      </c>
      <c r="J10" s="2">
        <v>6099098.256801963</v>
      </c>
      <c r="K10" s="2">
        <f>SUM('Base_mensual'!K98:K109)</f>
        <v>98302527.88904689</v>
      </c>
      <c r="L10" s="2">
        <f>SUM('Base_mensual'!L98:L109)</f>
        <v>38615025.0551018</v>
      </c>
      <c r="M10" s="2">
        <f>SUM('Base_mensual'!M98:M109)</f>
        <v>107738795.4220168</v>
      </c>
      <c r="N10" s="3">
        <v>1.5</v>
      </c>
      <c r="O10" s="3">
        <v>2.5</v>
      </c>
      <c r="P10" s="2">
        <f>SUM('Base_mensual'!P98:P109)</f>
        <v>3040248.1953302794</v>
      </c>
      <c r="Q10" s="2">
        <f>SUM('Base_mensual'!Q98:Q109)</f>
        <v>8633544.81268916</v>
      </c>
      <c r="R10" s="2">
        <f>SUM('Base_mensual'!R98:R109)</f>
        <v>3800310.244162849</v>
      </c>
      <c r="S10" s="2">
        <f>SUM('Base_mensual'!S98:S109)</f>
        <v>4256347.473462391</v>
      </c>
      <c r="T10" s="2">
        <f>SUM('Base_mensual'!T98:T109)</f>
        <v>39257204.82220223</v>
      </c>
      <c r="U10" s="2">
        <f>SUM('Base_mensual'!U98:U109)</f>
        <v>166726450.9698637</v>
      </c>
      <c r="V10" s="2">
        <f>SUM('Base_mensual'!V98:V109)</f>
        <v>81219556.75048508</v>
      </c>
      <c r="W10" s="2">
        <f>SUM('Base_mensual'!W98:W109)</f>
        <v>743631.8884235884</v>
      </c>
      <c r="X10" s="2">
        <f>SUM('Base_mensual'!X98:X109)</f>
        <v>3908212.1709404434</v>
      </c>
      <c r="Y10" s="2">
        <f>SUM('Base_mensual'!Y98:Y109)</f>
        <v>4651844.059364032</v>
      </c>
      <c r="Z10" s="2">
        <v>4377197.631453304</v>
      </c>
      <c r="AA10" s="2">
        <f>SUM('Base_mensual'!AA98:AA109)</f>
        <v>0</v>
      </c>
      <c r="AB10" s="2">
        <f>SUM('Base_mensual'!AB98:AB109)</f>
        <v>19912664.473095693</v>
      </c>
      <c r="AC10" s="2">
        <f>SUM('Base_mensual'!AC98:AC109)</f>
        <v>20098572.44520159</v>
      </c>
      <c r="AD10" s="2">
        <f>SUM('Base_mensual'!AD98:AD109)</f>
        <v>194567.57344762835</v>
      </c>
      <c r="AE10" s="2">
        <v>715730.716610919</v>
      </c>
      <c r="AF10" s="2">
        <f>SUM('Base_mensual'!AF98:AF109)</f>
        <v>60101149.76215714</v>
      </c>
      <c r="AG10" s="2">
        <f>SUM('Base_mensual'!AG98:AG109)</f>
        <v>55635213.67489901</v>
      </c>
      <c r="AH10" s="2">
        <v>309222447.4356379</v>
      </c>
      <c r="AI10" s="2">
        <v>43969412.55730693</v>
      </c>
      <c r="AJ10" s="2">
        <v>265253034.8783309</v>
      </c>
      <c r="AK10" s="3">
        <v>0.25</v>
      </c>
      <c r="AL10" s="3">
        <v>12.95981915234387</v>
      </c>
      <c r="AM10" s="2">
        <v>177105760.3449284</v>
      </c>
      <c r="AN10" s="2">
        <v>695</v>
      </c>
      <c r="AO10" s="2">
        <v>715</v>
      </c>
    </row>
    <row r="11" spans="1:41">
      <c r="A11" s="2">
        <v>1374</v>
      </c>
      <c r="B11" s="2">
        <v>2036</v>
      </c>
      <c r="C11" s="2">
        <f>SUM('Base_mensual'!C110:C121)</f>
        <v>1085</v>
      </c>
      <c r="D11" s="2">
        <v>456657.5666083974</v>
      </c>
      <c r="E11" s="2">
        <f>SUM('Base_mensual'!E110:E121)</f>
        <v>495473459.7701112</v>
      </c>
      <c r="F11" s="2">
        <f>SUM('Base_mensual'!F110:F121)</f>
        <v>416364251.9076565</v>
      </c>
      <c r="G11" s="2">
        <f>SUM('Base_mensual'!G110:G121)</f>
        <v>1080</v>
      </c>
      <c r="H11" s="2">
        <f>SUM('Base_mensual'!H110:H121)</f>
        <v>106028614.42389074</v>
      </c>
      <c r="I11" s="2">
        <v>59</v>
      </c>
      <c r="J11" s="2">
        <v>5791165.914073862</v>
      </c>
      <c r="K11" s="2">
        <f>SUM('Base_mensual'!K110:K121)</f>
        <v>106336546.76661885</v>
      </c>
      <c r="L11" s="2">
        <f>SUM('Base_mensual'!L110:L121)</f>
        <v>41774670.15656345</v>
      </c>
      <c r="M11" s="2">
        <f>SUM('Base_mensual'!M110:M121)</f>
        <v>110970959.2846773</v>
      </c>
      <c r="N11" s="3">
        <v>1.5</v>
      </c>
      <c r="O11" s="3">
        <v>2.5</v>
      </c>
      <c r="P11" s="2">
        <f>SUM('Base_mensual'!P110:P121)</f>
        <v>3131455.641190188</v>
      </c>
      <c r="Q11" s="2">
        <f>SUM('Base_mensual'!Q110:Q121)</f>
        <v>9219788.27157421</v>
      </c>
      <c r="R11" s="2">
        <f>SUM('Base_mensual'!R110:R121)</f>
        <v>3914319.5514877345</v>
      </c>
      <c r="S11" s="2">
        <f>SUM('Base_mensual'!S110:S121)</f>
        <v>4384037.897666262</v>
      </c>
      <c r="T11" s="2">
        <f>SUM('Base_mensual'!T110:T121)</f>
        <v>42470367.13364192</v>
      </c>
      <c r="U11" s="2">
        <f>SUM('Base_mensual'!U110:U121)</f>
        <v>174090927.78023762</v>
      </c>
      <c r="V11" s="2">
        <f>SUM('Base_mensual'!V110:V121)</f>
        <v>94162107.20423661</v>
      </c>
      <c r="W11" s="2">
        <f>SUM('Base_mensual'!W110:W121)</f>
        <v>274646.4279107316</v>
      </c>
      <c r="X11" s="2">
        <f>SUM('Base_mensual'!X110:X121)</f>
        <v>4377197.6314533</v>
      </c>
      <c r="Y11" s="2">
        <f>SUM('Base_mensual'!Y110:Y121)</f>
        <v>4651844.059364032</v>
      </c>
      <c r="Z11" s="2">
        <v>3.434251993894577E-09</v>
      </c>
      <c r="AA11" s="2">
        <f>SUM('Base_mensual'!AA110:AA121)</f>
        <v>1957159.7757438673</v>
      </c>
      <c r="AB11" s="2">
        <f>SUM('Base_mensual'!AB110:AB121)</f>
        <v>23059558.33582753</v>
      </c>
      <c r="AC11" s="2">
        <f>SUM('Base_mensual'!AC110:AC121)</f>
        <v>23128219.94280521</v>
      </c>
      <c r="AD11" s="2">
        <f>SUM('Base_mensual'!AD110:AD121)</f>
        <v>-162828.73802898423</v>
      </c>
      <c r="AE11" s="2">
        <v>552901.9785819349</v>
      </c>
      <c r="AF11" s="2">
        <f>SUM('Base_mensual'!AF110:AF121)</f>
        <v>69547488.5664446</v>
      </c>
      <c r="AG11" s="2">
        <f>SUM('Base_mensual'!AG110:AG121)</f>
        <v>64964306.11405825</v>
      </c>
      <c r="AH11" s="2">
        <v>374186753.5496961</v>
      </c>
      <c r="AI11" s="2">
        <v>45810531.75990041</v>
      </c>
      <c r="AJ11" s="2">
        <v>328376221.7897958</v>
      </c>
      <c r="AK11" s="3">
        <v>0.25</v>
      </c>
      <c r="AL11" s="3">
        <v>14.96528028132992</v>
      </c>
      <c r="AM11" s="2">
        <v>229546069.6516748</v>
      </c>
      <c r="AN11" s="2">
        <v>705</v>
      </c>
      <c r="AO11" s="2">
        <v>723</v>
      </c>
    </row>
    <row r="12" spans="1:41">
      <c r="A12" s="2">
        <v>1518</v>
      </c>
      <c r="B12" s="2">
        <v>2037</v>
      </c>
      <c r="C12" s="2">
        <f>SUM('Base_mensual'!C122:C133)</f>
        <v>1139</v>
      </c>
      <c r="D12" s="2">
        <v>470357.2936066493</v>
      </c>
      <c r="E12" s="2">
        <f>SUM('Base_mensual'!E122:E133)</f>
        <v>535736957.4179736</v>
      </c>
      <c r="F12" s="2">
        <f>SUM('Base_mensual'!F122:F133)</f>
        <v>450199123.8806501</v>
      </c>
      <c r="G12" s="2">
        <f>SUM('Base_mensual'!G122:G133)</f>
        <v>1140</v>
      </c>
      <c r="H12" s="2">
        <f>SUM('Base_mensual'!H122:H133)</f>
        <v>115276665.79308566</v>
      </c>
      <c r="I12" s="2">
        <v>60</v>
      </c>
      <c r="J12" s="2">
        <v>6066156.127232445</v>
      </c>
      <c r="K12" s="2">
        <f>SUM('Base_mensual'!K122:K133)</f>
        <v>115001675.57992707</v>
      </c>
      <c r="L12" s="2">
        <f>SUM('Base_mensual'!L122:L133)</f>
        <v>45171306.45373058</v>
      </c>
      <c r="M12" s="2">
        <f>SUM('Base_mensual'!M122:M133)</f>
        <v>122464380.06773315</v>
      </c>
      <c r="N12" s="3">
        <v>1.5</v>
      </c>
      <c r="O12" s="3">
        <v>3</v>
      </c>
      <c r="P12" s="2">
        <f>SUM('Base_mensual'!P122:P133)</f>
        <v>3386669.275947188</v>
      </c>
      <c r="Q12" s="2">
        <f>SUM('Base_mensual'!Q122:Q133)</f>
        <v>9851175.843868285</v>
      </c>
      <c r="R12" s="2">
        <f>SUM('Base_mensual'!R122:R133)</f>
        <v>4031749.1380323665</v>
      </c>
      <c r="S12" s="2">
        <f>SUM('Base_mensual'!S122:S133)</f>
        <v>4515559.03459625</v>
      </c>
      <c r="T12" s="2">
        <f>SUM('Base_mensual'!T122:T133)</f>
        <v>45921622.68218866</v>
      </c>
      <c r="U12" s="2">
        <f>SUM('Base_mensual'!U122:U133)</f>
        <v>190171156.0423659</v>
      </c>
      <c r="V12" s="2">
        <f>SUM('Base_mensual'!V122:V133)</f>
        <v>99854985.80462652</v>
      </c>
      <c r="W12" s="2">
        <f>SUM('Base_mensual'!W122:W133)</f>
        <v>0</v>
      </c>
      <c r="X12" s="2">
        <f>SUM('Base_mensual'!X122:X133)</f>
        <v>0</v>
      </c>
      <c r="Y12" s="2">
        <f>SUM('Base_mensual'!Y122:Y133)</f>
        <v>0</v>
      </c>
      <c r="Z12" s="2">
        <v>3.434251993894577E-09</v>
      </c>
      <c r="AA12" s="2">
        <f>SUM('Base_mensual'!AA122:AA133)</f>
        <v>0</v>
      </c>
      <c r="AB12" s="2">
        <f>SUM('Base_mensual'!AB122:AB133)</f>
        <v>24894998.897866987</v>
      </c>
      <c r="AC12" s="2">
        <f>SUM('Base_mensual'!AC122:AC133)</f>
        <v>24894998.897866987</v>
      </c>
      <c r="AD12" s="2">
        <f>SUM('Base_mensual'!AD122:AD133)</f>
        <v>16587.059357458027</v>
      </c>
      <c r="AE12" s="2">
        <v>569489.037939393</v>
      </c>
      <c r="AF12" s="2">
        <f>SUM('Base_mensual'!AF122:AF133)</f>
        <v>74668409.6342435</v>
      </c>
      <c r="AG12" s="2">
        <f>SUM('Base_mensual'!AG122:AG133)</f>
        <v>74668409.6342435</v>
      </c>
      <c r="AH12" s="2">
        <v>448855163.1839397</v>
      </c>
      <c r="AI12" s="2">
        <v>49830588.82543249</v>
      </c>
      <c r="AJ12" s="2">
        <v>399024574.3585072</v>
      </c>
      <c r="AK12" s="3">
        <v>0.25</v>
      </c>
      <c r="AL12" s="3">
        <v>0</v>
      </c>
      <c r="AM12" s="2">
        <v>290562932.3781666</v>
      </c>
      <c r="AN12" s="2">
        <v>747</v>
      </c>
      <c r="AO12" s="2">
        <v>747</v>
      </c>
    </row>
    <row r="13" spans="1:41">
      <c r="A13" s="2">
        <v>1662</v>
      </c>
      <c r="B13" s="2">
        <v>2038</v>
      </c>
      <c r="C13" s="2">
        <f>SUM('Base_mensual'!C134:C145)</f>
        <v>1196</v>
      </c>
      <c r="D13" s="2">
        <v>484468.0124148488</v>
      </c>
      <c r="E13" s="2">
        <f>SUM('Base_mensual'!E134:E145)</f>
        <v>579423742.8481592</v>
      </c>
      <c r="F13" s="2">
        <f>SUM('Base_mensual'!F134:F145)</f>
        <v>486910708.27576405</v>
      </c>
      <c r="G13" s="2">
        <f>SUM('Base_mensual'!G134:G145)</f>
        <v>1200</v>
      </c>
      <c r="H13" s="2">
        <f>SUM('Base_mensual'!H134:H145)</f>
        <v>124984174.49145076</v>
      </c>
      <c r="I13" s="2">
        <v>64</v>
      </c>
      <c r="J13" s="2">
        <v>6664732.664388251</v>
      </c>
      <c r="K13" s="2">
        <f>SUM('Base_mensual'!K134:K145)</f>
        <v>124385597.95429496</v>
      </c>
      <c r="L13" s="2">
        <f>SUM('Base_mensual'!L134:L145)</f>
        <v>48855297.235070184</v>
      </c>
      <c r="M13" s="2">
        <f>SUM('Base_mensual'!M134:M145)</f>
        <v>133426302.79912935</v>
      </c>
      <c r="N13" s="3">
        <v>2</v>
      </c>
      <c r="O13" s="3">
        <v>3</v>
      </c>
      <c r="P13" s="2">
        <f>SUM('Base_mensual'!P134:P145)</f>
        <v>3654377.4187125377</v>
      </c>
      <c r="Q13" s="2">
        <f>SUM('Base_mensual'!Q134:Q145)</f>
        <v>10529590.207826715</v>
      </c>
      <c r="R13" s="2">
        <f>SUM('Base_mensual'!R134:R145)</f>
        <v>4152701.6121733375</v>
      </c>
      <c r="S13" s="2">
        <f>SUM('Base_mensual'!S134:S145)</f>
        <v>4651025.805634139</v>
      </c>
      <c r="T13" s="2">
        <f>SUM('Base_mensual'!T134:T145)</f>
        <v>49666311.28159312</v>
      </c>
      <c r="U13" s="2">
        <f>SUM('Base_mensual'!U134:U145)</f>
        <v>206080309.1250692</v>
      </c>
      <c r="V13" s="2">
        <f>SUM('Base_mensual'!V134:V145)</f>
        <v>107589503.9613297</v>
      </c>
      <c r="W13" s="2">
        <f>SUM('Base_mensual'!W134:W145)</f>
        <v>0</v>
      </c>
      <c r="X13" s="2">
        <f>SUM('Base_mensual'!X134:X145)</f>
        <v>0</v>
      </c>
      <c r="Y13" s="2">
        <f>SUM('Base_mensual'!Y134:Y145)</f>
        <v>0</v>
      </c>
      <c r="Z13" s="2">
        <v>3.434251993894577E-09</v>
      </c>
      <c r="AA13" s="2">
        <f>SUM('Base_mensual'!AA134:AA145)</f>
        <v>0</v>
      </c>
      <c r="AB13" s="2">
        <f>SUM('Base_mensual'!AB134:AB145)</f>
        <v>26747731.856043477</v>
      </c>
      <c r="AC13" s="2">
        <f>SUM('Base_mensual'!AC134:AC145)</f>
        <v>26747731.856043477</v>
      </c>
      <c r="AD13" s="2">
        <f>SUM('Base_mensual'!AD134:AD145)</f>
        <v>17084.671138181817</v>
      </c>
      <c r="AE13" s="2">
        <v>586573.7090775748</v>
      </c>
      <c r="AF13" s="2">
        <f>SUM('Base_mensual'!AF134:AF145)</f>
        <v>80226110.89699225</v>
      </c>
      <c r="AG13" s="2">
        <f>SUM('Base_mensual'!AG134:AG145)</f>
        <v>80226110.89699225</v>
      </c>
      <c r="AH13" s="2">
        <v>529081274.080932</v>
      </c>
      <c r="AI13" s="2">
        <v>53807877.09610831</v>
      </c>
      <c r="AJ13" s="2">
        <v>475273396.9848236</v>
      </c>
      <c r="AK13" s="3">
        <v>0.25</v>
      </c>
      <c r="AL13" s="3">
        <v>0</v>
      </c>
      <c r="AM13" s="2">
        <v>358407527.8997563</v>
      </c>
      <c r="AN13" s="2">
        <v>786</v>
      </c>
      <c r="AO13" s="2">
        <v>786</v>
      </c>
    </row>
    <row r="14" spans="1:41">
      <c r="A14" s="2">
        <v>1806</v>
      </c>
      <c r="B14" s="2">
        <v>2039</v>
      </c>
      <c r="C14" s="2">
        <f>SUM('Base_mensual'!C146:C157)</f>
        <v>1256</v>
      </c>
      <c r="D14" s="2">
        <v>499002.0527872943</v>
      </c>
      <c r="E14" s="2">
        <f>SUM('Base_mensual'!E146:E157)</f>
        <v>626746578.3008417</v>
      </c>
      <c r="F14" s="2">
        <f>SUM('Base_mensual'!F146:F157)</f>
        <v>526677796.8914636</v>
      </c>
      <c r="G14" s="2">
        <f>SUM('Base_mensual'!G146:G157)</f>
        <v>1260</v>
      </c>
      <c r="H14" s="2">
        <f>SUM('Base_mensual'!H146:H157)</f>
        <v>135170384.712504</v>
      </c>
      <c r="I14" s="2">
        <v>68</v>
      </c>
      <c r="J14" s="2">
        <v>7293687.738301016</v>
      </c>
      <c r="K14" s="2">
        <f>SUM('Base_mensual'!K146:K157)</f>
        <v>134541429.63859123</v>
      </c>
      <c r="L14" s="2">
        <f>SUM('Base_mensual'!L146:L157)</f>
        <v>52845177.32940219</v>
      </c>
      <c r="M14" s="2">
        <f>SUM('Base_mensual'!M146:M157)</f>
        <v>137429091.88310325</v>
      </c>
      <c r="N14" s="3">
        <v>2</v>
      </c>
      <c r="O14" s="3">
        <v>3</v>
      </c>
      <c r="P14" s="2">
        <f>SUM('Base_mensual'!P146:P157)</f>
        <v>3764008.7412739135</v>
      </c>
      <c r="Q14" s="2">
        <f>SUM('Base_mensual'!Q146:Q157)</f>
        <v>11259518.875601646</v>
      </c>
      <c r="R14" s="2">
        <f>SUM('Base_mensual'!R146:R157)</f>
        <v>4277282.660538538</v>
      </c>
      <c r="S14" s="2">
        <f>SUM('Base_mensual'!S146:S157)</f>
        <v>4790556.579803162</v>
      </c>
      <c r="T14" s="2">
        <f>SUM('Base_mensual'!T146:T157)</f>
        <v>53722670.21636404</v>
      </c>
      <c r="U14" s="2">
        <f>SUM('Base_mensual'!U146:U157)</f>
        <v>215243128.95668453</v>
      </c>
      <c r="V14" s="2">
        <f>SUM('Base_mensual'!V146:V157)</f>
        <v>124048060.96678564</v>
      </c>
      <c r="W14" s="2">
        <f>SUM('Base_mensual'!W146:W157)</f>
        <v>0</v>
      </c>
      <c r="X14" s="2">
        <f>SUM('Base_mensual'!X146:X157)</f>
        <v>0</v>
      </c>
      <c r="Y14" s="2">
        <f>SUM('Base_mensual'!Y146:Y157)</f>
        <v>0</v>
      </c>
      <c r="Z14" s="2">
        <v>3.434251993894577E-09</v>
      </c>
      <c r="AA14" s="2">
        <f>SUM('Base_mensual'!AA146:AA157)</f>
        <v>2138641.330269269</v>
      </c>
      <c r="AB14" s="2">
        <f>SUM('Base_mensual'!AB146:AB157)</f>
        <v>30320116.140650902</v>
      </c>
      <c r="AC14" s="2">
        <f>SUM('Base_mensual'!AC146:AC157)</f>
        <v>30320116.140650902</v>
      </c>
      <c r="AD14" s="2">
        <f>SUM('Base_mensual'!AD146:AD157)</f>
        <v>218987.5180556277</v>
      </c>
      <c r="AE14" s="2">
        <v>805561.2271332026</v>
      </c>
      <c r="AF14" s="2">
        <f>SUM('Base_mensual'!AF146:AF157)</f>
        <v>90741360.90389708</v>
      </c>
      <c r="AG14" s="2">
        <f>SUM('Base_mensual'!AG146:AG157)</f>
        <v>90741360.90389708</v>
      </c>
      <c r="AH14" s="2">
        <v>619822634.9848291</v>
      </c>
      <c r="AI14" s="2">
        <v>56098582.05401214</v>
      </c>
      <c r="AJ14" s="2">
        <v>563724052.9308169</v>
      </c>
      <c r="AK14" s="3">
        <v>0.25</v>
      </c>
      <c r="AL14" s="3">
        <v>0</v>
      </c>
      <c r="AM14" s="2">
        <v>433666680.868284</v>
      </c>
      <c r="AN14" s="2">
        <v>797</v>
      </c>
      <c r="AO14" s="2">
        <v>797</v>
      </c>
    </row>
    <row r="15" spans="1:41">
      <c r="A15" s="2">
        <v>1950</v>
      </c>
      <c r="B15" s="2">
        <v>2040</v>
      </c>
      <c r="C15" s="2">
        <f>SUM('Base_mensual'!C158:C169)</f>
        <v>1319</v>
      </c>
      <c r="D15" s="2">
        <v>513972.1143709132</v>
      </c>
      <c r="E15" s="2">
        <f>SUM('Base_mensual'!E158:E169)</f>
        <v>677929218.8552345</v>
      </c>
      <c r="F15" s="2">
        <f>SUM('Base_mensual'!F158:F169)</f>
        <v>569688419.2060794</v>
      </c>
      <c r="G15" s="2">
        <f>SUM('Base_mensual'!G158:G169)</f>
        <v>1330</v>
      </c>
      <c r="H15" s="2">
        <f>SUM('Base_mensual'!H158:H169)</f>
        <v>146960246.04576132</v>
      </c>
      <c r="I15" s="2">
        <v>79</v>
      </c>
      <c r="J15" s="2">
        <v>8727764.152756151</v>
      </c>
      <c r="K15" s="2">
        <f>SUM('Base_mensual'!K158:K169)</f>
        <v>145526169.63130617</v>
      </c>
      <c r="L15" s="2">
        <f>SUM('Base_mensual'!L158:L169)</f>
        <v>57160530.32152191</v>
      </c>
      <c r="M15" s="2">
        <f>SUM('Base_mensual'!M158:M169)</f>
        <v>150473306.94881457</v>
      </c>
      <c r="N15" s="3">
        <v>2</v>
      </c>
      <c r="O15" s="3">
        <v>3.5</v>
      </c>
      <c r="P15" s="2">
        <f>SUM('Base_mensual'!P158:P169)</f>
        <v>4053153.049126319</v>
      </c>
      <c r="Q15" s="2">
        <f>SUM('Base_mensual'!Q158:Q169)</f>
        <v>12045794.637957804</v>
      </c>
      <c r="R15" s="2">
        <f>SUM('Base_mensual'!R158:R169)</f>
        <v>4405601.140354695</v>
      </c>
      <c r="S15" s="2">
        <f>SUM('Base_mensual'!S158:S169)</f>
        <v>4934273.277197258</v>
      </c>
      <c r="T15" s="2">
        <f>SUM('Base_mensual'!T158:T169)</f>
        <v>58109879.04127842</v>
      </c>
      <c r="U15" s="2">
        <f>SUM('Base_mensual'!U158:U169)</f>
        <v>234022008.09472907</v>
      </c>
      <c r="V15" s="2">
        <f>SUM('Base_mensual'!V158:V169)</f>
        <v>132979711.15852228</v>
      </c>
      <c r="W15" s="2">
        <f>SUM('Base_mensual'!W158:W169)</f>
        <v>0</v>
      </c>
      <c r="X15" s="2">
        <f>SUM('Base_mensual'!X158:X169)</f>
        <v>0</v>
      </c>
      <c r="Y15" s="2">
        <f>SUM('Base_mensual'!Y158:Y169)</f>
        <v>0</v>
      </c>
      <c r="Z15" s="2">
        <v>3.434251993894577E-09</v>
      </c>
      <c r="AA15" s="2">
        <f>SUM('Base_mensual'!AA158:AA169)</f>
        <v>0</v>
      </c>
      <c r="AB15" s="2">
        <f>SUM('Base_mensual'!AB158:AB169)</f>
        <v>32886408.686016794</v>
      </c>
      <c r="AC15" s="2">
        <f>SUM('Base_mensual'!AC158:AC169)</f>
        <v>32886408.686016794</v>
      </c>
      <c r="AD15" s="2">
        <f>SUM('Base_mensual'!AD158:AD169)</f>
        <v>231598.85280079592</v>
      </c>
      <c r="AE15" s="2">
        <v>1037160.079933999</v>
      </c>
      <c r="AF15" s="2">
        <f>SUM('Base_mensual'!AF158:AF169)</f>
        <v>98427627.2052496</v>
      </c>
      <c r="AG15" s="2">
        <f>SUM('Base_mensual'!AG158:AG169)</f>
        <v>98427627.2052496</v>
      </c>
      <c r="AH15" s="2">
        <v>718250262.1900786</v>
      </c>
      <c r="AI15" s="2">
        <v>60793301.83852327</v>
      </c>
      <c r="AJ15" s="2">
        <v>657456960.3515553</v>
      </c>
      <c r="AK15" s="3">
        <v>0.25</v>
      </c>
      <c r="AL15" s="3">
        <v>0</v>
      </c>
      <c r="AM15" s="2">
        <v>518438732.9342493</v>
      </c>
      <c r="AN15" s="2">
        <v>842</v>
      </c>
      <c r="AO15" s="2">
        <v>842</v>
      </c>
    </row>
    <row r="16" spans="1:41">
      <c r="A16" s="2">
        <v>2094</v>
      </c>
      <c r="B16" s="2">
        <v>2041</v>
      </c>
      <c r="C16" s="2">
        <f>SUM('Base_mensual'!C170:C181)</f>
        <v>1385</v>
      </c>
      <c r="D16" s="2">
        <v>529391.2778020406</v>
      </c>
      <c r="E16" s="2">
        <f>SUM('Base_mensual'!E170:E181)</f>
        <v>733206919.7558262</v>
      </c>
      <c r="F16" s="2">
        <f>SUM('Base_mensual'!F170:F181)</f>
        <v>616140268.702375</v>
      </c>
      <c r="G16" s="2">
        <f>SUM('Base_mensual'!G170:G181)</f>
        <v>1310</v>
      </c>
      <c r="H16" s="2">
        <f>SUM('Base_mensual'!H170:H181)</f>
        <v>149092827.05980882</v>
      </c>
      <c r="I16" s="2">
        <v>4</v>
      </c>
      <c r="J16" s="2">
        <v>455141.1250442378</v>
      </c>
      <c r="K16" s="2">
        <f>SUM('Base_mensual'!K170:K181)</f>
        <v>157365450.08752075</v>
      </c>
      <c r="L16" s="2">
        <f>SUM('Base_mensual'!L170:L181)</f>
        <v>61819202.60833895</v>
      </c>
      <c r="M16" s="2">
        <f>SUM('Base_mensual'!M170:M181)</f>
        <v>154987506.15727904</v>
      </c>
      <c r="N16" s="3">
        <v>2</v>
      </c>
      <c r="O16" s="3">
        <v>3.5</v>
      </c>
      <c r="P16" s="2">
        <f>SUM('Base_mensual'!P170:P181)</f>
        <v>4174747.6406001085</v>
      </c>
      <c r="Q16" s="2">
        <f>SUM('Base_mensual'!Q170:Q181)</f>
        <v>12891802.22494012</v>
      </c>
      <c r="R16" s="2">
        <f>SUM('Base_mensual'!R170:R181)</f>
        <v>4537769.174565336</v>
      </c>
      <c r="S16" s="2">
        <f>SUM('Base_mensual'!S170:S181)</f>
        <v>5082301.475513176</v>
      </c>
      <c r="T16" s="2">
        <f>SUM('Base_mensual'!T170:T181)</f>
        <v>62848103.06772989</v>
      </c>
      <c r="U16" s="2">
        <f>SUM('Base_mensual'!U170:U181)</f>
        <v>244522229.74062765</v>
      </c>
      <c r="V16" s="2">
        <f>SUM('Base_mensual'!V170:V181)</f>
        <v>152433386.26588765</v>
      </c>
      <c r="W16" s="2">
        <f>SUM('Base_mensual'!W170:W181)</f>
        <v>0</v>
      </c>
      <c r="X16" s="2">
        <f>SUM('Base_mensual'!X170:X181)</f>
        <v>0</v>
      </c>
      <c r="Y16" s="2">
        <f>SUM('Base_mensual'!Y170:Y181)</f>
        <v>0</v>
      </c>
      <c r="Z16" s="2">
        <v>3.434251993894577E-09</v>
      </c>
      <c r="AA16" s="2">
        <f>SUM('Base_mensual'!AA170:AA181)</f>
        <v>0</v>
      </c>
      <c r="AB16" s="2">
        <f>SUM('Base_mensual'!AB170:AB181)</f>
        <v>40176502.32339989</v>
      </c>
      <c r="AC16" s="2">
        <f>SUM('Base_mensual'!AC170:AC181)</f>
        <v>40176502.32339989</v>
      </c>
      <c r="AD16" s="2">
        <f>SUM('Base_mensual'!AD170:AD181)</f>
        <v>-1037160.0799339985</v>
      </c>
      <c r="AE16" s="2">
        <v>0</v>
      </c>
      <c r="AF16" s="2">
        <f>SUM('Base_mensual'!AF170:AF181)</f>
        <v>121566667.05013366</v>
      </c>
      <c r="AG16" s="2">
        <f>SUM('Base_mensual'!AG170:AG181)</f>
        <v>121566667.05013366</v>
      </c>
      <c r="AH16" s="2">
        <v>839816929.2402122</v>
      </c>
      <c r="AI16" s="2">
        <v>63418357.24999793</v>
      </c>
      <c r="AJ16" s="2">
        <v>776398571.9902142</v>
      </c>
      <c r="AK16" s="3">
        <v>0.25</v>
      </c>
      <c r="AL16" s="3">
        <v>0</v>
      </c>
      <c r="AM16" s="2">
        <v>615738121.2993026</v>
      </c>
      <c r="AN16" s="2">
        <v>854</v>
      </c>
      <c r="AO16" s="2">
        <v>854</v>
      </c>
    </row>
  </sheetData>
  <autoFilter ref="A1:AO1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</row>
    <row r="2" spans="1:37">
      <c r="A2" s="2">
        <v>1</v>
      </c>
      <c r="B2" s="2">
        <v>2027</v>
      </c>
      <c r="C2" s="2">
        <v>3</v>
      </c>
      <c r="D2" s="2">
        <v>349990</v>
      </c>
      <c r="E2" s="2">
        <v>1049970</v>
      </c>
      <c r="F2" s="2">
        <f>E2/1.19</f>
        <v>882327.731092437</v>
      </c>
      <c r="G2" s="2">
        <v>10</v>
      </c>
      <c r="H2" s="2">
        <v>752426.8907563025</v>
      </c>
      <c r="I2" s="2">
        <v>17</v>
      </c>
      <c r="J2" s="2">
        <v>1279125.714285714</v>
      </c>
      <c r="K2" s="2">
        <v>225728.0672268907</v>
      </c>
      <c r="L2" s="2">
        <v>88556.74537815126</v>
      </c>
      <c r="M2" s="2">
        <v>1620000</v>
      </c>
      <c r="N2" s="3">
        <v>0</v>
      </c>
      <c r="O2" s="3">
        <v>0</v>
      </c>
      <c r="P2" s="2">
        <v>120000</v>
      </c>
      <c r="Q2" s="2">
        <v>156500</v>
      </c>
      <c r="R2" s="2">
        <v>0</v>
      </c>
      <c r="S2" s="2">
        <v>280000</v>
      </c>
      <c r="T2" s="2">
        <v>500000</v>
      </c>
      <c r="U2" s="2">
        <f>M2+P2+Q2+R2+S2+T2</f>
        <v>2676500.0</v>
      </c>
      <c r="V2" s="2">
        <f>F2-K2-L2-U2</f>
        <v>-2108457.081512605</v>
      </c>
      <c r="W2" s="2">
        <v>262839.5642879503</v>
      </c>
      <c r="X2" s="2">
        <v>124814.107325719</v>
      </c>
      <c r="Y2" s="2">
        <f>W2+X2</f>
        <v>387653.6716136693</v>
      </c>
      <c r="Z2" s="2">
        <v>27575185.89267428</v>
      </c>
      <c r="AA2" s="2">
        <v>0</v>
      </c>
      <c r="AB2" s="2">
        <v>0</v>
      </c>
      <c r="AC2" s="2">
        <v>0</v>
      </c>
      <c r="AD2" s="2">
        <v>141251.1092436975</v>
      </c>
      <c r="AE2" s="2">
        <v>141251.1092436975</v>
      </c>
      <c r="AF2" s="2">
        <f>F2-H2-L2-U2-AA2-AC2-AD2</f>
        <v>-2776407.0142857144</v>
      </c>
      <c r="AG2" s="2">
        <f>F2-H2-L2-U2-AA2-AB2-AD2-Y2</f>
        <v>-3164060.685899384</v>
      </c>
      <c r="AH2" s="2">
        <f>24897612.0+AG2</f>
        <v>21733551.314100616</v>
      </c>
      <c r="AI2" s="2">
        <v>10317299.81484101</v>
      </c>
      <c r="AJ2" s="2">
        <f>AH2-AI2</f>
        <v>11416251.499259606</v>
      </c>
      <c r="AK2" s="3">
        <v>0.125</v>
      </c>
    </row>
    <row r="3" spans="1:37">
      <c r="A3" s="2">
        <v>2</v>
      </c>
      <c r="B3" s="2">
        <v>2027</v>
      </c>
      <c r="C3" s="2">
        <v>4</v>
      </c>
      <c r="D3" s="2">
        <v>349990</v>
      </c>
      <c r="E3" s="2">
        <v>1399960</v>
      </c>
      <c r="F3" s="2">
        <f>E3/1.19</f>
        <v>1176436.974789916</v>
      </c>
      <c r="G3" s="2">
        <v>0</v>
      </c>
      <c r="H3" s="2">
        <v>0</v>
      </c>
      <c r="I3" s="2">
        <v>13</v>
      </c>
      <c r="J3" s="2">
        <v>978154.9579831932</v>
      </c>
      <c r="K3" s="2">
        <v>300970.756302521</v>
      </c>
      <c r="L3" s="2">
        <v>118075.6605042017</v>
      </c>
      <c r="M3" s="2">
        <v>1620000</v>
      </c>
      <c r="N3" s="3">
        <v>0</v>
      </c>
      <c r="O3" s="3">
        <v>0</v>
      </c>
      <c r="P3" s="2">
        <v>120000</v>
      </c>
      <c r="Q3" s="2">
        <v>156500</v>
      </c>
      <c r="R3" s="2">
        <v>0</v>
      </c>
      <c r="S3" s="2">
        <v>280000</v>
      </c>
      <c r="T3" s="2">
        <v>500000</v>
      </c>
      <c r="U3" s="2">
        <f>M3+P3+Q3+R3+S3+T3</f>
        <v>2676500.0</v>
      </c>
      <c r="V3" s="2">
        <f>F3-K3-L3-U3</f>
        <v>-1919109.4420168067</v>
      </c>
      <c r="W3" s="2">
        <v>261655.2290682218</v>
      </c>
      <c r="X3" s="2">
        <v>125998.4425454475</v>
      </c>
      <c r="Y3" s="2">
        <f>W3+X3</f>
        <v>387653.6716136693</v>
      </c>
      <c r="Z3" s="2">
        <v>27449187.45012883</v>
      </c>
      <c r="AA3" s="2">
        <v>0</v>
      </c>
      <c r="AB3" s="2">
        <v>0</v>
      </c>
      <c r="AC3" s="2">
        <v>0</v>
      </c>
      <c r="AD3" s="2">
        <v>-141251.1092436975</v>
      </c>
      <c r="AE3" s="2">
        <v>0</v>
      </c>
      <c r="AF3" s="2">
        <f>F3-H3-L3-U3-AA3-AC3-AD3</f>
        <v>-1476887.576470588</v>
      </c>
      <c r="AG3" s="2">
        <f>F3-H3-L3-U3-AA3-AB3-AD3-Y3</f>
        <v>-1864541.2480842574</v>
      </c>
      <c r="AH3" s="2">
        <f>AH2+AG3</f>
        <v>19869010.066016357</v>
      </c>
      <c r="AI3" s="2">
        <v>10317299.81484101</v>
      </c>
      <c r="AJ3" s="2">
        <f>AH3-AI3</f>
        <v>9551710.251175348</v>
      </c>
      <c r="AK3" s="3">
        <v>0.125</v>
      </c>
    </row>
    <row r="4" spans="1:37">
      <c r="A4" s="2">
        <v>3</v>
      </c>
      <c r="B4" s="2">
        <v>2027</v>
      </c>
      <c r="C4" s="2">
        <v>5</v>
      </c>
      <c r="D4" s="2">
        <v>349990</v>
      </c>
      <c r="E4" s="2">
        <v>1749950</v>
      </c>
      <c r="F4" s="2">
        <f>E4/1.19</f>
        <v>1470546.218487395</v>
      </c>
      <c r="G4" s="2">
        <v>10</v>
      </c>
      <c r="H4" s="2">
        <v>752426.8907563025</v>
      </c>
      <c r="I4" s="2">
        <v>18</v>
      </c>
      <c r="J4" s="2">
        <v>1354368.403361344</v>
      </c>
      <c r="K4" s="2">
        <v>376213.4453781513</v>
      </c>
      <c r="L4" s="2">
        <v>147594.5756302521</v>
      </c>
      <c r="M4" s="2">
        <v>1620000</v>
      </c>
      <c r="N4" s="3">
        <v>0</v>
      </c>
      <c r="O4" s="3">
        <v>0</v>
      </c>
      <c r="P4" s="2">
        <v>120000</v>
      </c>
      <c r="Q4" s="2">
        <v>156500</v>
      </c>
      <c r="R4" s="2">
        <v>0</v>
      </c>
      <c r="S4" s="2">
        <v>280000</v>
      </c>
      <c r="T4" s="2">
        <v>500000</v>
      </c>
      <c r="U4" s="2">
        <f>M4+P4+Q4+R4+S4+T4</f>
        <v>2676500.0</v>
      </c>
      <c r="V4" s="2">
        <f>F4-K4-L4-U4</f>
        <v>-1729761.8025210085</v>
      </c>
      <c r="W4" s="2">
        <v>260459.6559368281</v>
      </c>
      <c r="X4" s="2">
        <v>127194.0156768412</v>
      </c>
      <c r="Y4" s="2">
        <f>W4+X4</f>
        <v>387653.6716136693</v>
      </c>
      <c r="Z4" s="2">
        <v>27321993.43445199</v>
      </c>
      <c r="AA4" s="2">
        <v>0</v>
      </c>
      <c r="AB4" s="2">
        <v>0</v>
      </c>
      <c r="AC4" s="2">
        <v>0</v>
      </c>
      <c r="AD4" s="2">
        <v>141251.1092436975</v>
      </c>
      <c r="AE4" s="2">
        <v>141251.1092436975</v>
      </c>
      <c r="AF4" s="2">
        <f>F4-H4-L4-U4-AA4-AC4-AD4</f>
        <v>-2247226.3571428573</v>
      </c>
      <c r="AG4" s="2">
        <f>F4-H4-L4-U4-AA4-AB4-AD4-Y4</f>
        <v>-2634880.0287565268</v>
      </c>
      <c r="AH4" s="2">
        <f>AH3+AG4</f>
        <v>17234130.037259832</v>
      </c>
      <c r="AI4" s="2">
        <v>10317299.81484101</v>
      </c>
      <c r="AJ4" s="2">
        <f>AH4-AI4</f>
        <v>6916830.222418822</v>
      </c>
      <c r="AK4" s="3">
        <v>0.125</v>
      </c>
    </row>
    <row r="5" spans="1:37">
      <c r="A5" s="2">
        <v>4</v>
      </c>
      <c r="B5" s="2">
        <v>2027</v>
      </c>
      <c r="C5" s="2">
        <v>7</v>
      </c>
      <c r="D5" s="2">
        <v>349990</v>
      </c>
      <c r="E5" s="2">
        <v>2449930</v>
      </c>
      <c r="F5" s="2">
        <f>E5/1.19</f>
        <v>2058764.705882353</v>
      </c>
      <c r="G5" s="2">
        <v>10</v>
      </c>
      <c r="H5" s="2">
        <v>752426.8907563025</v>
      </c>
      <c r="I5" s="2">
        <v>21</v>
      </c>
      <c r="J5" s="2">
        <v>1580096.470588235</v>
      </c>
      <c r="K5" s="2">
        <v>526698.8235294118</v>
      </c>
      <c r="L5" s="2">
        <v>206632.405882353</v>
      </c>
      <c r="M5" s="2">
        <v>1620000</v>
      </c>
      <c r="N5" s="3">
        <v>0</v>
      </c>
      <c r="O5" s="3">
        <v>0</v>
      </c>
      <c r="P5" s="2">
        <v>120000</v>
      </c>
      <c r="Q5" s="2">
        <v>156500</v>
      </c>
      <c r="R5" s="2">
        <v>0</v>
      </c>
      <c r="S5" s="2">
        <v>280000</v>
      </c>
      <c r="T5" s="2">
        <v>500000</v>
      </c>
      <c r="U5" s="2">
        <f>M5+P5+Q5+R5+S5+T5</f>
        <v>2676500.0</v>
      </c>
      <c r="V5" s="2">
        <f>F5-K5-L5-U5</f>
        <v>-1351066.5235294118</v>
      </c>
      <c r="W5" s="2">
        <v>259252.7382595525</v>
      </c>
      <c r="X5" s="2">
        <v>128400.9333541169</v>
      </c>
      <c r="Y5" s="2">
        <f>W5+X5</f>
        <v>387653.6716136693</v>
      </c>
      <c r="Z5" s="2">
        <v>27193592.50109788</v>
      </c>
      <c r="AA5" s="2">
        <v>0</v>
      </c>
      <c r="AB5" s="2">
        <v>0</v>
      </c>
      <c r="AC5" s="2">
        <v>0</v>
      </c>
      <c r="AD5" s="2">
        <v>0</v>
      </c>
      <c r="AE5" s="2">
        <v>141251.1092436975</v>
      </c>
      <c r="AF5" s="2">
        <f>F5-H5-L5-U5-AA5-AC5-AD5</f>
        <v>-1576794.5907563025</v>
      </c>
      <c r="AG5" s="2">
        <f>F5-H5-L5-U5-AA5-AB5-AD5-Y5</f>
        <v>-1964448.2623699717</v>
      </c>
      <c r="AH5" s="2">
        <f>AH4+AG5</f>
        <v>15269681.77488986</v>
      </c>
      <c r="AI5" s="2">
        <v>10317299.81484101</v>
      </c>
      <c r="AJ5" s="2">
        <f>AH5-AI5</f>
        <v>4952381.960048851</v>
      </c>
      <c r="AK5" s="3">
        <v>0.125</v>
      </c>
    </row>
    <row r="6" spans="1:37">
      <c r="A6" s="2">
        <v>5</v>
      </c>
      <c r="B6" s="2">
        <v>2027</v>
      </c>
      <c r="C6" s="2">
        <v>8</v>
      </c>
      <c r="D6" s="2">
        <v>349990</v>
      </c>
      <c r="E6" s="2">
        <v>2799920</v>
      </c>
      <c r="F6" s="2">
        <f>E6/1.19</f>
        <v>2352873.949579832</v>
      </c>
      <c r="G6" s="2">
        <v>10</v>
      </c>
      <c r="H6" s="2">
        <v>752426.8907563025</v>
      </c>
      <c r="I6" s="2">
        <v>23</v>
      </c>
      <c r="J6" s="2">
        <v>1730581.848739496</v>
      </c>
      <c r="K6" s="2">
        <v>601941.512605042</v>
      </c>
      <c r="L6" s="2">
        <v>236151.3210084033</v>
      </c>
      <c r="M6" s="2">
        <v>1620000</v>
      </c>
      <c r="N6" s="3">
        <v>0</v>
      </c>
      <c r="O6" s="3">
        <v>0</v>
      </c>
      <c r="P6" s="2">
        <v>120000</v>
      </c>
      <c r="Q6" s="2">
        <v>156500</v>
      </c>
      <c r="R6" s="2">
        <v>0</v>
      </c>
      <c r="S6" s="2">
        <v>280000</v>
      </c>
      <c r="T6" s="2">
        <v>500000</v>
      </c>
      <c r="U6" s="2">
        <f>M6+P6+Q6+R6+S6+T6</f>
        <v>2676500.0</v>
      </c>
      <c r="V6" s="2">
        <f>F6-K6-L6-U6</f>
        <v>-1161718.8840336131</v>
      </c>
      <c r="W6" s="2">
        <v>258034.368390348</v>
      </c>
      <c r="X6" s="2">
        <v>129619.3032233213</v>
      </c>
      <c r="Y6" s="2">
        <f>W6+X6</f>
        <v>387653.6716136693</v>
      </c>
      <c r="Z6" s="2">
        <v>27063973.19787455</v>
      </c>
      <c r="AA6" s="2">
        <v>0</v>
      </c>
      <c r="AB6" s="2">
        <v>0</v>
      </c>
      <c r="AC6" s="2">
        <v>0</v>
      </c>
      <c r="AD6" s="2">
        <v>0</v>
      </c>
      <c r="AE6" s="2">
        <v>141251.1092436975</v>
      </c>
      <c r="AF6" s="2">
        <f>F6-H6-L6-U6-AA6-AC6-AD6</f>
        <v>-1312204.2621848737</v>
      </c>
      <c r="AG6" s="2">
        <f>F6-H6-L6-U6-AA6-AB6-AD6-Y6</f>
        <v>-1699857.933798543</v>
      </c>
      <c r="AH6" s="2">
        <f>AH5+AG6</f>
        <v>13569823.841091318</v>
      </c>
      <c r="AI6" s="2">
        <v>10317299.81484101</v>
      </c>
      <c r="AJ6" s="2">
        <f>AH6-AI6</f>
        <v>3252524.0262503084</v>
      </c>
      <c r="AK6" s="3">
        <v>0.125</v>
      </c>
    </row>
    <row r="7" spans="1:37">
      <c r="A7" s="2">
        <v>6</v>
      </c>
      <c r="B7" s="2">
        <v>2027</v>
      </c>
      <c r="C7" s="2">
        <v>9</v>
      </c>
      <c r="D7" s="2">
        <v>349990</v>
      </c>
      <c r="E7" s="2">
        <v>3149910</v>
      </c>
      <c r="F7" s="2">
        <f>E7/1.19</f>
        <v>2646983.193277311</v>
      </c>
      <c r="G7" s="2">
        <v>10</v>
      </c>
      <c r="H7" s="2">
        <v>752426.8907563025</v>
      </c>
      <c r="I7" s="2">
        <v>24</v>
      </c>
      <c r="J7" s="2">
        <v>1805824.537815126</v>
      </c>
      <c r="K7" s="2">
        <v>677184.2016806722</v>
      </c>
      <c r="L7" s="2">
        <v>265670.2361344538</v>
      </c>
      <c r="M7" s="2">
        <v>1620000</v>
      </c>
      <c r="N7" s="3">
        <v>0</v>
      </c>
      <c r="O7" s="3">
        <v>0</v>
      </c>
      <c r="P7" s="2">
        <v>120000</v>
      </c>
      <c r="Q7" s="2">
        <v>156500</v>
      </c>
      <c r="R7" s="2">
        <v>0</v>
      </c>
      <c r="S7" s="2">
        <v>280000</v>
      </c>
      <c r="T7" s="2">
        <v>500000</v>
      </c>
      <c r="U7" s="2">
        <f>M7+P7+Q7+R7+S7+T7</f>
        <v>2676500.0</v>
      </c>
      <c r="V7" s="2">
        <f>F7-K7-L7-U7</f>
        <v>-972371.244537815</v>
      </c>
      <c r="W7" s="2">
        <v>256804.437661737</v>
      </c>
      <c r="X7" s="2">
        <v>130849.2339519323</v>
      </c>
      <c r="Y7" s="2">
        <f>W7+X7</f>
        <v>387653.6716136693</v>
      </c>
      <c r="Z7" s="2">
        <v>26933123.96392262</v>
      </c>
      <c r="AA7" s="2">
        <v>0</v>
      </c>
      <c r="AB7" s="2">
        <v>0</v>
      </c>
      <c r="AC7" s="2">
        <v>0</v>
      </c>
      <c r="AD7" s="2">
        <v>0</v>
      </c>
      <c r="AE7" s="2">
        <v>141251.1092436975</v>
      </c>
      <c r="AF7" s="2">
        <f>F7-H7-L7-U7-AA7-AC7-AD7</f>
        <v>-1047613.9336134451</v>
      </c>
      <c r="AG7" s="2">
        <f>F7-H7-L7-U7-AA7-AB7-AD7-Y7</f>
        <v>-1435267.6052271144</v>
      </c>
      <c r="AH7" s="2">
        <f>AH6+AG7</f>
        <v>12134556.235864203</v>
      </c>
      <c r="AI7" s="2">
        <v>10317299.81484101</v>
      </c>
      <c r="AJ7" s="2">
        <f>AH7-AI7</f>
        <v>1817256.4210231937</v>
      </c>
      <c r="AK7" s="3">
        <v>0.125</v>
      </c>
    </row>
    <row r="8" spans="1:37">
      <c r="A8" s="2">
        <v>7</v>
      </c>
      <c r="B8" s="2">
        <v>2027</v>
      </c>
      <c r="C8" s="2">
        <v>10</v>
      </c>
      <c r="D8" s="2">
        <v>349990</v>
      </c>
      <c r="E8" s="2">
        <v>3499900</v>
      </c>
      <c r="F8" s="2">
        <f>E8/1.19</f>
        <v>2941092.43697479</v>
      </c>
      <c r="G8" s="2">
        <v>20</v>
      </c>
      <c r="H8" s="2">
        <v>1504853.781512605</v>
      </c>
      <c r="I8" s="2">
        <v>34</v>
      </c>
      <c r="J8" s="2">
        <v>2558251.428571429</v>
      </c>
      <c r="K8" s="2">
        <v>752426.8907563026</v>
      </c>
      <c r="L8" s="2">
        <v>295189.1512605042</v>
      </c>
      <c r="M8" s="2">
        <v>1620000</v>
      </c>
      <c r="N8" s="3">
        <v>0</v>
      </c>
      <c r="O8" s="3">
        <v>0</v>
      </c>
      <c r="P8" s="2">
        <v>120000</v>
      </c>
      <c r="Q8" s="2">
        <v>156500</v>
      </c>
      <c r="R8" s="2">
        <v>0</v>
      </c>
      <c r="S8" s="2">
        <v>280000</v>
      </c>
      <c r="T8" s="2">
        <v>500000</v>
      </c>
      <c r="U8" s="2">
        <f>M8+P8+Q8+R8+S8+T8</f>
        <v>2676500.0</v>
      </c>
      <c r="V8" s="2">
        <f>F8-K8-L8-U8</f>
        <v>-783023.6050420168</v>
      </c>
      <c r="W8" s="2">
        <v>255562.8363751183</v>
      </c>
      <c r="X8" s="2">
        <v>132090.8352385511</v>
      </c>
      <c r="Y8" s="2">
        <f>W8+X8</f>
        <v>387653.6716136693</v>
      </c>
      <c r="Z8" s="2">
        <v>26801033.12868407</v>
      </c>
      <c r="AA8" s="2">
        <v>0</v>
      </c>
      <c r="AB8" s="2">
        <v>0</v>
      </c>
      <c r="AC8" s="2">
        <v>0</v>
      </c>
      <c r="AD8" s="2">
        <v>141251.1092436975</v>
      </c>
      <c r="AE8" s="2">
        <v>282502.218487395</v>
      </c>
      <c r="AF8" s="2">
        <f>F8-H8-L8-U8-AA8-AC8-AD8</f>
        <v>-1676701.6050420168</v>
      </c>
      <c r="AG8" s="2">
        <f>F8-H8-L8-U8-AA8-AB8-AD8-Y8</f>
        <v>-2064355.276655686</v>
      </c>
      <c r="AH8" s="2">
        <f>AH7+AG8</f>
        <v>10070200.959208518</v>
      </c>
      <c r="AI8" s="2">
        <v>10317299.81484101</v>
      </c>
      <c r="AJ8" s="2">
        <f>AH8-AI8</f>
        <v>-247098.8556324914</v>
      </c>
      <c r="AK8" s="3">
        <v>0.125</v>
      </c>
    </row>
    <row r="9" spans="1:37">
      <c r="A9" s="2">
        <v>8</v>
      </c>
      <c r="B9" s="2">
        <v>2027</v>
      </c>
      <c r="C9" s="2">
        <v>13</v>
      </c>
      <c r="D9" s="2">
        <v>349990</v>
      </c>
      <c r="E9" s="2">
        <v>4549870</v>
      </c>
      <c r="F9" s="2">
        <f>E9/1.19</f>
        <v>3823420.168067227</v>
      </c>
      <c r="G9" s="2">
        <v>10</v>
      </c>
      <c r="H9" s="2">
        <v>752426.8907563025</v>
      </c>
      <c r="I9" s="2">
        <v>31</v>
      </c>
      <c r="J9" s="2">
        <v>2332523.361344538</v>
      </c>
      <c r="K9" s="2">
        <v>978154.9579831933</v>
      </c>
      <c r="L9" s="2">
        <v>383745.8966386555</v>
      </c>
      <c r="M9" s="2">
        <v>1620000</v>
      </c>
      <c r="N9" s="3">
        <v>0</v>
      </c>
      <c r="O9" s="3">
        <v>0</v>
      </c>
      <c r="P9" s="2">
        <v>120000</v>
      </c>
      <c r="Q9" s="2">
        <v>156500</v>
      </c>
      <c r="R9" s="2">
        <v>0</v>
      </c>
      <c r="S9" s="2">
        <v>280000</v>
      </c>
      <c r="T9" s="2">
        <v>500000</v>
      </c>
      <c r="U9" s="2">
        <f>M9+P9+Q9+R9+S9+T9</f>
        <v>2676500.0</v>
      </c>
      <c r="V9" s="2">
        <f>F9-K9-L9-U9</f>
        <v>-214980.6865546219</v>
      </c>
      <c r="W9" s="2">
        <v>254309.4537909835</v>
      </c>
      <c r="X9" s="2">
        <v>133344.2178226858</v>
      </c>
      <c r="Y9" s="2">
        <f>W9+X9</f>
        <v>387653.6716136693</v>
      </c>
      <c r="Z9" s="2">
        <v>26667688.91086138</v>
      </c>
      <c r="AA9" s="2">
        <v>0</v>
      </c>
      <c r="AB9" s="2">
        <v>0</v>
      </c>
      <c r="AC9" s="2">
        <v>0</v>
      </c>
      <c r="AD9" s="2">
        <v>-141251.1092436975</v>
      </c>
      <c r="AE9" s="2">
        <v>141251.1092436975</v>
      </c>
      <c r="AF9" s="2">
        <f>F9-H9-L9-U9-AA9-AC9-AD9</f>
        <v>151998.48991596652</v>
      </c>
      <c r="AG9" s="2">
        <f>F9-H9-L9-U9-AA9-AB9-AD9-Y9</f>
        <v>-235655.1816977028</v>
      </c>
      <c r="AH9" s="2">
        <f>AH8+AG9</f>
        <v>9834545.777510816</v>
      </c>
      <c r="AI9" s="2">
        <v>10317299.81484101</v>
      </c>
      <c r="AJ9" s="2">
        <f>AH9-AI9</f>
        <v>-482754.03733019345</v>
      </c>
      <c r="AK9" s="3">
        <v>0.125</v>
      </c>
    </row>
    <row r="10" spans="1:37">
      <c r="A10" s="2">
        <v>9</v>
      </c>
      <c r="B10" s="2">
        <v>2027</v>
      </c>
      <c r="C10" s="2">
        <v>14</v>
      </c>
      <c r="D10" s="2">
        <v>349990</v>
      </c>
      <c r="E10" s="2">
        <v>4899860</v>
      </c>
      <c r="F10" s="2">
        <f>E10/1.19</f>
        <v>4117529.411764706</v>
      </c>
      <c r="G10" s="2">
        <v>20</v>
      </c>
      <c r="H10" s="2">
        <v>1504853.781512605</v>
      </c>
      <c r="I10" s="2">
        <v>37</v>
      </c>
      <c r="J10" s="2">
        <v>2783979.49579832</v>
      </c>
      <c r="K10" s="2">
        <v>1053397.647058823</v>
      </c>
      <c r="L10" s="2">
        <v>413264.8117647059</v>
      </c>
      <c r="M10" s="2">
        <v>1620000</v>
      </c>
      <c r="N10" s="3">
        <v>0</v>
      </c>
      <c r="O10" s="3">
        <v>0</v>
      </c>
      <c r="P10" s="2">
        <v>120000</v>
      </c>
      <c r="Q10" s="2">
        <v>156500</v>
      </c>
      <c r="R10" s="2">
        <v>0</v>
      </c>
      <c r="S10" s="2">
        <v>280000</v>
      </c>
      <c r="T10" s="2">
        <v>500000</v>
      </c>
      <c r="U10" s="2">
        <f>M10+P10+Q10+R10+S10+T10</f>
        <v>2676500.0</v>
      </c>
      <c r="V10" s="2">
        <f>F10-K10-L10-U10</f>
        <v>-25633.04705882352</v>
      </c>
      <c r="W10" s="2">
        <v>253044.1781190402</v>
      </c>
      <c r="X10" s="2">
        <v>134609.4934946292</v>
      </c>
      <c r="Y10" s="2">
        <f>W10+X10</f>
        <v>387653.6716136693</v>
      </c>
      <c r="Z10" s="2">
        <v>26533079.41736675</v>
      </c>
      <c r="AA10" s="2">
        <v>0</v>
      </c>
      <c r="AB10" s="2">
        <v>0</v>
      </c>
      <c r="AC10" s="2">
        <v>0</v>
      </c>
      <c r="AD10" s="2">
        <v>141251.1092436975</v>
      </c>
      <c r="AE10" s="2">
        <v>282502.218487395</v>
      </c>
      <c r="AF10" s="2">
        <f>F10-H10-L10-U10-AA10-AC10-AD10</f>
        <v>-618340.2907563024</v>
      </c>
      <c r="AG10" s="2">
        <f>F10-H10-L10-U10-AA10-AB10-AD10-Y10</f>
        <v>-1005993.9623699717</v>
      </c>
      <c r="AH10" s="2">
        <f>AH9+AG10</f>
        <v>8828551.815140845</v>
      </c>
      <c r="AI10" s="2">
        <v>10317299.81484101</v>
      </c>
      <c r="AJ10" s="2">
        <f>AH10-AI10</f>
        <v>-1488747.9997001644</v>
      </c>
      <c r="AK10" s="3">
        <v>0.125</v>
      </c>
    </row>
    <row r="11" spans="1:37">
      <c r="A11" s="2">
        <v>10</v>
      </c>
      <c r="B11" s="2">
        <v>2027</v>
      </c>
      <c r="C11" s="2">
        <v>17</v>
      </c>
      <c r="D11" s="2">
        <v>349990</v>
      </c>
      <c r="E11" s="2">
        <v>5949830</v>
      </c>
      <c r="F11" s="2">
        <f>E11/1.19</f>
        <v>4999857.142857143</v>
      </c>
      <c r="G11" s="2">
        <v>20</v>
      </c>
      <c r="H11" s="2">
        <v>1504853.781512605</v>
      </c>
      <c r="I11" s="2">
        <v>40</v>
      </c>
      <c r="J11" s="2">
        <v>3009707.56302521</v>
      </c>
      <c r="K11" s="2">
        <v>1279125.714285714</v>
      </c>
      <c r="L11" s="2">
        <v>501821.5571428571</v>
      </c>
      <c r="M11" s="2">
        <v>1620000</v>
      </c>
      <c r="N11" s="3">
        <v>0</v>
      </c>
      <c r="O11" s="3">
        <v>0</v>
      </c>
      <c r="P11" s="2">
        <v>120000</v>
      </c>
      <c r="Q11" s="2">
        <v>156500</v>
      </c>
      <c r="R11" s="2">
        <v>0</v>
      </c>
      <c r="S11" s="2">
        <v>280000</v>
      </c>
      <c r="T11" s="2">
        <v>500000</v>
      </c>
      <c r="U11" s="2">
        <f>M11+P11+Q11+R11+S11+T11</f>
        <v>2676500.0</v>
      </c>
      <c r="V11" s="2">
        <f>F11-K11-L11-U11</f>
        <v>542409.8714285712</v>
      </c>
      <c r="W11" s="2">
        <v>251766.8965082405</v>
      </c>
      <c r="X11" s="2">
        <v>135886.7751054288</v>
      </c>
      <c r="Y11" s="2">
        <f>W11+X11</f>
        <v>387653.6716136693</v>
      </c>
      <c r="Z11" s="2">
        <v>26397192.64226133</v>
      </c>
      <c r="AA11" s="2">
        <v>0</v>
      </c>
      <c r="AB11" s="2">
        <v>0</v>
      </c>
      <c r="AC11" s="2">
        <v>0</v>
      </c>
      <c r="AD11" s="2">
        <v>0</v>
      </c>
      <c r="AE11" s="2">
        <v>282502.218487395</v>
      </c>
      <c r="AF11" s="2">
        <f>F11-H11-L11-U11-AA11-AC11-AD11</f>
        <v>316681.8042016807</v>
      </c>
      <c r="AG11" s="2">
        <f>F11-H11-L11-U11-AA11-AB11-AD11-Y11</f>
        <v>-70971.86741198861</v>
      </c>
      <c r="AH11" s="2">
        <f>AH10+AG11</f>
        <v>8757579.947728857</v>
      </c>
      <c r="AI11" s="2">
        <v>10317299.81484101</v>
      </c>
      <c r="AJ11" s="2">
        <f>AH11-AI11</f>
        <v>-1559719.8671121523</v>
      </c>
      <c r="AK11" s="3">
        <v>0.125</v>
      </c>
    </row>
    <row r="12" spans="1:37">
      <c r="A12" s="2">
        <v>11</v>
      </c>
      <c r="B12" s="2">
        <v>2027</v>
      </c>
      <c r="C12" s="2">
        <v>18</v>
      </c>
      <c r="D12" s="2">
        <v>349990</v>
      </c>
      <c r="E12" s="2">
        <v>6299820</v>
      </c>
      <c r="F12" s="2">
        <f>E12/1.19</f>
        <v>5293966.386554622</v>
      </c>
      <c r="G12" s="2">
        <v>10</v>
      </c>
      <c r="H12" s="2">
        <v>752426.8907563025</v>
      </c>
      <c r="I12" s="2">
        <v>32</v>
      </c>
      <c r="J12" s="2">
        <v>2407766.050420168</v>
      </c>
      <c r="K12" s="2">
        <v>1354368.403361344</v>
      </c>
      <c r="L12" s="2">
        <v>531340.4722689076</v>
      </c>
      <c r="M12" s="2">
        <v>1620000</v>
      </c>
      <c r="N12" s="3">
        <v>0</v>
      </c>
      <c r="O12" s="3">
        <v>0</v>
      </c>
      <c r="P12" s="2">
        <v>120000</v>
      </c>
      <c r="Q12" s="2">
        <v>156500</v>
      </c>
      <c r="R12" s="2">
        <v>0</v>
      </c>
      <c r="S12" s="2">
        <v>280000</v>
      </c>
      <c r="T12" s="2">
        <v>500000</v>
      </c>
      <c r="U12" s="2">
        <f>M12+P12+Q12+R12+S12+T12</f>
        <v>2676500.0</v>
      </c>
      <c r="V12" s="2">
        <f>F12-K12-L12-U12</f>
        <v>731757.51092437</v>
      </c>
      <c r="W12" s="2">
        <v>250477.4950367168</v>
      </c>
      <c r="X12" s="2">
        <v>137176.1765769525</v>
      </c>
      <c r="Y12" s="2">
        <f>W12+X12</f>
        <v>387653.6716136693</v>
      </c>
      <c r="Z12" s="2">
        <v>26260016.46568437</v>
      </c>
      <c r="AA12" s="2">
        <v>0</v>
      </c>
      <c r="AB12" s="2">
        <v>0</v>
      </c>
      <c r="AC12" s="2">
        <v>0</v>
      </c>
      <c r="AD12" s="2">
        <v>-141251.1092436975</v>
      </c>
      <c r="AE12" s="2">
        <v>141251.1092436975</v>
      </c>
      <c r="AF12" s="2">
        <f>F12-H12-L12-U12-AA12-AC12-AD12</f>
        <v>1474950.1327731097</v>
      </c>
      <c r="AG12" s="2">
        <f>F12-H12-L12-U12-AA12-AB12-AD12-Y12</f>
        <v>1087296.4611594405</v>
      </c>
      <c r="AH12" s="2">
        <f>AH11+AG12</f>
        <v>9844876.408888297</v>
      </c>
      <c r="AI12" s="2">
        <v>10317299.81484101</v>
      </c>
      <c r="AJ12" s="2">
        <f>AH12-AI12</f>
        <v>-472423.4059527125</v>
      </c>
      <c r="AK12" s="3">
        <v>0.125</v>
      </c>
    </row>
    <row r="13" spans="1:37">
      <c r="A13" s="2">
        <v>12</v>
      </c>
      <c r="B13" s="2">
        <v>2027</v>
      </c>
      <c r="C13" s="2">
        <v>22</v>
      </c>
      <c r="D13" s="2">
        <v>349990</v>
      </c>
      <c r="E13" s="2">
        <v>7699780</v>
      </c>
      <c r="F13" s="2">
        <f>E13/1.19</f>
        <v>6470403.361344538</v>
      </c>
      <c r="G13" s="2">
        <v>10</v>
      </c>
      <c r="H13" s="2">
        <v>752426.8907563025</v>
      </c>
      <c r="I13" s="2">
        <v>20</v>
      </c>
      <c r="J13" s="2">
        <v>1504853.781512605</v>
      </c>
      <c r="K13" s="2">
        <v>1655339.159663865</v>
      </c>
      <c r="L13" s="2">
        <v>649416.1327731092</v>
      </c>
      <c r="M13" s="2">
        <v>1620000</v>
      </c>
      <c r="N13" s="3">
        <v>0</v>
      </c>
      <c r="O13" s="3">
        <v>0</v>
      </c>
      <c r="P13" s="2">
        <v>120000</v>
      </c>
      <c r="Q13" s="2">
        <v>156500</v>
      </c>
      <c r="R13" s="2">
        <v>0</v>
      </c>
      <c r="S13" s="2">
        <v>280000</v>
      </c>
      <c r="T13" s="2">
        <v>500000</v>
      </c>
      <c r="U13" s="2">
        <f>M13+P13+Q13+R13+S13+T13</f>
        <v>2676500.0</v>
      </c>
      <c r="V13" s="2">
        <f>F13-K13-L13-U13</f>
        <v>1489148.068907563</v>
      </c>
      <c r="W13" s="2">
        <v>249175.8587016203</v>
      </c>
      <c r="X13" s="2">
        <v>138477.812912049</v>
      </c>
      <c r="Y13" s="2">
        <f>W13+X13</f>
        <v>387653.6716136693</v>
      </c>
      <c r="Z13" s="2">
        <v>26121538.65277232</v>
      </c>
      <c r="AA13" s="2">
        <v>0</v>
      </c>
      <c r="AB13" s="2">
        <v>0</v>
      </c>
      <c r="AC13" s="2">
        <v>0</v>
      </c>
      <c r="AD13" s="2">
        <v>0</v>
      </c>
      <c r="AE13" s="2">
        <v>141251.1092436975</v>
      </c>
      <c r="AF13" s="2">
        <f>F13-H13-L13-U13-AA13-AC13-AD13</f>
        <v>2392060.3378151264</v>
      </c>
      <c r="AG13" s="2">
        <f>F13-H13-L13-U13-AA13-AB13-AD13-Y13</f>
        <v>2004406.6662014571</v>
      </c>
      <c r="AH13" s="2">
        <f>AH12+AG13</f>
        <v>11849283.075089755</v>
      </c>
      <c r="AI13" s="2">
        <v>10317299.81484101</v>
      </c>
      <c r="AJ13" s="2">
        <f>AH13-AI13</f>
        <v>1531983.2602487449</v>
      </c>
      <c r="AK13" s="3">
        <v>0.125</v>
      </c>
    </row>
    <row r="14" spans="1:37">
      <c r="A14" s="2">
        <v>13</v>
      </c>
      <c r="B14" s="2">
        <v>2028</v>
      </c>
      <c r="C14" s="2">
        <v>4</v>
      </c>
      <c r="D14" s="2">
        <v>360489.7</v>
      </c>
      <c r="E14" s="2">
        <v>1441958.8</v>
      </c>
      <c r="F14" s="2">
        <f>E14/1.19</f>
        <v>1211730.0840336136</v>
      </c>
      <c r="G14" s="2">
        <v>0</v>
      </c>
      <c r="H14" s="2">
        <v>0</v>
      </c>
      <c r="I14" s="2">
        <v>16</v>
      </c>
      <c r="J14" s="2">
        <v>1203883.025210084</v>
      </c>
      <c r="K14" s="2">
        <v>300970.756302521</v>
      </c>
      <c r="L14" s="2">
        <v>120895.6005042017</v>
      </c>
      <c r="M14" s="2">
        <v>2398612.5</v>
      </c>
      <c r="N14" s="3">
        <v>0.5</v>
      </c>
      <c r="O14" s="3">
        <v>0</v>
      </c>
      <c r="P14" s="2">
        <v>133900</v>
      </c>
      <c r="Q14" s="2">
        <v>179632</v>
      </c>
      <c r="R14" s="2">
        <v>0</v>
      </c>
      <c r="S14" s="2">
        <v>288400</v>
      </c>
      <c r="T14" s="2">
        <v>901250</v>
      </c>
      <c r="U14" s="2">
        <f>M14+P14+Q14+R14+S14+T14</f>
        <v>3901794.5</v>
      </c>
      <c r="V14" s="2">
        <f>F14-K14-L14-U14</f>
        <v>-3111930.7727731094</v>
      </c>
      <c r="W14" s="2">
        <v>247861.871408864</v>
      </c>
      <c r="X14" s="2">
        <v>139791.8002048054</v>
      </c>
      <c r="Y14" s="2">
        <f>W14+X14</f>
        <v>387653.6716136693</v>
      </c>
      <c r="Z14" s="2">
        <v>25981746.85256752</v>
      </c>
      <c r="AA14" s="2">
        <v>0</v>
      </c>
      <c r="AB14" s="2">
        <v>0</v>
      </c>
      <c r="AC14" s="2">
        <v>0</v>
      </c>
      <c r="AD14" s="2">
        <v>-141251.1092436975</v>
      </c>
      <c r="AE14" s="2">
        <v>0</v>
      </c>
      <c r="AF14" s="2">
        <f>F14-H14-L14-U14-AA14-AC14-AD14</f>
        <v>-2669708.9072268903</v>
      </c>
      <c r="AG14" s="2">
        <f>F14-H14-L14-U14-AA14-AB14-AD14-Y14</f>
        <v>-3057362.57884056</v>
      </c>
      <c r="AH14" s="2">
        <f>AH13+AG14</f>
        <v>8791920.496249195</v>
      </c>
      <c r="AI14" s="2">
        <v>13993183.31484101</v>
      </c>
      <c r="AJ14" s="2">
        <f>AH14-AI14</f>
        <v>-5201262.818591813</v>
      </c>
      <c r="AK14" s="3">
        <v>0.15</v>
      </c>
    </row>
    <row r="15" spans="1:37">
      <c r="A15" s="2">
        <v>14</v>
      </c>
      <c r="B15" s="2">
        <v>2028</v>
      </c>
      <c r="C15" s="2">
        <v>7</v>
      </c>
      <c r="D15" s="2">
        <v>360489.7</v>
      </c>
      <c r="E15" s="2">
        <v>2523427.9</v>
      </c>
      <c r="F15" s="2">
        <f>E15/1.19</f>
        <v>2120527.6470588236</v>
      </c>
      <c r="G15" s="2">
        <v>20</v>
      </c>
      <c r="H15" s="2">
        <v>1549999.394957983</v>
      </c>
      <c r="I15" s="2">
        <v>29</v>
      </c>
      <c r="J15" s="2">
        <v>2218405.282913165</v>
      </c>
      <c r="K15" s="2">
        <v>535477.1372549019</v>
      </c>
      <c r="L15" s="2">
        <v>212269.5659803922</v>
      </c>
      <c r="M15" s="2">
        <v>2398612.5</v>
      </c>
      <c r="N15" s="3">
        <v>0.5</v>
      </c>
      <c r="O15" s="3">
        <v>0</v>
      </c>
      <c r="P15" s="2">
        <v>133900</v>
      </c>
      <c r="Q15" s="2">
        <v>179632</v>
      </c>
      <c r="R15" s="2">
        <v>0</v>
      </c>
      <c r="S15" s="2">
        <v>288400</v>
      </c>
      <c r="T15" s="2">
        <v>901250</v>
      </c>
      <c r="U15" s="2">
        <f>M15+P15+Q15+R15+S15+T15</f>
        <v>3901794.5</v>
      </c>
      <c r="V15" s="2">
        <f>F15-K15-L15-U15</f>
        <v>-2529013.5561764706</v>
      </c>
      <c r="W15" s="2">
        <v>246535.4159627679</v>
      </c>
      <c r="X15" s="2">
        <v>141118.2556509014</v>
      </c>
      <c r="Y15" s="2">
        <f>W15+X15</f>
        <v>387653.6716136693</v>
      </c>
      <c r="Z15" s="2">
        <v>25840628.59691662</v>
      </c>
      <c r="AA15" s="2">
        <v>0</v>
      </c>
      <c r="AB15" s="2">
        <v>0</v>
      </c>
      <c r="AC15" s="2">
        <v>0</v>
      </c>
      <c r="AD15" s="2">
        <v>290977.2850420168</v>
      </c>
      <c r="AE15" s="2">
        <v>290977.2850420168</v>
      </c>
      <c r="AF15" s="2">
        <f>F15-H15-L15-U15-AA15-AC15-AD15</f>
        <v>-3834513.0989215686</v>
      </c>
      <c r="AG15" s="2">
        <f>F15-H15-L15-U15-AA15-AB15-AD15-Y15</f>
        <v>-4222166.770535238</v>
      </c>
      <c r="AH15" s="2">
        <f>AH14+AG15</f>
        <v>4569753.725713957</v>
      </c>
      <c r="AI15" s="2">
        <v>13993183.31484101</v>
      </c>
      <c r="AJ15" s="2">
        <f>AH15-AI15</f>
        <v>-9423429.58912705</v>
      </c>
      <c r="AK15" s="3">
        <v>0.15</v>
      </c>
    </row>
    <row r="16" spans="1:37">
      <c r="A16" s="2">
        <v>15</v>
      </c>
      <c r="B16" s="2">
        <v>2028</v>
      </c>
      <c r="C16" s="2">
        <v>9</v>
      </c>
      <c r="D16" s="2">
        <v>360489.7</v>
      </c>
      <c r="E16" s="2">
        <v>3244407.3</v>
      </c>
      <c r="F16" s="2">
        <f>E16/1.19</f>
        <v>2726392.6890756306</v>
      </c>
      <c r="G16" s="2">
        <v>10</v>
      </c>
      <c r="H16" s="2">
        <v>774999.6974789916</v>
      </c>
      <c r="I16" s="2">
        <v>30</v>
      </c>
      <c r="J16" s="2">
        <v>2302619.215686274</v>
      </c>
      <c r="K16" s="2">
        <v>690785.7647058824</v>
      </c>
      <c r="L16" s="2">
        <v>273103.2261764706</v>
      </c>
      <c r="M16" s="2">
        <v>2398612.5</v>
      </c>
      <c r="N16" s="3">
        <v>0.5</v>
      </c>
      <c r="O16" s="3">
        <v>0</v>
      </c>
      <c r="P16" s="2">
        <v>133900</v>
      </c>
      <c r="Q16" s="2">
        <v>179632</v>
      </c>
      <c r="R16" s="2">
        <v>0</v>
      </c>
      <c r="S16" s="2">
        <v>288400</v>
      </c>
      <c r="T16" s="2">
        <v>901250</v>
      </c>
      <c r="U16" s="2">
        <f>M16+P16+Q16+R16+S16+T16</f>
        <v>3901794.5</v>
      </c>
      <c r="V16" s="2">
        <f>F16-K16-L16-U16</f>
        <v>-2139290.8018067223</v>
      </c>
      <c r="W16" s="2">
        <v>245196.374055607</v>
      </c>
      <c r="X16" s="2">
        <v>142457.2975580623</v>
      </c>
      <c r="Y16" s="2">
        <f>W16+X16</f>
        <v>387653.6716136693</v>
      </c>
      <c r="Z16" s="2">
        <v>25698171.29935855</v>
      </c>
      <c r="AA16" s="2">
        <v>0</v>
      </c>
      <c r="AB16" s="2">
        <v>0</v>
      </c>
      <c r="AC16" s="2">
        <v>0</v>
      </c>
      <c r="AD16" s="2">
        <v>-145488.6425210084</v>
      </c>
      <c r="AE16" s="2">
        <v>145488.6425210084</v>
      </c>
      <c r="AF16" s="2">
        <f>F16-H16-L16-U16-AA16-AC16-AD16</f>
        <v>-2078016.092058823</v>
      </c>
      <c r="AG16" s="2">
        <f>F16-H16-L16-U16-AA16-AB16-AD16-Y16</f>
        <v>-2465669.7636724925</v>
      </c>
      <c r="AH16" s="2">
        <f>AH15+AG16</f>
        <v>2104083.9620414646</v>
      </c>
      <c r="AI16" s="2">
        <v>13993183.31484101</v>
      </c>
      <c r="AJ16" s="2">
        <f>AH16-AI16</f>
        <v>-11889099.352799542</v>
      </c>
      <c r="AK16" s="3">
        <v>0.15</v>
      </c>
    </row>
    <row r="17" spans="1:37">
      <c r="A17" s="2">
        <v>16</v>
      </c>
      <c r="B17" s="2">
        <v>2028</v>
      </c>
      <c r="C17" s="2">
        <v>11</v>
      </c>
      <c r="D17" s="2">
        <v>360489.7</v>
      </c>
      <c r="E17" s="2">
        <v>3965386.7</v>
      </c>
      <c r="F17" s="2">
        <f>E17/1.19</f>
        <v>3332257.731092437</v>
      </c>
      <c r="G17" s="2">
        <v>20</v>
      </c>
      <c r="H17" s="2">
        <v>1549999.394957983</v>
      </c>
      <c r="I17" s="2">
        <v>39</v>
      </c>
      <c r="J17" s="2">
        <v>3005042.516302521</v>
      </c>
      <c r="K17" s="2">
        <v>847576.0943417366</v>
      </c>
      <c r="L17" s="2">
        <v>334055.4225473389</v>
      </c>
      <c r="M17" s="2">
        <v>2398612.5</v>
      </c>
      <c r="N17" s="3">
        <v>0.5</v>
      </c>
      <c r="O17" s="3">
        <v>0</v>
      </c>
      <c r="P17" s="2">
        <v>133900</v>
      </c>
      <c r="Q17" s="2">
        <v>179632</v>
      </c>
      <c r="R17" s="2">
        <v>0</v>
      </c>
      <c r="S17" s="2">
        <v>288400</v>
      </c>
      <c r="T17" s="2">
        <v>901250</v>
      </c>
      <c r="U17" s="2">
        <f>M17+P17+Q17+R17+S17+T17</f>
        <v>3901794.5</v>
      </c>
      <c r="V17" s="2">
        <f>F17-K17-L17-U17</f>
        <v>-1751168.2857966386</v>
      </c>
      <c r="W17" s="2">
        <v>243844.6262570583</v>
      </c>
      <c r="X17" s="2">
        <v>143809.0453566111</v>
      </c>
      <c r="Y17" s="2">
        <f>W17+X17</f>
        <v>387653.6716136693</v>
      </c>
      <c r="Z17" s="2">
        <v>25554362.25400194</v>
      </c>
      <c r="AA17" s="2">
        <v>0</v>
      </c>
      <c r="AB17" s="2">
        <v>0</v>
      </c>
      <c r="AC17" s="2">
        <v>0</v>
      </c>
      <c r="AD17" s="2">
        <v>145488.6425210084</v>
      </c>
      <c r="AE17" s="2">
        <v>290977.2850420168</v>
      </c>
      <c r="AF17" s="2">
        <f>F17-H17-L17-U17-AA17-AC17-AD17</f>
        <v>-2599080.2289338936</v>
      </c>
      <c r="AG17" s="2">
        <f>F17-H17-L17-U17-AA17-AB17-AD17-Y17</f>
        <v>-2986733.900547563</v>
      </c>
      <c r="AH17" s="2">
        <f>AH16+AG17</f>
        <v>-882649.9385060985</v>
      </c>
      <c r="AI17" s="2">
        <v>13993183.31484101</v>
      </c>
      <c r="AJ17" s="2">
        <f>AH17-AI17</f>
        <v>-14875833.253347106</v>
      </c>
      <c r="AK17" s="3">
        <v>0.15</v>
      </c>
    </row>
    <row r="18" spans="1:37">
      <c r="A18" s="2">
        <v>17</v>
      </c>
      <c r="B18" s="2">
        <v>2028</v>
      </c>
      <c r="C18" s="2">
        <v>14</v>
      </c>
      <c r="D18" s="2">
        <v>360489.7</v>
      </c>
      <c r="E18" s="2">
        <v>5046855.8</v>
      </c>
      <c r="F18" s="2">
        <f>E18/1.19</f>
        <v>4241055.294117647</v>
      </c>
      <c r="G18" s="2">
        <v>10</v>
      </c>
      <c r="H18" s="2">
        <v>774999.6974789916</v>
      </c>
      <c r="I18" s="2">
        <v>35</v>
      </c>
      <c r="J18" s="2">
        <v>2700030.15270108</v>
      </c>
      <c r="K18" s="2">
        <v>1080012.061080432</v>
      </c>
      <c r="L18" s="2">
        <v>425263.7548864346</v>
      </c>
      <c r="M18" s="2">
        <v>2398612.5</v>
      </c>
      <c r="N18" s="3">
        <v>0.5</v>
      </c>
      <c r="O18" s="3">
        <v>0</v>
      </c>
      <c r="P18" s="2">
        <v>133900</v>
      </c>
      <c r="Q18" s="2">
        <v>179632</v>
      </c>
      <c r="R18" s="2">
        <v>0</v>
      </c>
      <c r="S18" s="2">
        <v>288400</v>
      </c>
      <c r="T18" s="2">
        <v>901250</v>
      </c>
      <c r="U18" s="2">
        <f>M18+P18+Q18+R18+S18+T18</f>
        <v>3901794.5</v>
      </c>
      <c r="V18" s="2">
        <f>F18-K18-L18-U18</f>
        <v>-1166015.0218492197</v>
      </c>
      <c r="W18" s="2">
        <v>242480.0520035493</v>
      </c>
      <c r="X18" s="2">
        <v>145173.61961012</v>
      </c>
      <c r="Y18" s="2">
        <f>W18+X18</f>
        <v>387653.6716136693</v>
      </c>
      <c r="Z18" s="2">
        <v>25409188.63439182</v>
      </c>
      <c r="AA18" s="2">
        <v>0</v>
      </c>
      <c r="AB18" s="2">
        <v>0</v>
      </c>
      <c r="AC18" s="2">
        <v>0</v>
      </c>
      <c r="AD18" s="2">
        <v>-145488.6425210084</v>
      </c>
      <c r="AE18" s="2">
        <v>145488.6425210084</v>
      </c>
      <c r="AF18" s="2">
        <f>F18-H18-L18-U18-AA18-AC18-AD18</f>
        <v>-715514.0157267703</v>
      </c>
      <c r="AG18" s="2">
        <f>F18-H18-L18-U18-AA18-AB18-AD18-Y18</f>
        <v>-1103167.6873404395</v>
      </c>
      <c r="AH18" s="2">
        <f>AH17+AG18</f>
        <v>-1985817.625846538</v>
      </c>
      <c r="AI18" s="2">
        <v>13993183.31484101</v>
      </c>
      <c r="AJ18" s="2">
        <f>AH18-AI18</f>
        <v>-15979000.940687547</v>
      </c>
      <c r="AK18" s="3">
        <v>0.15</v>
      </c>
    </row>
    <row r="19" spans="1:37">
      <c r="A19" s="2">
        <v>18</v>
      </c>
      <c r="B19" s="2">
        <v>2028</v>
      </c>
      <c r="C19" s="2">
        <v>16</v>
      </c>
      <c r="D19" s="2">
        <v>360489.7</v>
      </c>
      <c r="E19" s="2">
        <v>5767835.2</v>
      </c>
      <c r="F19" s="2">
        <f>E19/1.19</f>
        <v>4846920.336134454</v>
      </c>
      <c r="G19" s="2">
        <v>30</v>
      </c>
      <c r="H19" s="2">
        <v>2324999.092436975</v>
      </c>
      <c r="I19" s="2">
        <v>49</v>
      </c>
      <c r="J19" s="2">
        <v>3788098.969411765</v>
      </c>
      <c r="K19" s="2">
        <v>1236930.27572629</v>
      </c>
      <c r="L19" s="2">
        <v>486226.1820581033</v>
      </c>
      <c r="M19" s="2">
        <v>2398612.5</v>
      </c>
      <c r="N19" s="3">
        <v>0.5</v>
      </c>
      <c r="O19" s="3">
        <v>0</v>
      </c>
      <c r="P19" s="2">
        <v>133900</v>
      </c>
      <c r="Q19" s="2">
        <v>179632</v>
      </c>
      <c r="R19" s="2">
        <v>0</v>
      </c>
      <c r="S19" s="2">
        <v>288400</v>
      </c>
      <c r="T19" s="2">
        <v>901250</v>
      </c>
      <c r="U19" s="2">
        <f>M19+P19+Q19+R19+S19+T19</f>
        <v>3901794.5</v>
      </c>
      <c r="V19" s="2">
        <f>F19-K19-L19-U19</f>
        <v>-778030.6216499396</v>
      </c>
      <c r="W19" s="2">
        <v>241102.5295875049</v>
      </c>
      <c r="X19" s="2">
        <v>146551.1420261644</v>
      </c>
      <c r="Y19" s="2">
        <f>W19+X19</f>
        <v>387653.6716136693</v>
      </c>
      <c r="Z19" s="2">
        <v>25262637.49236566</v>
      </c>
      <c r="AA19" s="2">
        <v>0</v>
      </c>
      <c r="AB19" s="2">
        <v>0</v>
      </c>
      <c r="AC19" s="2">
        <v>0</v>
      </c>
      <c r="AD19" s="2">
        <v>290977.2850420168</v>
      </c>
      <c r="AE19" s="2">
        <v>436465.9275630252</v>
      </c>
      <c r="AF19" s="2">
        <f>F19-H19-L19-U19-AA19-AC19-AD19</f>
        <v>-2157076.723402641</v>
      </c>
      <c r="AG19" s="2">
        <f>F19-H19-L19-U19-AA19-AB19-AD19-Y19</f>
        <v>-2544730.3950163103</v>
      </c>
      <c r="AH19" s="2">
        <f>AH18+AG19</f>
        <v>-4530548.0208628485</v>
      </c>
      <c r="AI19" s="2">
        <v>13993183.31484101</v>
      </c>
      <c r="AJ19" s="2">
        <f>AH19-AI19</f>
        <v>-18523731.335703857</v>
      </c>
      <c r="AK19" s="3">
        <v>0.15</v>
      </c>
    </row>
    <row r="20" spans="1:37">
      <c r="A20" s="2">
        <v>19</v>
      </c>
      <c r="B20" s="2">
        <v>2028</v>
      </c>
      <c r="C20" s="2">
        <v>18</v>
      </c>
      <c r="D20" s="2">
        <v>360489.7</v>
      </c>
      <c r="E20" s="2">
        <v>6488814.600000001</v>
      </c>
      <c r="F20" s="2">
        <f>E20/1.19</f>
        <v>5452785.378151261</v>
      </c>
      <c r="G20" s="2">
        <v>20</v>
      </c>
      <c r="H20" s="2">
        <v>1549999.394957983</v>
      </c>
      <c r="I20" s="2">
        <v>51</v>
      </c>
      <c r="J20" s="2">
        <v>3945550.964968944</v>
      </c>
      <c r="K20" s="2">
        <v>1392547.399400804</v>
      </c>
      <c r="L20" s="2">
        <v>547084.5219520644</v>
      </c>
      <c r="M20" s="2">
        <v>2398612.5</v>
      </c>
      <c r="N20" s="3">
        <v>0.5</v>
      </c>
      <c r="O20" s="3">
        <v>0</v>
      </c>
      <c r="P20" s="2">
        <v>133900</v>
      </c>
      <c r="Q20" s="2">
        <v>179632</v>
      </c>
      <c r="R20" s="2">
        <v>0</v>
      </c>
      <c r="S20" s="2">
        <v>288400</v>
      </c>
      <c r="T20" s="2">
        <v>901250</v>
      </c>
      <c r="U20" s="2">
        <f>M20+P20+Q20+R20+S20+T20</f>
        <v>3901794.5</v>
      </c>
      <c r="V20" s="2">
        <f>F20-K20-L20-U20</f>
        <v>-388641.0432016072</v>
      </c>
      <c r="W20" s="2">
        <v>239711.936146492</v>
      </c>
      <c r="X20" s="2">
        <v>147941.7354671773</v>
      </c>
      <c r="Y20" s="2">
        <f>W20+X20</f>
        <v>387653.6716136693</v>
      </c>
      <c r="Z20" s="2">
        <v>25114695.75689848</v>
      </c>
      <c r="AA20" s="2">
        <v>0</v>
      </c>
      <c r="AB20" s="2">
        <v>0</v>
      </c>
      <c r="AC20" s="2">
        <v>0</v>
      </c>
      <c r="AD20" s="2">
        <v>-145488.6425210084</v>
      </c>
      <c r="AE20" s="2">
        <v>290977.2850420168</v>
      </c>
      <c r="AF20" s="2">
        <f>F20-H20-L20-U20-AA20-AC20-AD20</f>
        <v>-400604.39623777755</v>
      </c>
      <c r="AG20" s="2">
        <f>F20-H20-L20-U20-AA20-AB20-AD20-Y20</f>
        <v>-788258.0678514468</v>
      </c>
      <c r="AH20" s="2">
        <f>AH19+AG20</f>
        <v>-5318806.088714295</v>
      </c>
      <c r="AI20" s="2">
        <v>13993183.31484101</v>
      </c>
      <c r="AJ20" s="2">
        <f>AH20-AI20</f>
        <v>-19311989.403555304</v>
      </c>
      <c r="AK20" s="3">
        <v>0.15</v>
      </c>
    </row>
    <row r="21" spans="1:37">
      <c r="A21" s="2">
        <v>20</v>
      </c>
      <c r="B21" s="2">
        <v>2028</v>
      </c>
      <c r="C21" s="2">
        <v>23</v>
      </c>
      <c r="D21" s="2">
        <v>360489.7</v>
      </c>
      <c r="E21" s="2">
        <v>8291263.100000001</v>
      </c>
      <c r="F21" s="2">
        <f>E21/1.19</f>
        <v>6967447.983193278</v>
      </c>
      <c r="G21" s="2">
        <v>30</v>
      </c>
      <c r="H21" s="2">
        <v>2324999.092436975</v>
      </c>
      <c r="I21" s="2">
        <v>58</v>
      </c>
      <c r="J21" s="2">
        <v>4490023.497895597</v>
      </c>
      <c r="K21" s="2">
        <v>1780526.559510323</v>
      </c>
      <c r="L21" s="2">
        <v>699145.2797608258</v>
      </c>
      <c r="M21" s="2">
        <v>2398612.5</v>
      </c>
      <c r="N21" s="3">
        <v>0.5</v>
      </c>
      <c r="O21" s="3">
        <v>0</v>
      </c>
      <c r="P21" s="2">
        <v>133900</v>
      </c>
      <c r="Q21" s="2">
        <v>179632</v>
      </c>
      <c r="R21" s="2">
        <v>0</v>
      </c>
      <c r="S21" s="2">
        <v>288400</v>
      </c>
      <c r="T21" s="2">
        <v>901250</v>
      </c>
      <c r="U21" s="2">
        <f>M21+P21+Q21+R21+S21+T21</f>
        <v>3901794.5</v>
      </c>
      <c r="V21" s="2">
        <f>F21-K21-L21-U21</f>
        <v>585981.6439221306</v>
      </c>
      <c r="W21" s="2">
        <v>238308.1476522611</v>
      </c>
      <c r="X21" s="2">
        <v>149345.5239614082</v>
      </c>
      <c r="Y21" s="2">
        <f>W21+X21</f>
        <v>387653.6716136693</v>
      </c>
      <c r="Z21" s="2">
        <v>24965350.23293707</v>
      </c>
      <c r="AA21" s="2">
        <v>0</v>
      </c>
      <c r="AB21" s="2">
        <v>0</v>
      </c>
      <c r="AC21" s="2">
        <v>0</v>
      </c>
      <c r="AD21" s="2">
        <v>145488.6425210084</v>
      </c>
      <c r="AE21" s="2">
        <v>436465.9275630252</v>
      </c>
      <c r="AF21" s="2">
        <f>F21-H21-L21-U21-AA21-AC21-AD21</f>
        <v>-103979.53152553085</v>
      </c>
      <c r="AG21" s="2">
        <f>F21-H21-L21-U21-AA21-AB21-AD21-Y21</f>
        <v>-491633.20313920017</v>
      </c>
      <c r="AH21" s="2">
        <f>AH20+AG21</f>
        <v>-5810439.291853495</v>
      </c>
      <c r="AI21" s="2">
        <v>13993183.31484101</v>
      </c>
      <c r="AJ21" s="2">
        <f>AH21-AI21</f>
        <v>-19803622.606694505</v>
      </c>
      <c r="AK21" s="3">
        <v>0.15</v>
      </c>
    </row>
    <row r="22" spans="1:37">
      <c r="A22" s="2">
        <v>21</v>
      </c>
      <c r="B22" s="2">
        <v>2028</v>
      </c>
      <c r="C22" s="2">
        <v>25</v>
      </c>
      <c r="D22" s="2">
        <v>360489.7</v>
      </c>
      <c r="E22" s="2">
        <v>9012242.5</v>
      </c>
      <c r="F22" s="2">
        <f>E22/1.19</f>
        <v>7573313.025210084</v>
      </c>
      <c r="G22" s="2">
        <v>30</v>
      </c>
      <c r="H22" s="2">
        <v>2324999.092436975</v>
      </c>
      <c r="I22" s="2">
        <v>63</v>
      </c>
      <c r="J22" s="2">
        <v>4878936.627169909</v>
      </c>
      <c r="K22" s="2">
        <v>1936085.963162662</v>
      </c>
      <c r="L22" s="2">
        <v>759999.002053013</v>
      </c>
      <c r="M22" s="2">
        <v>2398612.5</v>
      </c>
      <c r="N22" s="3">
        <v>0.5</v>
      </c>
      <c r="O22" s="3">
        <v>0</v>
      </c>
      <c r="P22" s="2">
        <v>133900</v>
      </c>
      <c r="Q22" s="2">
        <v>179632</v>
      </c>
      <c r="R22" s="2">
        <v>0</v>
      </c>
      <c r="S22" s="2">
        <v>288400</v>
      </c>
      <c r="T22" s="2">
        <v>901250</v>
      </c>
      <c r="U22" s="2">
        <f>M22+P22+Q22+R22+S22+T22</f>
        <v>3901794.5</v>
      </c>
      <c r="V22" s="2">
        <f>F22-K22-L22-U22</f>
        <v>975433.5599944089</v>
      </c>
      <c r="W22" s="2">
        <v>236891.0388996845</v>
      </c>
      <c r="X22" s="2">
        <v>150762.6327139848</v>
      </c>
      <c r="Y22" s="2">
        <f>W22+X22</f>
        <v>387653.6716136693</v>
      </c>
      <c r="Z22" s="2">
        <v>24814587.60022309</v>
      </c>
      <c r="AA22" s="2">
        <v>0</v>
      </c>
      <c r="AB22" s="2">
        <v>0</v>
      </c>
      <c r="AC22" s="2">
        <v>0</v>
      </c>
      <c r="AD22" s="2">
        <v>0</v>
      </c>
      <c r="AE22" s="2">
        <v>436465.9275630252</v>
      </c>
      <c r="AF22" s="2">
        <f>F22-H22-L22-U22-AA22-AC22-AD22</f>
        <v>586520.4307200965</v>
      </c>
      <c r="AG22" s="2">
        <f>F22-H22-L22-U22-AA22-AB22-AD22-Y22</f>
        <v>198866.75910642714</v>
      </c>
      <c r="AH22" s="2">
        <f>AH21+AG22</f>
        <v>-5611572.5327470675</v>
      </c>
      <c r="AI22" s="2">
        <v>13993183.31484101</v>
      </c>
      <c r="AJ22" s="2">
        <f>AH22-AI22</f>
        <v>-19604755.847588077</v>
      </c>
      <c r="AK22" s="3">
        <v>0.15</v>
      </c>
    </row>
    <row r="23" spans="1:37">
      <c r="A23" s="2">
        <v>22</v>
      </c>
      <c r="B23" s="2">
        <v>2028</v>
      </c>
      <c r="C23" s="2">
        <v>30</v>
      </c>
      <c r="D23" s="2">
        <v>360489.7</v>
      </c>
      <c r="E23" s="2">
        <v>10814691</v>
      </c>
      <c r="F23" s="2">
        <f>E23/1.19</f>
        <v>9087975.6302521</v>
      </c>
      <c r="G23" s="2">
        <v>40</v>
      </c>
      <c r="H23" s="2">
        <v>3099998.789915966</v>
      </c>
      <c r="I23" s="2">
        <v>73</v>
      </c>
      <c r="J23" s="2">
        <v>5654973.645119116</v>
      </c>
      <c r="K23" s="2">
        <v>2323961.77196676</v>
      </c>
      <c r="L23" s="2">
        <v>912051.4917573408</v>
      </c>
      <c r="M23" s="2">
        <v>2398612.5</v>
      </c>
      <c r="N23" s="3">
        <v>0.5</v>
      </c>
      <c r="O23" s="3">
        <v>0</v>
      </c>
      <c r="P23" s="2">
        <v>133900</v>
      </c>
      <c r="Q23" s="2">
        <v>179632</v>
      </c>
      <c r="R23" s="2">
        <v>0</v>
      </c>
      <c r="S23" s="2">
        <v>288400</v>
      </c>
      <c r="T23" s="2">
        <v>901250</v>
      </c>
      <c r="U23" s="2">
        <f>M23+P23+Q23+R23+S23+T23</f>
        <v>3901794.5</v>
      </c>
      <c r="V23" s="2">
        <f>F23-K23-L23-U23</f>
        <v>1950167.8665280007</v>
      </c>
      <c r="W23" s="2">
        <v>235460.4834955889</v>
      </c>
      <c r="X23" s="2">
        <v>152193.1881180804</v>
      </c>
      <c r="Y23" s="2">
        <f>W23+X23</f>
        <v>387653.6716136693</v>
      </c>
      <c r="Z23" s="2">
        <v>24662394.41210501</v>
      </c>
      <c r="AA23" s="2">
        <v>0</v>
      </c>
      <c r="AB23" s="2">
        <v>0</v>
      </c>
      <c r="AC23" s="2">
        <v>0</v>
      </c>
      <c r="AD23" s="2">
        <v>145488.6425210084</v>
      </c>
      <c r="AE23" s="2">
        <v>581954.5700840337</v>
      </c>
      <c r="AF23" s="2">
        <f>F23-H23-L23-U23-AA23-AC23-AD23</f>
        <v>1028642.2060577855</v>
      </c>
      <c r="AG23" s="2">
        <f>F23-H23-L23-U23-AA23-AB23-AD23-Y23</f>
        <v>640988.5344441163</v>
      </c>
      <c r="AH23" s="2">
        <f>AH22+AG23</f>
        <v>-4970583.998302951</v>
      </c>
      <c r="AI23" s="2">
        <v>13993183.31484101</v>
      </c>
      <c r="AJ23" s="2">
        <f>AH23-AI23</f>
        <v>-18963767.31314396</v>
      </c>
      <c r="AK23" s="3">
        <v>0.15</v>
      </c>
    </row>
    <row r="24" spans="1:37">
      <c r="A24" s="2">
        <v>23</v>
      </c>
      <c r="B24" s="2">
        <v>2028</v>
      </c>
      <c r="C24" s="2">
        <v>32</v>
      </c>
      <c r="D24" s="2">
        <v>360489.7</v>
      </c>
      <c r="E24" s="2">
        <v>11535670.4</v>
      </c>
      <c r="F24" s="2">
        <f>E24/1.19</f>
        <v>9693840.672268908</v>
      </c>
      <c r="G24" s="2">
        <v>10</v>
      </c>
      <c r="H24" s="2">
        <v>774999.6974789916</v>
      </c>
      <c r="I24" s="2">
        <v>51</v>
      </c>
      <c r="J24" s="2">
        <v>3950947.475572331</v>
      </c>
      <c r="K24" s="2">
        <v>2479025.867025776</v>
      </c>
      <c r="L24" s="2">
        <v>972865.5893620622</v>
      </c>
      <c r="M24" s="2">
        <v>2398612.5</v>
      </c>
      <c r="N24" s="3">
        <v>0.5</v>
      </c>
      <c r="O24" s="3">
        <v>0</v>
      </c>
      <c r="P24" s="2">
        <v>133900</v>
      </c>
      <c r="Q24" s="2">
        <v>179632</v>
      </c>
      <c r="R24" s="2">
        <v>0</v>
      </c>
      <c r="S24" s="2">
        <v>288400</v>
      </c>
      <c r="T24" s="2">
        <v>901250</v>
      </c>
      <c r="U24" s="2">
        <f>M24+P24+Q24+R24+S24+T24</f>
        <v>3901794.5</v>
      </c>
      <c r="V24" s="2">
        <f>F24-K24-L24-U24</f>
        <v>2340154.71588107</v>
      </c>
      <c r="W24" s="2">
        <v>234016.3538474824</v>
      </c>
      <c r="X24" s="2">
        <v>153637.317766187</v>
      </c>
      <c r="Y24" s="2">
        <f>W24+X24</f>
        <v>387653.6716136693</v>
      </c>
      <c r="Z24" s="2">
        <v>24508757.09433882</v>
      </c>
      <c r="AA24" s="2">
        <v>0</v>
      </c>
      <c r="AB24" s="2">
        <v>0</v>
      </c>
      <c r="AC24" s="2">
        <v>0</v>
      </c>
      <c r="AD24" s="2">
        <v>-436465.9275630253</v>
      </c>
      <c r="AE24" s="2">
        <v>145488.6425210084</v>
      </c>
      <c r="AF24" s="2">
        <f>F24-H24-L24-U24-AA24-AC24-AD24</f>
        <v>4480646.812990881</v>
      </c>
      <c r="AG24" s="2">
        <f>F24-H24-L24-U24-AA24-AB24-AD24-Y24</f>
        <v>4092993.141377211</v>
      </c>
      <c r="AH24" s="2">
        <f>AH23+AG24</f>
        <v>-877590.8569257404</v>
      </c>
      <c r="AI24" s="2">
        <v>13993183.31484101</v>
      </c>
      <c r="AJ24" s="2">
        <f>AH24-AI24</f>
        <v>-14870774.171766749</v>
      </c>
      <c r="AK24" s="3">
        <v>0.15</v>
      </c>
    </row>
    <row r="25" spans="1:37">
      <c r="A25" s="2">
        <v>24</v>
      </c>
      <c r="B25" s="2">
        <v>2028</v>
      </c>
      <c r="C25" s="2">
        <v>39</v>
      </c>
      <c r="D25" s="2">
        <v>360489.7</v>
      </c>
      <c r="E25" s="2">
        <v>14059098.3</v>
      </c>
      <c r="F25" s="2">
        <f>E25/1.19</f>
        <v>11814368.319327733</v>
      </c>
      <c r="G25" s="2">
        <v>10</v>
      </c>
      <c r="H25" s="2">
        <v>774999.6974789916</v>
      </c>
      <c r="I25" s="2">
        <v>22</v>
      </c>
      <c r="J25" s="2">
        <v>1704439.964051296</v>
      </c>
      <c r="K25" s="2">
        <v>3021507.209000026</v>
      </c>
      <c r="L25" s="2">
        <v>1185695.491720002</v>
      </c>
      <c r="M25" s="2">
        <v>2398612.5</v>
      </c>
      <c r="N25" s="3">
        <v>0.5</v>
      </c>
      <c r="O25" s="3">
        <v>0</v>
      </c>
      <c r="P25" s="2">
        <v>133900</v>
      </c>
      <c r="Q25" s="2">
        <v>179632</v>
      </c>
      <c r="R25" s="2">
        <v>0</v>
      </c>
      <c r="S25" s="2">
        <v>288400</v>
      </c>
      <c r="T25" s="2">
        <v>901250</v>
      </c>
      <c r="U25" s="2">
        <f>M25+P25+Q25+R25+S25+T25</f>
        <v>3901794.5</v>
      </c>
      <c r="V25" s="2">
        <f>F25-K25-L25-U25</f>
        <v>3705371.1186077036</v>
      </c>
      <c r="W25" s="2">
        <v>232558.5211521743</v>
      </c>
      <c r="X25" s="2">
        <v>155095.150461495</v>
      </c>
      <c r="Y25" s="2">
        <f>W25+X25</f>
        <v>387653.6716136693</v>
      </c>
      <c r="Z25" s="2">
        <v>24353661.94387732</v>
      </c>
      <c r="AA25" s="2">
        <v>0</v>
      </c>
      <c r="AB25" s="2">
        <v>0</v>
      </c>
      <c r="AC25" s="2">
        <v>0</v>
      </c>
      <c r="AD25" s="2">
        <v>0</v>
      </c>
      <c r="AE25" s="2">
        <v>145488.6425210084</v>
      </c>
      <c r="AF25" s="2">
        <f>F25-H25-L25-U25-AA25-AC25-AD25</f>
        <v>5951878.630128739</v>
      </c>
      <c r="AG25" s="2">
        <f>F25-H25-L25-U25-AA25-AB25-AD25-Y25</f>
        <v>5564224.95851507</v>
      </c>
      <c r="AH25" s="2">
        <f>AH24+AG25</f>
        <v>4686634.10158933</v>
      </c>
      <c r="AI25" s="2">
        <v>13993183.31484101</v>
      </c>
      <c r="AJ25" s="2">
        <f>AH25-AI25</f>
        <v>-9306549.213251678</v>
      </c>
      <c r="AK25" s="3">
        <v>0.15</v>
      </c>
    </row>
    <row r="26" spans="1:37">
      <c r="A26" s="2">
        <v>25</v>
      </c>
      <c r="B26" s="2">
        <v>2029</v>
      </c>
      <c r="C26" s="2">
        <v>7</v>
      </c>
      <c r="D26" s="2">
        <v>371304.391</v>
      </c>
      <c r="E26" s="2">
        <v>2599130.737</v>
      </c>
      <c r="F26" s="2">
        <f>E26/1.19</f>
        <v>2184143.4764705882</v>
      </c>
      <c r="G26" s="2">
        <v>10</v>
      </c>
      <c r="H26" s="2">
        <v>798249.6884033612</v>
      </c>
      <c r="I26" s="2">
        <v>25</v>
      </c>
      <c r="J26" s="2">
        <v>1955226.290980201</v>
      </c>
      <c r="K26" s="2">
        <v>547463.3614744563</v>
      </c>
      <c r="L26" s="2">
        <v>218311.4057679565</v>
      </c>
      <c r="M26" s="2">
        <v>3437316</v>
      </c>
      <c r="N26" s="3">
        <v>0.5</v>
      </c>
      <c r="O26" s="3">
        <v>0.5</v>
      </c>
      <c r="P26" s="2">
        <v>148526</v>
      </c>
      <c r="Q26" s="2">
        <v>214354.845</v>
      </c>
      <c r="R26" s="2">
        <v>0</v>
      </c>
      <c r="S26" s="2">
        <v>297052</v>
      </c>
      <c r="T26" s="2">
        <v>1326125</v>
      </c>
      <c r="U26" s="2">
        <f>M26+P26+Q26+R26+S26+T26</f>
        <v>5423373.845000001</v>
      </c>
      <c r="V26" s="2">
        <f>F26-K26-L26-U26</f>
        <v>-4005005.135771825</v>
      </c>
      <c r="W26" s="2">
        <v>231086.8553842872</v>
      </c>
      <c r="X26" s="2">
        <v>156566.8162293822</v>
      </c>
      <c r="Y26" s="2">
        <f>W26+X26</f>
        <v>387653.6716136693</v>
      </c>
      <c r="Z26" s="2">
        <v>24197095.12764794</v>
      </c>
      <c r="AA26" s="2">
        <v>0</v>
      </c>
      <c r="AB26" s="2">
        <v>0</v>
      </c>
      <c r="AC26" s="2">
        <v>0</v>
      </c>
      <c r="AD26" s="2">
        <v>4364.659275630227</v>
      </c>
      <c r="AE26" s="2">
        <v>149853.3017966386</v>
      </c>
      <c r="AF26" s="2">
        <f>F26-H26-L26-U26-AA26-AC26-AD26</f>
        <v>-4260156.121976361</v>
      </c>
      <c r="AG26" s="2">
        <f>F26-H26-L26-U26-AA26-AB26-AD26-Y26</f>
        <v>-4647809.79359003</v>
      </c>
      <c r="AH26" s="2">
        <f>AH25+AG26</f>
        <v>38824.30799929984</v>
      </c>
      <c r="AI26" s="2">
        <v>18557921.34984101</v>
      </c>
      <c r="AJ26" s="2">
        <f>AH26-AI26</f>
        <v>-18519097.041841708</v>
      </c>
      <c r="AK26" s="3">
        <v>0.25</v>
      </c>
    </row>
    <row r="27" spans="1:37">
      <c r="A27" s="2">
        <v>26</v>
      </c>
      <c r="B27" s="2">
        <v>2029</v>
      </c>
      <c r="C27" s="2">
        <v>10</v>
      </c>
      <c r="D27" s="2">
        <v>371304.391</v>
      </c>
      <c r="E27" s="2">
        <v>3713043.91</v>
      </c>
      <c r="F27" s="2">
        <f>E27/1.19</f>
        <v>3120204.9663865543</v>
      </c>
      <c r="G27" s="2">
        <v>20</v>
      </c>
      <c r="H27" s="2">
        <v>1596499.376806722</v>
      </c>
      <c r="I27" s="2">
        <v>35</v>
      </c>
      <c r="J27" s="2">
        <v>2762453.297167608</v>
      </c>
      <c r="K27" s="2">
        <v>789272.3706193165</v>
      </c>
      <c r="L27" s="2">
        <v>312447.9851495453</v>
      </c>
      <c r="M27" s="2">
        <v>3437316</v>
      </c>
      <c r="N27" s="3">
        <v>0.5</v>
      </c>
      <c r="O27" s="3">
        <v>0.5</v>
      </c>
      <c r="P27" s="2">
        <v>148526</v>
      </c>
      <c r="Q27" s="2">
        <v>214354.845</v>
      </c>
      <c r="R27" s="2">
        <v>0</v>
      </c>
      <c r="S27" s="2">
        <v>297052</v>
      </c>
      <c r="T27" s="2">
        <v>1326125</v>
      </c>
      <c r="U27" s="2">
        <f>M27+P27+Q27+R27+S27+T27</f>
        <v>5423373.845000001</v>
      </c>
      <c r="V27" s="2">
        <f>F27-K27-L27-U27</f>
        <v>-3404889.234382308</v>
      </c>
      <c r="W27" s="2">
        <v>229601.2252846597</v>
      </c>
      <c r="X27" s="2">
        <v>158052.4463290097</v>
      </c>
      <c r="Y27" s="2">
        <f>W27+X27</f>
        <v>387653.6716136693</v>
      </c>
      <c r="Z27" s="2">
        <v>24039042.68131894</v>
      </c>
      <c r="AA27" s="2">
        <v>0</v>
      </c>
      <c r="AB27" s="2">
        <v>0</v>
      </c>
      <c r="AC27" s="2">
        <v>0</v>
      </c>
      <c r="AD27" s="2">
        <v>149853.3017966386</v>
      </c>
      <c r="AE27" s="2">
        <v>299706.6035932773</v>
      </c>
      <c r="AF27" s="2">
        <f>F27-H27-L27-U27-AA27-AC27-AD27</f>
        <v>-4361969.542366353</v>
      </c>
      <c r="AG27" s="2">
        <f>F27-H27-L27-U27-AA27-AB27-AD27-Y27</f>
        <v>-4749623.213980022</v>
      </c>
      <c r="AH27" s="2">
        <f>AH26+AG27</f>
        <v>-4710798.905980722</v>
      </c>
      <c r="AI27" s="2">
        <v>18557921.34984101</v>
      </c>
      <c r="AJ27" s="2">
        <f>AH27-AI27</f>
        <v>-23268720.25582173</v>
      </c>
      <c r="AK27" s="3">
        <v>0.25</v>
      </c>
    </row>
    <row r="28" spans="1:37">
      <c r="A28" s="2">
        <v>27</v>
      </c>
      <c r="B28" s="2">
        <v>2029</v>
      </c>
      <c r="C28" s="2">
        <v>13</v>
      </c>
      <c r="D28" s="2">
        <v>371304.391</v>
      </c>
      <c r="E28" s="2">
        <v>4826957.083</v>
      </c>
      <c r="F28" s="2">
        <f>E28/1.19</f>
        <v>4056266.456302521</v>
      </c>
      <c r="G28" s="2">
        <v>20</v>
      </c>
      <c r="H28" s="2">
        <v>1596499.376806722</v>
      </c>
      <c r="I28" s="2">
        <v>42</v>
      </c>
      <c r="J28" s="2">
        <v>3328654.769216761</v>
      </c>
      <c r="K28" s="2">
        <v>1030297.904757569</v>
      </c>
      <c r="L28" s="2">
        <v>406521.8865306055</v>
      </c>
      <c r="M28" s="2">
        <v>3437316</v>
      </c>
      <c r="N28" s="3">
        <v>0.5</v>
      </c>
      <c r="O28" s="3">
        <v>0.5</v>
      </c>
      <c r="P28" s="2">
        <v>148526</v>
      </c>
      <c r="Q28" s="2">
        <v>214354.845</v>
      </c>
      <c r="R28" s="2">
        <v>0</v>
      </c>
      <c r="S28" s="2">
        <v>297052</v>
      </c>
      <c r="T28" s="2">
        <v>1326125</v>
      </c>
      <c r="U28" s="2">
        <f>M28+P28+Q28+R28+S28+T28</f>
        <v>5423373.845000001</v>
      </c>
      <c r="V28" s="2">
        <f>F28-K28-L28-U28</f>
        <v>-2803927.179985654</v>
      </c>
      <c r="W28" s="2">
        <v>228101.4983486394</v>
      </c>
      <c r="X28" s="2">
        <v>159552.1732650299</v>
      </c>
      <c r="Y28" s="2">
        <f>W28+X28</f>
        <v>387653.6716136693</v>
      </c>
      <c r="Z28" s="2">
        <v>23879490.50805391</v>
      </c>
      <c r="AA28" s="2">
        <v>0</v>
      </c>
      <c r="AB28" s="2">
        <v>0</v>
      </c>
      <c r="AC28" s="2">
        <v>0</v>
      </c>
      <c r="AD28" s="2">
        <v>0</v>
      </c>
      <c r="AE28" s="2">
        <v>299706.6035932773</v>
      </c>
      <c r="AF28" s="2">
        <f>F28-H28-L28-U28-AA28-AC28-AD28</f>
        <v>-3370128.652034808</v>
      </c>
      <c r="AG28" s="2">
        <f>F28-H28-L28-U28-AA28-AB28-AD28-Y28</f>
        <v>-3757782.3236484774</v>
      </c>
      <c r="AH28" s="2">
        <f>AH27+AG28</f>
        <v>-8468581.2296292</v>
      </c>
      <c r="AI28" s="2">
        <v>18557921.34984101</v>
      </c>
      <c r="AJ28" s="2">
        <f>AH28-AI28</f>
        <v>-27026502.57947021</v>
      </c>
      <c r="AK28" s="3">
        <v>0.25</v>
      </c>
    </row>
    <row r="29" spans="1:37">
      <c r="A29" s="2">
        <v>28</v>
      </c>
      <c r="B29" s="2">
        <v>2029</v>
      </c>
      <c r="C29" s="2">
        <v>16</v>
      </c>
      <c r="D29" s="2">
        <v>371304.391</v>
      </c>
      <c r="E29" s="2">
        <v>5940870.256</v>
      </c>
      <c r="F29" s="2">
        <f>E29/1.19</f>
        <v>4992327.946218488</v>
      </c>
      <c r="G29" s="2">
        <v>20</v>
      </c>
      <c r="H29" s="2">
        <v>1596499.376806722</v>
      </c>
      <c r="I29" s="2">
        <v>46</v>
      </c>
      <c r="J29" s="2">
        <v>3654146.624469036</v>
      </c>
      <c r="K29" s="2">
        <v>1271007.521554447</v>
      </c>
      <c r="L29" s="2">
        <v>500570.5145243558</v>
      </c>
      <c r="M29" s="2">
        <v>3437316</v>
      </c>
      <c r="N29" s="3">
        <v>0.5</v>
      </c>
      <c r="O29" s="3">
        <v>0.5</v>
      </c>
      <c r="P29" s="2">
        <v>148526</v>
      </c>
      <c r="Q29" s="2">
        <v>214354.845</v>
      </c>
      <c r="R29" s="2">
        <v>0</v>
      </c>
      <c r="S29" s="2">
        <v>297052</v>
      </c>
      <c r="T29" s="2">
        <v>1326125</v>
      </c>
      <c r="U29" s="2">
        <f>M29+P29+Q29+R29+S29+T29</f>
        <v>5423373.845000001</v>
      </c>
      <c r="V29" s="2">
        <f>F29-K29-L29-U29</f>
        <v>-2202623.9348603166</v>
      </c>
      <c r="W29" s="2">
        <v>226587.5408142648</v>
      </c>
      <c r="X29" s="2">
        <v>161066.1307994045</v>
      </c>
      <c r="Y29" s="2">
        <f>W29+X29</f>
        <v>387653.6716136693</v>
      </c>
      <c r="Z29" s="2">
        <v>23718424.3772545</v>
      </c>
      <c r="AA29" s="2">
        <v>0</v>
      </c>
      <c r="AB29" s="2">
        <v>0</v>
      </c>
      <c r="AC29" s="2">
        <v>0</v>
      </c>
      <c r="AD29" s="2">
        <v>0</v>
      </c>
      <c r="AE29" s="2">
        <v>299706.6035932773</v>
      </c>
      <c r="AF29" s="2">
        <f>F29-H29-L29-U29-AA29-AC29-AD29</f>
        <v>-2528115.7901125913</v>
      </c>
      <c r="AG29" s="2">
        <f>F29-H29-L29-U29-AA29-AB29-AD29-Y29</f>
        <v>-2915769.461726261</v>
      </c>
      <c r="AH29" s="2">
        <f>AH28+AG29</f>
        <v>-11384350.691355461</v>
      </c>
      <c r="AI29" s="2">
        <v>18557921.34984101</v>
      </c>
      <c r="AJ29" s="2">
        <f>AH29-AI29</f>
        <v>-29942272.041196473</v>
      </c>
      <c r="AK29" s="3">
        <v>0.25</v>
      </c>
    </row>
    <row r="30" spans="1:37">
      <c r="A30" s="2">
        <v>29</v>
      </c>
      <c r="B30" s="2">
        <v>2029</v>
      </c>
      <c r="C30" s="2">
        <v>20</v>
      </c>
      <c r="D30" s="2">
        <v>371304.391</v>
      </c>
      <c r="E30" s="2">
        <v>7426087.819999999</v>
      </c>
      <c r="F30" s="2">
        <f>E30/1.19</f>
        <v>6240409.932773109</v>
      </c>
      <c r="G30" s="2">
        <v>30</v>
      </c>
      <c r="H30" s="2">
        <v>2394749.065210084</v>
      </c>
      <c r="I30" s="2">
        <v>56</v>
      </c>
      <c r="J30" s="2">
        <v>4457081.034500404</v>
      </c>
      <c r="K30" s="2">
        <v>1591814.655178716</v>
      </c>
      <c r="L30" s="2">
        <v>625957.5634142973</v>
      </c>
      <c r="M30" s="2">
        <v>3437316</v>
      </c>
      <c r="N30" s="3">
        <v>0.5</v>
      </c>
      <c r="O30" s="3">
        <v>0.5</v>
      </c>
      <c r="P30" s="2">
        <v>148526</v>
      </c>
      <c r="Q30" s="2">
        <v>214354.845</v>
      </c>
      <c r="R30" s="2">
        <v>0</v>
      </c>
      <c r="S30" s="2">
        <v>297052</v>
      </c>
      <c r="T30" s="2">
        <v>1326125</v>
      </c>
      <c r="U30" s="2">
        <f>M30+P30+Q30+R30+S30+T30</f>
        <v>5423373.845000001</v>
      </c>
      <c r="V30" s="2">
        <f>F30-K30-L30-U30</f>
        <v>-1400736.1308199046</v>
      </c>
      <c r="W30" s="2">
        <v>225059.2176503348</v>
      </c>
      <c r="X30" s="2">
        <v>162594.4539633345</v>
      </c>
      <c r="Y30" s="2">
        <f>W30+X30</f>
        <v>387653.6716136693</v>
      </c>
      <c r="Z30" s="2">
        <v>23555829.92329117</v>
      </c>
      <c r="AA30" s="2">
        <v>0</v>
      </c>
      <c r="AB30" s="2">
        <v>0</v>
      </c>
      <c r="AC30" s="2">
        <v>0</v>
      </c>
      <c r="AD30" s="2">
        <v>149853.3017966386</v>
      </c>
      <c r="AE30" s="2">
        <v>449559.9053899159</v>
      </c>
      <c r="AF30" s="2">
        <f>F30-H30-L30-U30-AA30-AC30-AD30</f>
        <v>-2353523.842647912</v>
      </c>
      <c r="AG30" s="2">
        <f>F30-H30-L30-U30-AA30-AB30-AD30-Y30</f>
        <v>-2741177.5142615815</v>
      </c>
      <c r="AH30" s="2">
        <f>AH29+AG30</f>
        <v>-14125528.205617042</v>
      </c>
      <c r="AI30" s="2">
        <v>18557921.34984101</v>
      </c>
      <c r="AJ30" s="2">
        <f>AH30-AI30</f>
        <v>-32683449.555458054</v>
      </c>
      <c r="AK30" s="3">
        <v>0.25</v>
      </c>
    </row>
    <row r="31" spans="1:37">
      <c r="A31" s="2">
        <v>30</v>
      </c>
      <c r="B31" s="2">
        <v>2029</v>
      </c>
      <c r="C31" s="2">
        <v>23</v>
      </c>
      <c r="D31" s="2">
        <v>371304.391</v>
      </c>
      <c r="E31" s="2">
        <v>8540000.992999999</v>
      </c>
      <c r="F31" s="2">
        <f>E31/1.19</f>
        <v>7176471.422689075</v>
      </c>
      <c r="G31" s="2">
        <v>30</v>
      </c>
      <c r="H31" s="2">
        <v>2394749.065210084</v>
      </c>
      <c r="I31" s="2">
        <v>63</v>
      </c>
      <c r="J31" s="2">
        <v>5019363.910253032</v>
      </c>
      <c r="K31" s="2">
        <v>1832466.189457456</v>
      </c>
      <c r="L31" s="2">
        <v>720001.5448065964</v>
      </c>
      <c r="M31" s="2">
        <v>3437316</v>
      </c>
      <c r="N31" s="3">
        <v>0.5</v>
      </c>
      <c r="O31" s="3">
        <v>0.5</v>
      </c>
      <c r="P31" s="2">
        <v>148526</v>
      </c>
      <c r="Q31" s="2">
        <v>214354.845</v>
      </c>
      <c r="R31" s="2">
        <v>0</v>
      </c>
      <c r="S31" s="2">
        <v>297052</v>
      </c>
      <c r="T31" s="2">
        <v>1326125</v>
      </c>
      <c r="U31" s="2">
        <f>M31+P31+Q31+R31+S31+T31</f>
        <v>5423373.845000001</v>
      </c>
      <c r="V31" s="2">
        <f>F31-K31-L31-U31</f>
        <v>-799370.1565749776</v>
      </c>
      <c r="W31" s="2">
        <v>223516.3925443651</v>
      </c>
      <c r="X31" s="2">
        <v>164137.2790693042</v>
      </c>
      <c r="Y31" s="2">
        <f>W31+X31</f>
        <v>387653.6716136693</v>
      </c>
      <c r="Z31" s="2">
        <v>23391692.64422186</v>
      </c>
      <c r="AA31" s="2">
        <v>0</v>
      </c>
      <c r="AB31" s="2">
        <v>0</v>
      </c>
      <c r="AC31" s="2">
        <v>0</v>
      </c>
      <c r="AD31" s="2">
        <v>0</v>
      </c>
      <c r="AE31" s="2">
        <v>449559.9053899159</v>
      </c>
      <c r="AF31" s="2">
        <f>F31-H31-L31-U31-AA31-AC31-AD31</f>
        <v>-1361653.0323276059</v>
      </c>
      <c r="AG31" s="2">
        <f>F31-H31-L31-U31-AA31-AB31-AD31-Y31</f>
        <v>-1749306.7039412751</v>
      </c>
      <c r="AH31" s="2">
        <f>AH30+AG31</f>
        <v>-15874834.909558317</v>
      </c>
      <c r="AI31" s="2">
        <v>18557921.34984101</v>
      </c>
      <c r="AJ31" s="2">
        <f>AH31-AI31</f>
        <v>-34432756.259399325</v>
      </c>
      <c r="AK31" s="3">
        <v>0.25</v>
      </c>
    </row>
    <row r="32" spans="1:37">
      <c r="A32" s="2">
        <v>31</v>
      </c>
      <c r="B32" s="2">
        <v>2029</v>
      </c>
      <c r="C32" s="2">
        <v>26</v>
      </c>
      <c r="D32" s="2">
        <v>371304.391</v>
      </c>
      <c r="E32" s="2">
        <v>9653914.165999999</v>
      </c>
      <c r="F32" s="2">
        <f>E32/1.19</f>
        <v>8112532.912605042</v>
      </c>
      <c r="G32" s="2">
        <v>40</v>
      </c>
      <c r="H32" s="2">
        <v>3192998.753613445</v>
      </c>
      <c r="I32" s="2">
        <v>77</v>
      </c>
      <c r="J32" s="2">
        <v>6139339.078812803</v>
      </c>
      <c r="K32" s="2">
        <v>2073023.585053674</v>
      </c>
      <c r="L32" s="2">
        <v>814037.9951042939</v>
      </c>
      <c r="M32" s="2">
        <v>3437316</v>
      </c>
      <c r="N32" s="3">
        <v>0.5</v>
      </c>
      <c r="O32" s="3">
        <v>0.5</v>
      </c>
      <c r="P32" s="2">
        <v>148526</v>
      </c>
      <c r="Q32" s="2">
        <v>214354.845</v>
      </c>
      <c r="R32" s="2">
        <v>0</v>
      </c>
      <c r="S32" s="2">
        <v>297052</v>
      </c>
      <c r="T32" s="2">
        <v>1326125</v>
      </c>
      <c r="U32" s="2">
        <f>M32+P32+Q32+R32+S32+T32</f>
        <v>5423373.845000001</v>
      </c>
      <c r="V32" s="2">
        <f>F32-K32-L32-U32</f>
        <v>-197902.51255292725</v>
      </c>
      <c r="W32" s="2">
        <v>221958.9278904306</v>
      </c>
      <c r="X32" s="2">
        <v>165694.7437232387</v>
      </c>
      <c r="Y32" s="2">
        <f>W32+X32</f>
        <v>387653.6716136693</v>
      </c>
      <c r="Z32" s="2">
        <v>23225997.90049862</v>
      </c>
      <c r="AA32" s="2">
        <v>0</v>
      </c>
      <c r="AB32" s="2">
        <v>0</v>
      </c>
      <c r="AC32" s="2">
        <v>0</v>
      </c>
      <c r="AD32" s="2">
        <v>149853.3017966386</v>
      </c>
      <c r="AE32" s="2">
        <v>599413.2071865546</v>
      </c>
      <c r="AF32" s="2">
        <f>F32-H32-L32-U32-AA32-AC32-AD32</f>
        <v>-1467730.9829093365</v>
      </c>
      <c r="AG32" s="2">
        <f>F32-H32-L32-U32-AA32-AB32-AD32-Y32</f>
        <v>-1855384.6545230057</v>
      </c>
      <c r="AH32" s="2">
        <f>AH31+AG32</f>
        <v>-17730219.564081322</v>
      </c>
      <c r="AI32" s="2">
        <v>18557921.34984101</v>
      </c>
      <c r="AJ32" s="2">
        <f>AH32-AI32</f>
        <v>-36288140.91392233</v>
      </c>
      <c r="AK32" s="3">
        <v>0.25</v>
      </c>
    </row>
    <row r="33" spans="1:37">
      <c r="A33" s="2">
        <v>32</v>
      </c>
      <c r="B33" s="2">
        <v>2029</v>
      </c>
      <c r="C33" s="2">
        <v>32</v>
      </c>
      <c r="D33" s="2">
        <v>371304.391</v>
      </c>
      <c r="E33" s="2">
        <v>11881740.512</v>
      </c>
      <c r="F33" s="2">
        <f>E33/1.19</f>
        <v>9984655.892436976</v>
      </c>
      <c r="G33" s="2">
        <v>40</v>
      </c>
      <c r="H33" s="2">
        <v>3192998.753613445</v>
      </c>
      <c r="I33" s="2">
        <v>85</v>
      </c>
      <c r="J33" s="2">
        <v>6779903.553472061</v>
      </c>
      <c r="K33" s="2">
        <v>2552434.278954187</v>
      </c>
      <c r="L33" s="2">
        <v>1001974.567916335</v>
      </c>
      <c r="M33" s="2">
        <v>3437316</v>
      </c>
      <c r="N33" s="3">
        <v>0.5</v>
      </c>
      <c r="O33" s="3">
        <v>0.5</v>
      </c>
      <c r="P33" s="2">
        <v>148526</v>
      </c>
      <c r="Q33" s="2">
        <v>214354.845</v>
      </c>
      <c r="R33" s="2">
        <v>0</v>
      </c>
      <c r="S33" s="2">
        <v>297052</v>
      </c>
      <c r="T33" s="2">
        <v>1326125</v>
      </c>
      <c r="U33" s="2">
        <f>M33+P33+Q33+R33+S33+T33</f>
        <v>5423373.845000001</v>
      </c>
      <c r="V33" s="2">
        <f>F33-K33-L33-U33</f>
        <v>1006873.200566452</v>
      </c>
      <c r="W33" s="2">
        <v>220386.684776892</v>
      </c>
      <c r="X33" s="2">
        <v>167266.9868367773</v>
      </c>
      <c r="Y33" s="2">
        <f>W33+X33</f>
        <v>387653.6716136693</v>
      </c>
      <c r="Z33" s="2">
        <v>23058730.91366185</v>
      </c>
      <c r="AA33" s="2">
        <v>0</v>
      </c>
      <c r="AB33" s="2">
        <v>0</v>
      </c>
      <c r="AC33" s="2">
        <v>0</v>
      </c>
      <c r="AD33" s="2">
        <v>0</v>
      </c>
      <c r="AE33" s="2">
        <v>599413.2071865546</v>
      </c>
      <c r="AF33" s="2">
        <f>F33-H33-L33-U33-AA33-AC33-AD33</f>
        <v>366308.72590719536</v>
      </c>
      <c r="AG33" s="2">
        <f>F33-H33-L33-U33-AA33-AB33-AD33-Y33</f>
        <v>-21344.945706473954</v>
      </c>
      <c r="AH33" s="2">
        <f>AH32+AG33</f>
        <v>-17751564.509787798</v>
      </c>
      <c r="AI33" s="2">
        <v>18557921.34984101</v>
      </c>
      <c r="AJ33" s="2">
        <f>AH33-AI33</f>
        <v>-36309485.85962881</v>
      </c>
      <c r="AK33" s="3">
        <v>0.25</v>
      </c>
    </row>
    <row r="34" spans="1:37">
      <c r="A34" s="2">
        <v>33</v>
      </c>
      <c r="B34" s="2">
        <v>2029</v>
      </c>
      <c r="C34" s="2">
        <v>36</v>
      </c>
      <c r="D34" s="2">
        <v>371304.391</v>
      </c>
      <c r="E34" s="2">
        <v>13366958.076</v>
      </c>
      <c r="F34" s="2">
        <f>E34/1.19</f>
        <v>11232737.878991596</v>
      </c>
      <c r="G34" s="2">
        <v>40</v>
      </c>
      <c r="H34" s="2">
        <v>3192998.753613445</v>
      </c>
      <c r="I34" s="2">
        <v>89</v>
      </c>
      <c r="J34" s="2">
        <v>7100706.442644879</v>
      </c>
      <c r="K34" s="2">
        <v>2872195.864440626</v>
      </c>
      <c r="L34" s="2">
        <v>1127277.97295525</v>
      </c>
      <c r="M34" s="2">
        <v>3437316</v>
      </c>
      <c r="N34" s="3">
        <v>0.5</v>
      </c>
      <c r="O34" s="3">
        <v>0.5</v>
      </c>
      <c r="P34" s="2">
        <v>148526</v>
      </c>
      <c r="Q34" s="2">
        <v>214354.845</v>
      </c>
      <c r="R34" s="2">
        <v>0</v>
      </c>
      <c r="S34" s="2">
        <v>297052</v>
      </c>
      <c r="T34" s="2">
        <v>1326125</v>
      </c>
      <c r="U34" s="2">
        <f>M34+P34+Q34+R34+S34+T34</f>
        <v>5423373.845000001</v>
      </c>
      <c r="V34" s="2">
        <f>F34-K34-L34-U34</f>
        <v>1809890.19659572</v>
      </c>
      <c r="W34" s="2">
        <v>218799.5229740062</v>
      </c>
      <c r="X34" s="2">
        <v>168854.1486396632</v>
      </c>
      <c r="Y34" s="2">
        <f>W34+X34</f>
        <v>387653.6716136693</v>
      </c>
      <c r="Z34" s="2">
        <v>22889876.76502218</v>
      </c>
      <c r="AA34" s="2">
        <v>0</v>
      </c>
      <c r="AB34" s="2">
        <v>0</v>
      </c>
      <c r="AC34" s="2">
        <v>0</v>
      </c>
      <c r="AD34" s="2">
        <v>0</v>
      </c>
      <c r="AE34" s="2">
        <v>599413.2071865546</v>
      </c>
      <c r="AF34" s="2">
        <f>F34-H34-L34-U34-AA34-AC34-AD34</f>
        <v>1489087.3074229006</v>
      </c>
      <c r="AG34" s="2">
        <f>F34-H34-L34-U34-AA34-AB34-AD34-Y34</f>
        <v>1101433.6358092313</v>
      </c>
      <c r="AH34" s="2">
        <f>AH33+AG34</f>
        <v>-16650130.873978566</v>
      </c>
      <c r="AI34" s="2">
        <v>18557921.34984101</v>
      </c>
      <c r="AJ34" s="2">
        <f>AH34-AI34</f>
        <v>-35208052.223819576</v>
      </c>
      <c r="AK34" s="3">
        <v>0.25</v>
      </c>
    </row>
    <row r="35" spans="1:37">
      <c r="A35" s="2">
        <v>34</v>
      </c>
      <c r="B35" s="2">
        <v>2029</v>
      </c>
      <c r="C35" s="2">
        <v>42</v>
      </c>
      <c r="D35" s="2">
        <v>371304.391</v>
      </c>
      <c r="E35" s="2">
        <v>15594784.422</v>
      </c>
      <c r="F35" s="2">
        <f>E35/1.19</f>
        <v>13104860.85882353</v>
      </c>
      <c r="G35" s="2">
        <v>60</v>
      </c>
      <c r="H35" s="2">
        <v>4789498.130420168</v>
      </c>
      <c r="I35" s="2">
        <v>107</v>
      </c>
      <c r="J35" s="2">
        <v>8538603.284013154</v>
      </c>
      <c r="K35" s="2">
        <v>3351601.289051893</v>
      </c>
      <c r="L35" s="2">
        <v>1315214.124224151</v>
      </c>
      <c r="M35" s="2">
        <v>3437316</v>
      </c>
      <c r="N35" s="3">
        <v>0.5</v>
      </c>
      <c r="O35" s="3">
        <v>0.5</v>
      </c>
      <c r="P35" s="2">
        <v>148526</v>
      </c>
      <c r="Q35" s="2">
        <v>214354.845</v>
      </c>
      <c r="R35" s="2">
        <v>0</v>
      </c>
      <c r="S35" s="2">
        <v>297052</v>
      </c>
      <c r="T35" s="2">
        <v>1326125</v>
      </c>
      <c r="U35" s="2">
        <f>M35+P35+Q35+R35+S35+T35</f>
        <v>5423373.845000001</v>
      </c>
      <c r="V35" s="2">
        <f>F35-K35-L35-U35</f>
        <v>3014671.600547487</v>
      </c>
      <c r="W35" s="2">
        <v>217197.3009214191</v>
      </c>
      <c r="X35" s="2">
        <v>170456.3706922502</v>
      </c>
      <c r="Y35" s="2">
        <f>W35+X35</f>
        <v>387653.6716136693</v>
      </c>
      <c r="Z35" s="2">
        <v>22719420.39432993</v>
      </c>
      <c r="AA35" s="2">
        <v>0</v>
      </c>
      <c r="AB35" s="2">
        <v>0</v>
      </c>
      <c r="AC35" s="2">
        <v>0</v>
      </c>
      <c r="AD35" s="2">
        <v>299706.6035932773</v>
      </c>
      <c r="AE35" s="2">
        <v>899119.8107798318</v>
      </c>
      <c r="AF35" s="2">
        <f>F35-H35-L35-U35-AA35-AC35-AD35</f>
        <v>1277068.155585933</v>
      </c>
      <c r="AG35" s="2">
        <f>F35-H35-L35-U35-AA35-AB35-AD35-Y35</f>
        <v>889414.4839722638</v>
      </c>
      <c r="AH35" s="2">
        <f>AH34+AG35</f>
        <v>-15760716.390006302</v>
      </c>
      <c r="AI35" s="2">
        <v>18557921.34984101</v>
      </c>
      <c r="AJ35" s="2">
        <f>AH35-AI35</f>
        <v>-34318637.73984731</v>
      </c>
      <c r="AK35" s="3">
        <v>0.25</v>
      </c>
    </row>
    <row r="36" spans="1:37">
      <c r="A36" s="2">
        <v>35</v>
      </c>
      <c r="B36" s="2">
        <v>2029</v>
      </c>
      <c r="C36" s="2">
        <v>45</v>
      </c>
      <c r="D36" s="2">
        <v>371304.391</v>
      </c>
      <c r="E36" s="2">
        <v>16708697.595</v>
      </c>
      <c r="F36" s="2">
        <f>E36/1.19</f>
        <v>14040922.348739496</v>
      </c>
      <c r="G36" s="2">
        <v>10</v>
      </c>
      <c r="H36" s="2">
        <v>798249.6884033612</v>
      </c>
      <c r="I36" s="2">
        <v>72</v>
      </c>
      <c r="J36" s="2">
        <v>5745755.67533324</v>
      </c>
      <c r="K36" s="2">
        <v>3591097.297083275</v>
      </c>
      <c r="L36" s="2">
        <v>1409165.663516662</v>
      </c>
      <c r="M36" s="2">
        <v>3437316</v>
      </c>
      <c r="N36" s="3">
        <v>0.5</v>
      </c>
      <c r="O36" s="3">
        <v>0.5</v>
      </c>
      <c r="P36" s="2">
        <v>148526</v>
      </c>
      <c r="Q36" s="2">
        <v>214354.845</v>
      </c>
      <c r="R36" s="2">
        <v>0</v>
      </c>
      <c r="S36" s="2">
        <v>297052</v>
      </c>
      <c r="T36" s="2">
        <v>1326125</v>
      </c>
      <c r="U36" s="2">
        <f>M36+P36+Q36+R36+S36+T36</f>
        <v>5423373.845000001</v>
      </c>
      <c r="V36" s="2">
        <f>F36-K36-L36-U36</f>
        <v>3617285.5431395564</v>
      </c>
      <c r="W36" s="2">
        <v>215579.8757155398</v>
      </c>
      <c r="X36" s="2">
        <v>172073.7958981295</v>
      </c>
      <c r="Y36" s="2">
        <f>W36+X36</f>
        <v>387653.6716136693</v>
      </c>
      <c r="Z36" s="2">
        <v>22547346.5984318</v>
      </c>
      <c r="AA36" s="2">
        <v>0</v>
      </c>
      <c r="AB36" s="2">
        <v>0</v>
      </c>
      <c r="AC36" s="2">
        <v>0</v>
      </c>
      <c r="AD36" s="2">
        <v>-749266.5089831932</v>
      </c>
      <c r="AE36" s="2">
        <v>149853.3017966386</v>
      </c>
      <c r="AF36" s="2">
        <f>F36-H36-L36-U36-AA36-AC36-AD36</f>
        <v>7159399.660802666</v>
      </c>
      <c r="AG36" s="2">
        <f>F36-H36-L36-U36-AA36-AB36-AD36-Y36</f>
        <v>6771745.989188997</v>
      </c>
      <c r="AH36" s="2">
        <f>AH35+AG36</f>
        <v>-8988970.400817305</v>
      </c>
      <c r="AI36" s="2">
        <v>18557921.34984101</v>
      </c>
      <c r="AJ36" s="2">
        <f>AH36-AI36</f>
        <v>-27546891.750658315</v>
      </c>
      <c r="AK36" s="3">
        <v>0.25</v>
      </c>
    </row>
    <row r="37" spans="1:37">
      <c r="A37" s="2">
        <v>36</v>
      </c>
      <c r="B37" s="2">
        <v>2029</v>
      </c>
      <c r="C37" s="2">
        <v>55</v>
      </c>
      <c r="D37" s="2">
        <v>371304.391</v>
      </c>
      <c r="E37" s="2">
        <v>20421741.505</v>
      </c>
      <c r="F37" s="2">
        <f>E37/1.19</f>
        <v>17161127.31512605</v>
      </c>
      <c r="G37" s="2">
        <v>10</v>
      </c>
      <c r="H37" s="2">
        <v>798249.6884033612</v>
      </c>
      <c r="I37" s="2">
        <v>27</v>
      </c>
      <c r="J37" s="2">
        <v>2154733.473425467</v>
      </c>
      <c r="K37" s="2">
        <v>4389271.890311135</v>
      </c>
      <c r="L37" s="2">
        <v>1722325.826474891</v>
      </c>
      <c r="M37" s="2">
        <v>3437316</v>
      </c>
      <c r="N37" s="3">
        <v>0.5</v>
      </c>
      <c r="O37" s="3">
        <v>0.5</v>
      </c>
      <c r="P37" s="2">
        <v>148526</v>
      </c>
      <c r="Q37" s="2">
        <v>214354.845</v>
      </c>
      <c r="R37" s="2">
        <v>0</v>
      </c>
      <c r="S37" s="2">
        <v>297052</v>
      </c>
      <c r="T37" s="2">
        <v>1326125</v>
      </c>
      <c r="U37" s="2">
        <f>M37+P37+Q37+R37+S37+T37</f>
        <v>5423373.845000001</v>
      </c>
      <c r="V37" s="2">
        <f>F37-K37-L37-U37</f>
        <v>5626155.7533400245</v>
      </c>
      <c r="W37" s="2">
        <v>213947.1030967948</v>
      </c>
      <c r="X37" s="2">
        <v>173706.5685168745</v>
      </c>
      <c r="Y37" s="2">
        <f>W37+X37</f>
        <v>387653.6716136693</v>
      </c>
      <c r="Z37" s="2">
        <v>22373640.02991493</v>
      </c>
      <c r="AA37" s="2">
        <v>0</v>
      </c>
      <c r="AB37" s="2">
        <v>0</v>
      </c>
      <c r="AC37" s="2">
        <v>0</v>
      </c>
      <c r="AD37" s="2">
        <v>0</v>
      </c>
      <c r="AE37" s="2">
        <v>149853.3017966386</v>
      </c>
      <c r="AF37" s="2">
        <f>F37-H37-L37-U37-AA37-AC37-AD37</f>
        <v>9217177.955247799</v>
      </c>
      <c r="AG37" s="2">
        <f>F37-H37-L37-U37-AA37-AB37-AD37-Y37</f>
        <v>8829524.28363413</v>
      </c>
      <c r="AH37" s="2">
        <f>AH36+AG37</f>
        <v>-159446.11718317494</v>
      </c>
      <c r="AI37" s="2">
        <v>18557921.34984101</v>
      </c>
      <c r="AJ37" s="2">
        <f>AH37-AI37</f>
        <v>-18717367.467024185</v>
      </c>
      <c r="AK37" s="3">
        <v>0.25</v>
      </c>
    </row>
    <row r="38" spans="1:37">
      <c r="A38" s="2">
        <v>37</v>
      </c>
      <c r="B38" s="2">
        <v>2030</v>
      </c>
      <c r="C38" s="2">
        <v>8</v>
      </c>
      <c r="D38" s="2">
        <v>382443.52273</v>
      </c>
      <c r="E38" s="2">
        <v>3059548.18184</v>
      </c>
      <c r="F38" s="2">
        <f>E38/1.19</f>
        <v>2571048.8923025215</v>
      </c>
      <c r="G38" s="2">
        <v>20</v>
      </c>
      <c r="H38" s="2">
        <v>1644394.358110924</v>
      </c>
      <c r="I38" s="2">
        <v>39</v>
      </c>
      <c r="J38" s="2">
        <v>3152467.775104665</v>
      </c>
      <c r="K38" s="2">
        <v>646660.0564317261</v>
      </c>
      <c r="L38" s="2">
        <v>257161.1096065381</v>
      </c>
      <c r="M38" s="2">
        <v>3982989.915000001</v>
      </c>
      <c r="N38" s="3">
        <v>0.5</v>
      </c>
      <c r="O38" s="3">
        <v>0.5</v>
      </c>
      <c r="P38" s="2">
        <v>152981.78</v>
      </c>
      <c r="Q38" s="2">
        <v>261598.8438</v>
      </c>
      <c r="R38" s="2">
        <v>273181.75</v>
      </c>
      <c r="S38" s="2">
        <v>305963.56</v>
      </c>
      <c r="T38" s="2">
        <v>1775681.375</v>
      </c>
      <c r="U38" s="2">
        <f>M38+P38+Q38+R38+S38+T38</f>
        <v>6752397.2238</v>
      </c>
      <c r="V38" s="2">
        <f>F38-K38-L38-U38</f>
        <v>-5085169.497535743</v>
      </c>
      <c r="W38" s="2">
        <v>212298.8374367612</v>
      </c>
      <c r="X38" s="2">
        <v>175354.8341769081</v>
      </c>
      <c r="Y38" s="2">
        <f>W38+X38</f>
        <v>387653.6716136693</v>
      </c>
      <c r="Z38" s="2">
        <v>22198285.19573802</v>
      </c>
      <c r="AA38" s="2">
        <v>1639090.5</v>
      </c>
      <c r="AB38" s="2">
        <v>0</v>
      </c>
      <c r="AC38" s="2">
        <v>0</v>
      </c>
      <c r="AD38" s="2">
        <v>158844.4999044369</v>
      </c>
      <c r="AE38" s="2">
        <v>308697.8017010756</v>
      </c>
      <c r="AF38" s="2">
        <f>F38-H38-L38-U38-AA38-AC38-AD38</f>
        <v>-7880838.7991193775</v>
      </c>
      <c r="AG38" s="2">
        <f>F38-H38-L38-U38-AA38-AB38-AD38-Y38</f>
        <v>-8268492.4707330465</v>
      </c>
      <c r="AH38" s="2">
        <f>AH37+AG38</f>
        <v>-8427938.587916221</v>
      </c>
      <c r="AI38" s="2">
        <v>22544991.48624101</v>
      </c>
      <c r="AJ38" s="2">
        <f>AH38-AI38</f>
        <v>-30972930.07415723</v>
      </c>
      <c r="AK38" s="3">
        <v>0.25</v>
      </c>
    </row>
    <row r="39" spans="1:37">
      <c r="A39" s="2">
        <v>38</v>
      </c>
      <c r="B39" s="2">
        <v>2030</v>
      </c>
      <c r="C39" s="2">
        <v>13</v>
      </c>
      <c r="D39" s="2">
        <v>382443.52273</v>
      </c>
      <c r="E39" s="2">
        <v>4971765.79549</v>
      </c>
      <c r="F39" s="2">
        <f>E39/1.19</f>
        <v>4177954.4499915973</v>
      </c>
      <c r="G39" s="2">
        <v>20</v>
      </c>
      <c r="H39" s="2">
        <v>1644394.358110924</v>
      </c>
      <c r="I39" s="2">
        <v>46</v>
      </c>
      <c r="J39" s="2">
        <v>3739926.408947747</v>
      </c>
      <c r="K39" s="2">
        <v>1056935.724267842</v>
      </c>
      <c r="L39" s="2">
        <v>418375.8537159273</v>
      </c>
      <c r="M39" s="2">
        <v>3982989.915000001</v>
      </c>
      <c r="N39" s="3">
        <v>0.5</v>
      </c>
      <c r="O39" s="3">
        <v>0.5</v>
      </c>
      <c r="P39" s="2">
        <v>152981.78</v>
      </c>
      <c r="Q39" s="2">
        <v>261598.8438</v>
      </c>
      <c r="R39" s="2">
        <v>273181.75</v>
      </c>
      <c r="S39" s="2">
        <v>305963.56</v>
      </c>
      <c r="T39" s="2">
        <v>1775681.375</v>
      </c>
      <c r="U39" s="2">
        <f>M39+P39+Q39+R39+S39+T39</f>
        <v>6752397.2238</v>
      </c>
      <c r="V39" s="2">
        <f>F39-K39-L39-U39</f>
        <v>-4049754.3517921716</v>
      </c>
      <c r="W39" s="2">
        <v>210634.9317251784</v>
      </c>
      <c r="X39" s="2">
        <v>177018.739888491</v>
      </c>
      <c r="Y39" s="2">
        <f>W39+X39</f>
        <v>387653.6716136693</v>
      </c>
      <c r="Z39" s="2">
        <v>22021266.45584953</v>
      </c>
      <c r="AA39" s="2">
        <v>0</v>
      </c>
      <c r="AB39" s="2">
        <v>0</v>
      </c>
      <c r="AC39" s="2">
        <v>0</v>
      </c>
      <c r="AD39" s="2">
        <v>0</v>
      </c>
      <c r="AE39" s="2">
        <v>308697.8017010756</v>
      </c>
      <c r="AF39" s="2">
        <f>F39-H39-L39-U39-AA39-AC39-AD39</f>
        <v>-4637212.9856352545</v>
      </c>
      <c r="AG39" s="2">
        <f>F39-H39-L39-U39-AA39-AB39-AD39-Y39</f>
        <v>-5024866.657248924</v>
      </c>
      <c r="AH39" s="2">
        <f>AH38+AG39</f>
        <v>-13452805.245165145</v>
      </c>
      <c r="AI39" s="2">
        <v>22544991.48624101</v>
      </c>
      <c r="AJ39" s="2">
        <f>AH39-AI39</f>
        <v>-35997796.73140615</v>
      </c>
      <c r="AK39" s="3">
        <v>0.25</v>
      </c>
    </row>
    <row r="40" spans="1:37">
      <c r="A40" s="2">
        <v>39</v>
      </c>
      <c r="B40" s="2">
        <v>2030</v>
      </c>
      <c r="C40" s="2">
        <v>17</v>
      </c>
      <c r="D40" s="2">
        <v>382443.52273</v>
      </c>
      <c r="E40" s="2">
        <v>6501539.88641</v>
      </c>
      <c r="F40" s="2">
        <f>E40/1.19</f>
        <v>5463478.896142857</v>
      </c>
      <c r="G40" s="2">
        <v>20</v>
      </c>
      <c r="H40" s="2">
        <v>1644394.358110924</v>
      </c>
      <c r="I40" s="2">
        <v>49</v>
      </c>
      <c r="J40" s="2">
        <v>3997450.26645265</v>
      </c>
      <c r="K40" s="2">
        <v>1386870.500606021</v>
      </c>
      <c r="L40" s="2">
        <v>547484.7883689817</v>
      </c>
      <c r="M40" s="2">
        <v>3982989.915000001</v>
      </c>
      <c r="N40" s="3">
        <v>0.5</v>
      </c>
      <c r="O40" s="3">
        <v>0.5</v>
      </c>
      <c r="P40" s="2">
        <v>152981.78</v>
      </c>
      <c r="Q40" s="2">
        <v>261598.8438</v>
      </c>
      <c r="R40" s="2">
        <v>273181.75</v>
      </c>
      <c r="S40" s="2">
        <v>305963.56</v>
      </c>
      <c r="T40" s="2">
        <v>1775681.375</v>
      </c>
      <c r="U40" s="2">
        <f>M40+P40+Q40+R40+S40+T40</f>
        <v>6752397.2238</v>
      </c>
      <c r="V40" s="2">
        <f>F40-K40-L40-U40</f>
        <v>-3223273.616632146</v>
      </c>
      <c r="W40" s="2">
        <v>208955.2375568357</v>
      </c>
      <c r="X40" s="2">
        <v>178698.4340568336</v>
      </c>
      <c r="Y40" s="2">
        <f>W40+X40</f>
        <v>387653.6716136693</v>
      </c>
      <c r="Z40" s="2">
        <v>21842568.0217927</v>
      </c>
      <c r="AA40" s="2">
        <v>0</v>
      </c>
      <c r="AB40" s="2">
        <v>0</v>
      </c>
      <c r="AC40" s="2">
        <v>0</v>
      </c>
      <c r="AD40" s="2">
        <v>0</v>
      </c>
      <c r="AE40" s="2">
        <v>308697.8017010756</v>
      </c>
      <c r="AF40" s="2">
        <f>F40-H40-L40-U40-AA40-AC40-AD40</f>
        <v>-3480797.4741370487</v>
      </c>
      <c r="AG40" s="2">
        <f>F40-H40-L40-U40-AA40-AB40-AD40-Y40</f>
        <v>-3868451.145750718</v>
      </c>
      <c r="AH40" s="2">
        <f>AH39+AG40</f>
        <v>-17321256.390915863</v>
      </c>
      <c r="AI40" s="2">
        <v>22544991.48624101</v>
      </c>
      <c r="AJ40" s="2">
        <f>AH40-AI40</f>
        <v>-39866247.87715687</v>
      </c>
      <c r="AK40" s="3">
        <v>0.25</v>
      </c>
    </row>
    <row r="41" spans="1:37">
      <c r="A41" s="2">
        <v>40</v>
      </c>
      <c r="B41" s="2">
        <v>2030</v>
      </c>
      <c r="C41" s="2">
        <v>21</v>
      </c>
      <c r="D41" s="2">
        <v>382443.52273</v>
      </c>
      <c r="E41" s="2">
        <v>8031313.97733</v>
      </c>
      <c r="F41" s="2">
        <f>E41/1.19</f>
        <v>6749003.342294118</v>
      </c>
      <c r="G41" s="2">
        <v>30</v>
      </c>
      <c r="H41" s="2">
        <v>2466591.537166386</v>
      </c>
      <c r="I41" s="2">
        <v>58</v>
      </c>
      <c r="J41" s="2">
        <v>4745752.210251951</v>
      </c>
      <c r="K41" s="2">
        <v>1718289.593367086</v>
      </c>
      <c r="L41" s="2">
        <v>676712.4683358669</v>
      </c>
      <c r="M41" s="2">
        <v>3982989.915000001</v>
      </c>
      <c r="N41" s="3">
        <v>0.5</v>
      </c>
      <c r="O41" s="3">
        <v>0.5</v>
      </c>
      <c r="P41" s="2">
        <v>152981.78</v>
      </c>
      <c r="Q41" s="2">
        <v>261598.8438</v>
      </c>
      <c r="R41" s="2">
        <v>273181.75</v>
      </c>
      <c r="S41" s="2">
        <v>305963.56</v>
      </c>
      <c r="T41" s="2">
        <v>1775681.375</v>
      </c>
      <c r="U41" s="2">
        <f>M41+P41+Q41+R41+S41+T41</f>
        <v>6752397.2238</v>
      </c>
      <c r="V41" s="2">
        <f>F41-K41-L41-U41</f>
        <v>-2398395.943208834</v>
      </c>
      <c r="W41" s="2">
        <v>207259.6051183361</v>
      </c>
      <c r="X41" s="2">
        <v>180394.0664953332</v>
      </c>
      <c r="Y41" s="2">
        <f>W41+X41</f>
        <v>387653.6716136693</v>
      </c>
      <c r="Z41" s="2">
        <v>21662173.95529737</v>
      </c>
      <c r="AA41" s="2">
        <v>0</v>
      </c>
      <c r="AB41" s="2">
        <v>0</v>
      </c>
      <c r="AC41" s="2">
        <v>0</v>
      </c>
      <c r="AD41" s="2">
        <v>154348.9008505379</v>
      </c>
      <c r="AE41" s="2">
        <v>463046.7025516134</v>
      </c>
      <c r="AF41" s="2">
        <f>F41-H41-L41-U41-AA41-AC41-AD41</f>
        <v>-3301046.787858672</v>
      </c>
      <c r="AG41" s="2">
        <f>F41-H41-L41-U41-AA41-AB41-AD41-Y41</f>
        <v>-3688700.4594723415</v>
      </c>
      <c r="AH41" s="2">
        <f>AH40+AG41</f>
        <v>-21009956.850388207</v>
      </c>
      <c r="AI41" s="2">
        <v>22544991.48624101</v>
      </c>
      <c r="AJ41" s="2">
        <f>AH41-AI41</f>
        <v>-43554948.33662921</v>
      </c>
      <c r="AK41" s="3">
        <v>0.25</v>
      </c>
    </row>
    <row r="42" spans="1:37">
      <c r="A42" s="2">
        <v>41</v>
      </c>
      <c r="B42" s="2">
        <v>2030</v>
      </c>
      <c r="C42" s="2">
        <v>25</v>
      </c>
      <c r="D42" s="2">
        <v>382443.52273</v>
      </c>
      <c r="E42" s="2">
        <v>9561088.06825</v>
      </c>
      <c r="F42" s="2">
        <f>E42/1.19</f>
        <v>8034527.788445379</v>
      </c>
      <c r="G42" s="2">
        <v>40</v>
      </c>
      <c r="H42" s="2">
        <v>3288788.716221849</v>
      </c>
      <c r="I42" s="2">
        <v>73</v>
      </c>
      <c r="J42" s="2">
        <v>5984913.139108034</v>
      </c>
      <c r="K42" s="2">
        <v>2049627.787365765</v>
      </c>
      <c r="L42" s="2">
        <v>805933.6764017612</v>
      </c>
      <c r="M42" s="2">
        <v>3982989.915000001</v>
      </c>
      <c r="N42" s="3">
        <v>0.5</v>
      </c>
      <c r="O42" s="3">
        <v>0.5</v>
      </c>
      <c r="P42" s="2">
        <v>152981.78</v>
      </c>
      <c r="Q42" s="2">
        <v>261598.8438</v>
      </c>
      <c r="R42" s="2">
        <v>273181.75</v>
      </c>
      <c r="S42" s="2">
        <v>305963.56</v>
      </c>
      <c r="T42" s="2">
        <v>1775681.375</v>
      </c>
      <c r="U42" s="2">
        <f>M42+P42+Q42+R42+S42+T42</f>
        <v>6752397.2238</v>
      </c>
      <c r="V42" s="2">
        <f>F42-K42-L42-U42</f>
        <v>-1573430.8991221478</v>
      </c>
      <c r="W42" s="2">
        <v>205547.8831747345</v>
      </c>
      <c r="X42" s="2">
        <v>182105.7884389348</v>
      </c>
      <c r="Y42" s="2">
        <f>W42+X42</f>
        <v>387653.6716136693</v>
      </c>
      <c r="Z42" s="2">
        <v>21480068.16685843</v>
      </c>
      <c r="AA42" s="2">
        <v>0</v>
      </c>
      <c r="AB42" s="2">
        <v>0</v>
      </c>
      <c r="AC42" s="2">
        <v>0</v>
      </c>
      <c r="AD42" s="2">
        <v>154348.9008505377</v>
      </c>
      <c r="AE42" s="2">
        <v>617395.6034021511</v>
      </c>
      <c r="AF42" s="2">
        <f>F42-H42-L42-U42-AA42-AC42-AD42</f>
        <v>-2966940.7288287687</v>
      </c>
      <c r="AG42" s="2">
        <f>F42-H42-L42-U42-AA42-AB42-AD42-Y42</f>
        <v>-3354594.400442438</v>
      </c>
      <c r="AH42" s="2">
        <f>AH41+AG42</f>
        <v>-24364551.250830643</v>
      </c>
      <c r="AI42" s="2">
        <v>22544991.48624101</v>
      </c>
      <c r="AJ42" s="2">
        <f>AH42-AI42</f>
        <v>-46909542.73707165</v>
      </c>
      <c r="AK42" s="3">
        <v>0.25</v>
      </c>
    </row>
    <row r="43" spans="1:37">
      <c r="A43" s="2">
        <v>42</v>
      </c>
      <c r="B43" s="2">
        <v>2030</v>
      </c>
      <c r="C43" s="2">
        <v>30</v>
      </c>
      <c r="D43" s="2">
        <v>382443.52273</v>
      </c>
      <c r="E43" s="2">
        <v>11473305.6819</v>
      </c>
      <c r="F43" s="2">
        <f>E43/1.19</f>
        <v>9641433.346134454</v>
      </c>
      <c r="G43" s="2">
        <v>40</v>
      </c>
      <c r="H43" s="2">
        <v>3288788.716221849</v>
      </c>
      <c r="I43" s="2">
        <v>83</v>
      </c>
      <c r="J43" s="2">
        <v>6811657.114976816</v>
      </c>
      <c r="K43" s="2">
        <v>2462044.740353066</v>
      </c>
      <c r="L43" s="2">
        <v>967319.7233232453</v>
      </c>
      <c r="M43" s="2">
        <v>3982989.915000001</v>
      </c>
      <c r="N43" s="3">
        <v>0.5</v>
      </c>
      <c r="O43" s="3">
        <v>0.5</v>
      </c>
      <c r="P43" s="2">
        <v>152981.78</v>
      </c>
      <c r="Q43" s="2">
        <v>261598.8438</v>
      </c>
      <c r="R43" s="2">
        <v>273181.75</v>
      </c>
      <c r="S43" s="2">
        <v>305963.56</v>
      </c>
      <c r="T43" s="2">
        <v>1775681.375</v>
      </c>
      <c r="U43" s="2">
        <f>M43+P43+Q43+R43+S43+T43</f>
        <v>6752397.2238</v>
      </c>
      <c r="V43" s="2">
        <f>F43-K43-L43-U43</f>
        <v>-540328.3413418578</v>
      </c>
      <c r="W43" s="2">
        <v>203819.9190560485</v>
      </c>
      <c r="X43" s="2">
        <v>183833.7525576208</v>
      </c>
      <c r="Y43" s="2">
        <f>W43+X43</f>
        <v>387653.6716136693</v>
      </c>
      <c r="Z43" s="2">
        <v>21296234.41430081</v>
      </c>
      <c r="AA43" s="2">
        <v>0</v>
      </c>
      <c r="AB43" s="2">
        <v>0</v>
      </c>
      <c r="AC43" s="2">
        <v>0</v>
      </c>
      <c r="AD43" s="2">
        <v>0</v>
      </c>
      <c r="AE43" s="2">
        <v>617395.6034021511</v>
      </c>
      <c r="AF43" s="2">
        <f>F43-H43-L43-U43-AA43-AC43-AD43</f>
        <v>-1367072.3172106398</v>
      </c>
      <c r="AG43" s="2">
        <f>F43-H43-L43-U43-AA43-AB43-AD43-Y43</f>
        <v>-1754725.988824309</v>
      </c>
      <c r="AH43" s="2">
        <f>AH42+AG43</f>
        <v>-26119277.23965495</v>
      </c>
      <c r="AI43" s="2">
        <v>22544991.48624101</v>
      </c>
      <c r="AJ43" s="2">
        <f>AH43-AI43</f>
        <v>-48664268.725895956</v>
      </c>
      <c r="AK43" s="3">
        <v>0.25</v>
      </c>
    </row>
    <row r="44" spans="1:37">
      <c r="A44" s="2">
        <v>43</v>
      </c>
      <c r="B44" s="2">
        <v>2030</v>
      </c>
      <c r="C44" s="2">
        <v>34</v>
      </c>
      <c r="D44" s="2">
        <v>382443.52273</v>
      </c>
      <c r="E44" s="2">
        <v>13003079.77282</v>
      </c>
      <c r="F44" s="2">
        <f>E44/1.19</f>
        <v>10926957.792285714</v>
      </c>
      <c r="G44" s="2">
        <v>40</v>
      </c>
      <c r="H44" s="2">
        <v>3288788.716221849</v>
      </c>
      <c r="I44" s="2">
        <v>89</v>
      </c>
      <c r="J44" s="2">
        <v>7308452.674607163</v>
      </c>
      <c r="K44" s="2">
        <v>2791993.156591501</v>
      </c>
      <c r="L44" s="2">
        <v>1096429.74916832</v>
      </c>
      <c r="M44" s="2">
        <v>3982989.915000001</v>
      </c>
      <c r="N44" s="3">
        <v>0.5</v>
      </c>
      <c r="O44" s="3">
        <v>0.5</v>
      </c>
      <c r="P44" s="2">
        <v>152981.78</v>
      </c>
      <c r="Q44" s="2">
        <v>261598.8438</v>
      </c>
      <c r="R44" s="2">
        <v>273181.75</v>
      </c>
      <c r="S44" s="2">
        <v>305963.56</v>
      </c>
      <c r="T44" s="2">
        <v>1775681.375</v>
      </c>
      <c r="U44" s="2">
        <f>M44+P44+Q44+R44+S44+T44</f>
        <v>6752397.2238</v>
      </c>
      <c r="V44" s="2">
        <f>F44-K44-L44-U44</f>
        <v>286137.6627258938</v>
      </c>
      <c r="W44" s="2">
        <v>202075.5586436419</v>
      </c>
      <c r="X44" s="2">
        <v>185578.1129700275</v>
      </c>
      <c r="Y44" s="2">
        <f>W44+X44</f>
        <v>387653.6716136693</v>
      </c>
      <c r="Z44" s="2">
        <v>21110656.30133078</v>
      </c>
      <c r="AA44" s="2">
        <v>0</v>
      </c>
      <c r="AB44" s="2">
        <v>0</v>
      </c>
      <c r="AC44" s="2">
        <v>0</v>
      </c>
      <c r="AD44" s="2">
        <v>0</v>
      </c>
      <c r="AE44" s="2">
        <v>617395.6034021511</v>
      </c>
      <c r="AF44" s="2">
        <f>F44-H44-L44-U44-AA44-AC44-AD44</f>
        <v>-210657.89690445364</v>
      </c>
      <c r="AG44" s="2">
        <f>F44-H44-L44-U44-AA44-AB44-AD44-Y44</f>
        <v>-598311.5685181229</v>
      </c>
      <c r="AH44" s="2">
        <f>AH43+AG44</f>
        <v>-26717588.808173075</v>
      </c>
      <c r="AI44" s="2">
        <v>22544991.48624101</v>
      </c>
      <c r="AJ44" s="2">
        <f>AH44-AI44</f>
        <v>-49262580.29441409</v>
      </c>
      <c r="AK44" s="3">
        <v>0.25</v>
      </c>
    </row>
    <row r="45" spans="1:37">
      <c r="A45" s="2">
        <v>44</v>
      </c>
      <c r="B45" s="2">
        <v>2030</v>
      </c>
      <c r="C45" s="2">
        <v>42</v>
      </c>
      <c r="D45" s="2">
        <v>382443.52273</v>
      </c>
      <c r="E45" s="2">
        <v>16062627.95466</v>
      </c>
      <c r="F45" s="2">
        <f>E45/1.19</f>
        <v>13498006.684588237</v>
      </c>
      <c r="G45" s="2">
        <v>60</v>
      </c>
      <c r="H45" s="2">
        <v>4933183.074332773</v>
      </c>
      <c r="I45" s="2">
        <v>107</v>
      </c>
      <c r="J45" s="2">
        <v>8790973.323064249</v>
      </c>
      <c r="K45" s="2">
        <v>3450662.425875687</v>
      </c>
      <c r="L45" s="2">
        <v>1354551.595803055</v>
      </c>
      <c r="M45" s="2">
        <v>3982989.915000001</v>
      </c>
      <c r="N45" s="3">
        <v>0.5</v>
      </c>
      <c r="O45" s="3">
        <v>0.5</v>
      </c>
      <c r="P45" s="2">
        <v>152981.78</v>
      </c>
      <c r="Q45" s="2">
        <v>261598.8438</v>
      </c>
      <c r="R45" s="2">
        <v>273181.75</v>
      </c>
      <c r="S45" s="2">
        <v>305963.56</v>
      </c>
      <c r="T45" s="2">
        <v>1775681.375</v>
      </c>
      <c r="U45" s="2">
        <f>M45+P45+Q45+R45+S45+T45</f>
        <v>6752397.2238</v>
      </c>
      <c r="V45" s="2">
        <f>F45-K45-L45-U45</f>
        <v>1940395.4391094968</v>
      </c>
      <c r="W45" s="2">
        <v>200314.6463564786</v>
      </c>
      <c r="X45" s="2">
        <v>187339.0252571907</v>
      </c>
      <c r="Y45" s="2">
        <f>W45+X45</f>
        <v>387653.6716136693</v>
      </c>
      <c r="Z45" s="2">
        <v>20923317.27607359</v>
      </c>
      <c r="AA45" s="2">
        <v>0</v>
      </c>
      <c r="AB45" s="2">
        <v>0</v>
      </c>
      <c r="AC45" s="2">
        <v>0</v>
      </c>
      <c r="AD45" s="2">
        <v>308697.8017010757</v>
      </c>
      <c r="AE45" s="2">
        <v>926093.4051032269</v>
      </c>
      <c r="AF45" s="2">
        <f>F45-H45-L45-U45-AA45-AC45-AD45</f>
        <v>149176.98895133438</v>
      </c>
      <c r="AG45" s="2">
        <f>F45-H45-L45-U45-AA45-AB45-AD45-Y45</f>
        <v>-238476.68266233493</v>
      </c>
      <c r="AH45" s="2">
        <f>AH44+AG45</f>
        <v>-26956065.49083541</v>
      </c>
      <c r="AI45" s="2">
        <v>22544991.48624101</v>
      </c>
      <c r="AJ45" s="2">
        <f>AH45-AI45</f>
        <v>-49501056.97707642</v>
      </c>
      <c r="AK45" s="3">
        <v>0.25</v>
      </c>
    </row>
    <row r="46" spans="1:37">
      <c r="A46" s="2">
        <v>45</v>
      </c>
      <c r="B46" s="2">
        <v>2030</v>
      </c>
      <c r="C46" s="2">
        <v>46</v>
      </c>
      <c r="D46" s="2">
        <v>382443.52273</v>
      </c>
      <c r="E46" s="2">
        <v>17592402.04558</v>
      </c>
      <c r="F46" s="2">
        <f>E46/1.19</f>
        <v>14783531.130739497</v>
      </c>
      <c r="G46" s="2">
        <v>60</v>
      </c>
      <c r="H46" s="2">
        <v>4933183.074332773</v>
      </c>
      <c r="I46" s="2">
        <v>121</v>
      </c>
      <c r="J46" s="2">
        <v>9943849.844820596</v>
      </c>
      <c r="K46" s="2">
        <v>3780306.552576425</v>
      </c>
      <c r="L46" s="2">
        <v>1483637.278485114</v>
      </c>
      <c r="M46" s="2">
        <v>3982989.915000001</v>
      </c>
      <c r="N46" s="3">
        <v>0.5</v>
      </c>
      <c r="O46" s="3">
        <v>0.5</v>
      </c>
      <c r="P46" s="2">
        <v>152981.78</v>
      </c>
      <c r="Q46" s="2">
        <v>261598.8438</v>
      </c>
      <c r="R46" s="2">
        <v>273181.75</v>
      </c>
      <c r="S46" s="2">
        <v>305963.56</v>
      </c>
      <c r="T46" s="2">
        <v>1775681.375</v>
      </c>
      <c r="U46" s="2">
        <f>M46+P46+Q46+R46+S46+T46</f>
        <v>6752397.2238</v>
      </c>
      <c r="V46" s="2">
        <f>F46-K46-L46-U46</f>
        <v>2767190.075877959</v>
      </c>
      <c r="W46" s="2">
        <v>198537.0251372465</v>
      </c>
      <c r="X46" s="2">
        <v>189116.6464764228</v>
      </c>
      <c r="Y46" s="2">
        <f>W46+X46</f>
        <v>387653.6716136693</v>
      </c>
      <c r="Z46" s="2">
        <v>20734200.62959717</v>
      </c>
      <c r="AA46" s="2">
        <v>0</v>
      </c>
      <c r="AB46" s="2">
        <v>0</v>
      </c>
      <c r="AC46" s="2">
        <v>0</v>
      </c>
      <c r="AD46" s="2">
        <v>0</v>
      </c>
      <c r="AE46" s="2">
        <v>926093.4051032269</v>
      </c>
      <c r="AF46" s="2">
        <f>F46-H46-L46-U46-AA46-AC46-AD46</f>
        <v>1614313.5541216116</v>
      </c>
      <c r="AG46" s="2">
        <f>F46-H46-L46-U46-AA46-AB46-AD46-Y46</f>
        <v>1226659.8825079424</v>
      </c>
      <c r="AH46" s="2">
        <f>AH45+AG46</f>
        <v>-25729405.608327467</v>
      </c>
      <c r="AI46" s="2">
        <v>22544991.48624101</v>
      </c>
      <c r="AJ46" s="2">
        <f>AH46-AI46</f>
        <v>-48274397.094568476</v>
      </c>
      <c r="AK46" s="3">
        <v>0.25</v>
      </c>
    </row>
    <row r="47" spans="1:37">
      <c r="A47" s="2">
        <v>46</v>
      </c>
      <c r="B47" s="2">
        <v>2030</v>
      </c>
      <c r="C47" s="2">
        <v>55</v>
      </c>
      <c r="D47" s="2">
        <v>382443.52273</v>
      </c>
      <c r="E47" s="2">
        <v>21034393.75015</v>
      </c>
      <c r="F47" s="2">
        <f>E47/1.19</f>
        <v>17675961.13457983</v>
      </c>
      <c r="G47" s="2">
        <v>70</v>
      </c>
      <c r="H47" s="2">
        <v>5755380.253388235</v>
      </c>
      <c r="I47" s="2">
        <v>136</v>
      </c>
      <c r="J47" s="2">
        <v>11178509.38930053</v>
      </c>
      <c r="K47" s="2">
        <v>4520720.708908302</v>
      </c>
      <c r="L47" s="2">
        <v>1773977.254220164</v>
      </c>
      <c r="M47" s="2">
        <v>3982989.915000001</v>
      </c>
      <c r="N47" s="3">
        <v>0.5</v>
      </c>
      <c r="O47" s="3">
        <v>0.5</v>
      </c>
      <c r="P47" s="2">
        <v>152981.78</v>
      </c>
      <c r="Q47" s="2">
        <v>261598.8438</v>
      </c>
      <c r="R47" s="2">
        <v>273181.75</v>
      </c>
      <c r="S47" s="2">
        <v>305963.56</v>
      </c>
      <c r="T47" s="2">
        <v>1775681.375</v>
      </c>
      <c r="U47" s="2">
        <f>M47+P47+Q47+R47+S47+T47</f>
        <v>6752397.2238</v>
      </c>
      <c r="V47" s="2">
        <f>F47-K47-L47-U47</f>
        <v>4628865.947651366</v>
      </c>
      <c r="W47" s="2">
        <v>196742.5364383489</v>
      </c>
      <c r="X47" s="2">
        <v>190911.1351753204</v>
      </c>
      <c r="Y47" s="2">
        <f>W47+X47</f>
        <v>387653.6716136693</v>
      </c>
      <c r="Z47" s="2">
        <v>20543289.49442185</v>
      </c>
      <c r="AA47" s="2">
        <v>0</v>
      </c>
      <c r="AB47" s="2">
        <v>0</v>
      </c>
      <c r="AC47" s="2">
        <v>0</v>
      </c>
      <c r="AD47" s="2">
        <v>154348.9008505377</v>
      </c>
      <c r="AE47" s="2">
        <v>1080442.305953765</v>
      </c>
      <c r="AF47" s="2">
        <f>F47-H47-L47-U47-AA47-AC47-AD47</f>
        <v>3239857.5023208936</v>
      </c>
      <c r="AG47" s="2">
        <f>F47-H47-L47-U47-AA47-AB47-AD47-Y47</f>
        <v>2852203.830707224</v>
      </c>
      <c r="AH47" s="2">
        <f>AH46+AG47</f>
        <v>-22877201.77762024</v>
      </c>
      <c r="AI47" s="2">
        <v>22544991.48624101</v>
      </c>
      <c r="AJ47" s="2">
        <f>AH47-AI47</f>
        <v>-45422193.263861254</v>
      </c>
      <c r="AK47" s="3">
        <v>0.25</v>
      </c>
    </row>
    <row r="48" spans="1:37">
      <c r="A48" s="2">
        <v>47</v>
      </c>
      <c r="B48" s="2">
        <v>2030</v>
      </c>
      <c r="C48" s="2">
        <v>59</v>
      </c>
      <c r="D48" s="2">
        <v>382443.52273</v>
      </c>
      <c r="E48" s="2">
        <v>22564167.84107</v>
      </c>
      <c r="F48" s="2">
        <f>E48/1.19</f>
        <v>18961485.580731094</v>
      </c>
      <c r="G48" s="2">
        <v>10</v>
      </c>
      <c r="H48" s="2">
        <v>822197.1790554621</v>
      </c>
      <c r="I48" s="2">
        <v>87</v>
      </c>
      <c r="J48" s="2">
        <v>7151105.968814872</v>
      </c>
      <c r="K48" s="2">
        <v>4849600.599541119</v>
      </c>
      <c r="L48" s="2">
        <v>1903001.79801679</v>
      </c>
      <c r="M48" s="2">
        <v>3982989.915000001</v>
      </c>
      <c r="N48" s="3">
        <v>0.5</v>
      </c>
      <c r="O48" s="3">
        <v>0.5</v>
      </c>
      <c r="P48" s="2">
        <v>152981.78</v>
      </c>
      <c r="Q48" s="2">
        <v>261598.8438</v>
      </c>
      <c r="R48" s="2">
        <v>273181.75</v>
      </c>
      <c r="S48" s="2">
        <v>305963.56</v>
      </c>
      <c r="T48" s="2">
        <v>1775681.375</v>
      </c>
      <c r="U48" s="2">
        <f>M48+P48+Q48+R48+S48+T48</f>
        <v>6752397.2238</v>
      </c>
      <c r="V48" s="2">
        <f>F48-K48-L48-U48</f>
        <v>5456485.959373184</v>
      </c>
      <c r="W48" s="2">
        <v>194931.0202077641</v>
      </c>
      <c r="X48" s="2">
        <v>192722.6514059052</v>
      </c>
      <c r="Y48" s="2">
        <f>W48+X48</f>
        <v>387653.6716136693</v>
      </c>
      <c r="Z48" s="2">
        <v>20350566.84301594</v>
      </c>
      <c r="AA48" s="2">
        <v>0</v>
      </c>
      <c r="AB48" s="2">
        <v>0</v>
      </c>
      <c r="AC48" s="2">
        <v>0</v>
      </c>
      <c r="AD48" s="2">
        <v>-926093.4051032268</v>
      </c>
      <c r="AE48" s="2">
        <v>154348.9008505378</v>
      </c>
      <c r="AF48" s="2">
        <f>F48-H48-L48-U48-AA48-AC48-AD48</f>
        <v>10409982.784962067</v>
      </c>
      <c r="AG48" s="2">
        <f>F48-H48-L48-U48-AA48-AB48-AD48-Y48</f>
        <v>10022329.113348398</v>
      </c>
      <c r="AH48" s="2">
        <f>AH47+AG48</f>
        <v>-12854872.664271843</v>
      </c>
      <c r="AI48" s="2">
        <v>22544991.48624101</v>
      </c>
      <c r="AJ48" s="2">
        <f>AH48-AI48</f>
        <v>-35399864.15051285</v>
      </c>
      <c r="AK48" s="3">
        <v>0.25</v>
      </c>
    </row>
    <row r="49" spans="1:37">
      <c r="A49" s="2">
        <v>48</v>
      </c>
      <c r="B49" s="2">
        <v>2030</v>
      </c>
      <c r="C49" s="2">
        <v>72</v>
      </c>
      <c r="D49" s="2">
        <v>382443.52273</v>
      </c>
      <c r="E49" s="2">
        <v>27535933.63656</v>
      </c>
      <c r="F49" s="2">
        <f>E49/1.19</f>
        <v>23139440.03072269</v>
      </c>
      <c r="G49" s="2">
        <v>20</v>
      </c>
      <c r="H49" s="2">
        <v>1644394.358110924</v>
      </c>
      <c r="I49" s="2">
        <v>35</v>
      </c>
      <c r="J49" s="2">
        <v>2877032.817218718</v>
      </c>
      <c r="K49" s="2">
        <v>5918467.509707078</v>
      </c>
      <c r="L49" s="2">
        <v>2322332.146604566</v>
      </c>
      <c r="M49" s="2">
        <v>3982989.915000001</v>
      </c>
      <c r="N49" s="3">
        <v>0.5</v>
      </c>
      <c r="O49" s="3">
        <v>0.5</v>
      </c>
      <c r="P49" s="2">
        <v>152981.78</v>
      </c>
      <c r="Q49" s="2">
        <v>261598.8438</v>
      </c>
      <c r="R49" s="2">
        <v>273181.75</v>
      </c>
      <c r="S49" s="2">
        <v>305963.56</v>
      </c>
      <c r="T49" s="2">
        <v>1775681.375</v>
      </c>
      <c r="U49" s="2">
        <f>M49+P49+Q49+R49+S49+T49</f>
        <v>6752397.2238</v>
      </c>
      <c r="V49" s="2">
        <f>F49-K49-L49-U49</f>
        <v>8146243.150611045</v>
      </c>
      <c r="W49" s="2">
        <v>193102.3148747697</v>
      </c>
      <c r="X49" s="2">
        <v>194551.3567388996</v>
      </c>
      <c r="Y49" s="2">
        <f>W49+X49</f>
        <v>387653.6716136693</v>
      </c>
      <c r="Z49" s="2">
        <v>20156015.48627704</v>
      </c>
      <c r="AA49" s="2">
        <v>0</v>
      </c>
      <c r="AB49" s="2">
        <v>0</v>
      </c>
      <c r="AC49" s="2">
        <v>0</v>
      </c>
      <c r="AD49" s="2">
        <v>154348.9008505378</v>
      </c>
      <c r="AE49" s="2">
        <v>308697.8017010756</v>
      </c>
      <c r="AF49" s="2">
        <f>F49-H49-L49-U49-AA49-AC49-AD49</f>
        <v>12265967.40135666</v>
      </c>
      <c r="AG49" s="2">
        <f>F49-H49-L49-U49-AA49-AB49-AD49-Y49</f>
        <v>11878313.72974299</v>
      </c>
      <c r="AH49" s="2">
        <f>AH48+AG49</f>
        <v>-976558.9345288519</v>
      </c>
      <c r="AI49" s="2">
        <v>22544991.48624101</v>
      </c>
      <c r="AJ49" s="2">
        <f>AH49-AI49</f>
        <v>-23521550.420769863</v>
      </c>
      <c r="AK49" s="3">
        <v>0.25</v>
      </c>
    </row>
    <row r="50" spans="1:37">
      <c r="A50" s="2">
        <v>49</v>
      </c>
      <c r="B50" s="2">
        <v>2031</v>
      </c>
      <c r="C50" s="2">
        <v>11</v>
      </c>
      <c r="D50" s="2">
        <v>393916.8284119</v>
      </c>
      <c r="E50" s="2">
        <v>4333085.1125309</v>
      </c>
      <c r="F50" s="2">
        <f>E50/1.19</f>
        <v>3641247.9937234456</v>
      </c>
      <c r="G50" s="2">
        <v>20</v>
      </c>
      <c r="H50" s="2">
        <v>1693726.188854252</v>
      </c>
      <c r="I50" s="2">
        <v>44</v>
      </c>
      <c r="J50" s="2">
        <v>3656607.204858377</v>
      </c>
      <c r="K50" s="2">
        <v>914151.8012145939</v>
      </c>
      <c r="L50" s="2">
        <v>364069.9811837126</v>
      </c>
      <c r="M50" s="2">
        <v>5773860.195300001</v>
      </c>
      <c r="N50" s="3">
        <v>1</v>
      </c>
      <c r="O50" s="3">
        <v>1</v>
      </c>
      <c r="P50" s="2">
        <v>180081.4096</v>
      </c>
      <c r="Q50" s="2">
        <v>324259.0881610001</v>
      </c>
      <c r="R50" s="2">
        <v>281377.2025</v>
      </c>
      <c r="S50" s="2">
        <v>315142.4668000001</v>
      </c>
      <c r="T50" s="2">
        <v>2391706.22125</v>
      </c>
      <c r="U50" s="2">
        <f>M50+P50+Q50+R50+S50+T50</f>
        <v>9266426.583611</v>
      </c>
      <c r="V50" s="2">
        <f>F50-K50-L50-U50</f>
        <v>-6903400.3722858615</v>
      </c>
      <c r="W50" s="2">
        <v>191256.2573355321</v>
      </c>
      <c r="X50" s="2">
        <v>196397.4142781372</v>
      </c>
      <c r="Y50" s="2">
        <f>W50+X50</f>
        <v>387653.6716136693</v>
      </c>
      <c r="Z50" s="2">
        <v>19959618.07199891</v>
      </c>
      <c r="AA50" s="2">
        <v>0</v>
      </c>
      <c r="AB50" s="2">
        <v>0</v>
      </c>
      <c r="AC50" s="2">
        <v>0</v>
      </c>
      <c r="AD50" s="2">
        <v>9260.934051032353</v>
      </c>
      <c r="AE50" s="2">
        <v>317958.7357521079</v>
      </c>
      <c r="AF50" s="2">
        <f>F50-H50-L50-U50-AA50-AC50-AD50</f>
        <v>-7692235.693976552</v>
      </c>
      <c r="AG50" s="2">
        <f>F50-H50-L50-U50-AA50-AB50-AD50-Y50</f>
        <v>-8079889.365590221</v>
      </c>
      <c r="AH50" s="2">
        <f>AH49+AG50</f>
        <v>-9056448.300119072</v>
      </c>
      <c r="AI50" s="2">
        <v>30087079.56567401</v>
      </c>
      <c r="AJ50" s="2">
        <f>AH50-AI50</f>
        <v>-39143527.86579308</v>
      </c>
      <c r="AK50" s="3">
        <v>0.25</v>
      </c>
    </row>
    <row r="51" spans="1:37">
      <c r="A51" s="2">
        <v>50</v>
      </c>
      <c r="B51" s="2">
        <v>2031</v>
      </c>
      <c r="C51" s="2">
        <v>16</v>
      </c>
      <c r="D51" s="2">
        <v>393916.8284119</v>
      </c>
      <c r="E51" s="2">
        <v>6302669.2545904</v>
      </c>
      <c r="F51" s="2">
        <f>E51/1.19</f>
        <v>5296360.718143194</v>
      </c>
      <c r="G51" s="2">
        <v>30</v>
      </c>
      <c r="H51" s="2">
        <v>2540589.283281378</v>
      </c>
      <c r="I51" s="2">
        <v>58</v>
      </c>
      <c r="J51" s="2">
        <v>4857262.112325754</v>
      </c>
      <c r="K51" s="2">
        <v>1339934.375814001</v>
      </c>
      <c r="L51" s="2">
        <v>530377.0585546402</v>
      </c>
      <c r="M51" s="2">
        <v>5773860.195300001</v>
      </c>
      <c r="N51" s="3">
        <v>1</v>
      </c>
      <c r="O51" s="3">
        <v>1</v>
      </c>
      <c r="P51" s="2">
        <v>180081.4096</v>
      </c>
      <c r="Q51" s="2">
        <v>324259.0881610001</v>
      </c>
      <c r="R51" s="2">
        <v>281377.2025</v>
      </c>
      <c r="S51" s="2">
        <v>315142.4668000001</v>
      </c>
      <c r="T51" s="2">
        <v>2391706.22125</v>
      </c>
      <c r="U51" s="2">
        <f>M51+P51+Q51+R51+S51+T51</f>
        <v>9266426.583611</v>
      </c>
      <c r="V51" s="2">
        <f>F51-K51-L51-U51</f>
        <v>-5840377.299836447</v>
      </c>
      <c r="W51" s="2">
        <v>189392.6829385593</v>
      </c>
      <c r="X51" s="2">
        <v>198260.98867511</v>
      </c>
      <c r="Y51" s="2">
        <f>W51+X51</f>
        <v>387653.6716136693</v>
      </c>
      <c r="Z51" s="2">
        <v>19761357.0833238</v>
      </c>
      <c r="AA51" s="2">
        <v>0</v>
      </c>
      <c r="AB51" s="2">
        <v>0</v>
      </c>
      <c r="AC51" s="2">
        <v>0</v>
      </c>
      <c r="AD51" s="2">
        <v>158979.367876054</v>
      </c>
      <c r="AE51" s="2">
        <v>476938.1036281619</v>
      </c>
      <c r="AF51" s="2">
        <f>F51-H51-L51-U51-AA51-AC51-AD51</f>
        <v>-7200011.575179879</v>
      </c>
      <c r="AG51" s="2">
        <f>F51-H51-L51-U51-AA51-AB51-AD51-Y51</f>
        <v>-7587665.246793548</v>
      </c>
      <c r="AH51" s="2">
        <f>AH50+AG51</f>
        <v>-16644113.54691262</v>
      </c>
      <c r="AI51" s="2">
        <v>30087079.56567401</v>
      </c>
      <c r="AJ51" s="2">
        <f>AH51-AI51</f>
        <v>-46731193.11258663</v>
      </c>
      <c r="AK51" s="3">
        <v>0.25</v>
      </c>
    </row>
    <row r="52" spans="1:37">
      <c r="A52" s="2">
        <v>51</v>
      </c>
      <c r="B52" s="2">
        <v>2031</v>
      </c>
      <c r="C52" s="2">
        <v>22</v>
      </c>
      <c r="D52" s="2">
        <v>393916.8284119</v>
      </c>
      <c r="E52" s="2">
        <v>8666170.2250618</v>
      </c>
      <c r="F52" s="2">
        <f>E52/1.19</f>
        <v>7282495.987446891</v>
      </c>
      <c r="G52" s="2">
        <v>30</v>
      </c>
      <c r="H52" s="2">
        <v>2540589.283281378</v>
      </c>
      <c r="I52" s="2">
        <v>66</v>
      </c>
      <c r="J52" s="2">
        <v>5548388.546705349</v>
      </c>
      <c r="K52" s="2">
        <v>1849462.848901783</v>
      </c>
      <c r="L52" s="2">
        <v>729832.7020852328</v>
      </c>
      <c r="M52" s="2">
        <v>5773860.195300001</v>
      </c>
      <c r="N52" s="3">
        <v>1</v>
      </c>
      <c r="O52" s="3">
        <v>1</v>
      </c>
      <c r="P52" s="2">
        <v>180081.4096</v>
      </c>
      <c r="Q52" s="2">
        <v>324259.0881610001</v>
      </c>
      <c r="R52" s="2">
        <v>281377.2025</v>
      </c>
      <c r="S52" s="2">
        <v>315142.4668000001</v>
      </c>
      <c r="T52" s="2">
        <v>2391706.22125</v>
      </c>
      <c r="U52" s="2">
        <f>M52+P52+Q52+R52+S52+T52</f>
        <v>9266426.583611</v>
      </c>
      <c r="V52" s="2">
        <f>F52-K52-L52-U52</f>
        <v>-4563226.147151126</v>
      </c>
      <c r="W52" s="2">
        <v>187511.4254700154</v>
      </c>
      <c r="X52" s="2">
        <v>200142.2461436539</v>
      </c>
      <c r="Y52" s="2">
        <f>W52+X52</f>
        <v>387653.6716136693</v>
      </c>
      <c r="Z52" s="2">
        <v>19561214.83718014</v>
      </c>
      <c r="AA52" s="2">
        <v>0</v>
      </c>
      <c r="AB52" s="2">
        <v>0</v>
      </c>
      <c r="AC52" s="2">
        <v>0</v>
      </c>
      <c r="AD52" s="2">
        <v>0</v>
      </c>
      <c r="AE52" s="2">
        <v>476938.1036281619</v>
      </c>
      <c r="AF52" s="2">
        <f>F52-H52-L52-U52-AA52-AC52-AD52</f>
        <v>-5254352.58153072</v>
      </c>
      <c r="AG52" s="2">
        <f>F52-H52-L52-U52-AA52-AB52-AD52-Y52</f>
        <v>-5642006.253144389</v>
      </c>
      <c r="AH52" s="2">
        <f>AH51+AG52</f>
        <v>-22286119.80005701</v>
      </c>
      <c r="AI52" s="2">
        <v>30087079.56567401</v>
      </c>
      <c r="AJ52" s="2">
        <f>AH52-AI52</f>
        <v>-52373199.365731016</v>
      </c>
      <c r="AK52" s="3">
        <v>0.25</v>
      </c>
    </row>
    <row r="53" spans="1:37">
      <c r="A53" s="2">
        <v>52</v>
      </c>
      <c r="B53" s="2">
        <v>2031</v>
      </c>
      <c r="C53" s="2">
        <v>28</v>
      </c>
      <c r="D53" s="2">
        <v>393916.8284119</v>
      </c>
      <c r="E53" s="2">
        <v>11029671.1955332</v>
      </c>
      <c r="F53" s="2">
        <f>E53/1.19</f>
        <v>9268631.25675059</v>
      </c>
      <c r="G53" s="2">
        <v>40</v>
      </c>
      <c r="H53" s="2">
        <v>3387452.377708504</v>
      </c>
      <c r="I53" s="2">
        <v>78</v>
      </c>
      <c r="J53" s="2">
        <v>6575430.114191326</v>
      </c>
      <c r="K53" s="2">
        <v>2360410.810222527</v>
      </c>
      <c r="L53" s="2">
        <v>929401.9046744623</v>
      </c>
      <c r="M53" s="2">
        <v>5773860.195300001</v>
      </c>
      <c r="N53" s="3">
        <v>1</v>
      </c>
      <c r="O53" s="3">
        <v>1</v>
      </c>
      <c r="P53" s="2">
        <v>180081.4096</v>
      </c>
      <c r="Q53" s="2">
        <v>324259.0881610001</v>
      </c>
      <c r="R53" s="2">
        <v>281377.2025</v>
      </c>
      <c r="S53" s="2">
        <v>315142.4668000001</v>
      </c>
      <c r="T53" s="2">
        <v>2391706.22125</v>
      </c>
      <c r="U53" s="2">
        <f>M53+P53+Q53+R53+S53+T53</f>
        <v>9266426.583611</v>
      </c>
      <c r="V53" s="2">
        <f>F53-K53-L53-U53</f>
        <v>-3287608.0417574</v>
      </c>
      <c r="W53" s="2">
        <v>185612.317138896</v>
      </c>
      <c r="X53" s="2">
        <v>202041.3544747733</v>
      </c>
      <c r="Y53" s="2">
        <f>W53+X53</f>
        <v>387653.6716136693</v>
      </c>
      <c r="Z53" s="2">
        <v>19359173.48270537</v>
      </c>
      <c r="AA53" s="2">
        <v>0</v>
      </c>
      <c r="AB53" s="2">
        <v>0</v>
      </c>
      <c r="AC53" s="2">
        <v>0</v>
      </c>
      <c r="AD53" s="2">
        <v>158979.367876054</v>
      </c>
      <c r="AE53" s="2">
        <v>635917.4715042158</v>
      </c>
      <c r="AF53" s="2">
        <f>F53-H53-L53-U53-AA53-AC53-AD53</f>
        <v>-4473628.977119431</v>
      </c>
      <c r="AG53" s="2">
        <f>F53-H53-L53-U53-AA53-AB53-AD53-Y53</f>
        <v>-4861282.6487331</v>
      </c>
      <c r="AH53" s="2">
        <f>AH52+AG53</f>
        <v>-27147402.44879011</v>
      </c>
      <c r="AI53" s="2">
        <v>30087079.56567401</v>
      </c>
      <c r="AJ53" s="2">
        <f>AH53-AI53</f>
        <v>-57234482.014464125</v>
      </c>
      <c r="AK53" s="3">
        <v>0.25</v>
      </c>
    </row>
    <row r="54" spans="1:37">
      <c r="A54" s="2">
        <v>53</v>
      </c>
      <c r="B54" s="2">
        <v>2031</v>
      </c>
      <c r="C54" s="2">
        <v>33</v>
      </c>
      <c r="D54" s="2">
        <v>393916.8284119</v>
      </c>
      <c r="E54" s="2">
        <v>12999255.3375927</v>
      </c>
      <c r="F54" s="2">
        <f>E54/1.19</f>
        <v>10923743.98117034</v>
      </c>
      <c r="G54" s="2">
        <v>40</v>
      </c>
      <c r="H54" s="2">
        <v>3387452.377708504</v>
      </c>
      <c r="I54" s="2">
        <v>85</v>
      </c>
      <c r="J54" s="2">
        <v>7176652.642470216</v>
      </c>
      <c r="K54" s="2">
        <v>2786229.849429614</v>
      </c>
      <c r="L54" s="2">
        <v>1095711.899214004</v>
      </c>
      <c r="M54" s="2">
        <v>5773860.195300001</v>
      </c>
      <c r="N54" s="3">
        <v>1</v>
      </c>
      <c r="O54" s="3">
        <v>1</v>
      </c>
      <c r="P54" s="2">
        <v>180081.4096</v>
      </c>
      <c r="Q54" s="2">
        <v>324259.0881610001</v>
      </c>
      <c r="R54" s="2">
        <v>281377.2025</v>
      </c>
      <c r="S54" s="2">
        <v>315142.4668000001</v>
      </c>
      <c r="T54" s="2">
        <v>2391706.22125</v>
      </c>
      <c r="U54" s="2">
        <f>M54+P54+Q54+R54+S54+T54</f>
        <v>9266426.583611</v>
      </c>
      <c r="V54" s="2">
        <f>F54-K54-L54-U54</f>
        <v>-2224624.351084279</v>
      </c>
      <c r="W54" s="2">
        <v>183695.1885620622</v>
      </c>
      <c r="X54" s="2">
        <v>203958.4830516072</v>
      </c>
      <c r="Y54" s="2">
        <f>W54+X54</f>
        <v>387653.6716136693</v>
      </c>
      <c r="Z54" s="2">
        <v>19155214.99965376</v>
      </c>
      <c r="AA54" s="2">
        <v>0</v>
      </c>
      <c r="AB54" s="2">
        <v>0</v>
      </c>
      <c r="AC54" s="2">
        <v>0</v>
      </c>
      <c r="AD54" s="2">
        <v>0</v>
      </c>
      <c r="AE54" s="2">
        <v>635917.4715042158</v>
      </c>
      <c r="AF54" s="2">
        <f>F54-H54-L54-U54-AA54-AC54-AD54</f>
        <v>-2825846.879363169</v>
      </c>
      <c r="AG54" s="2">
        <f>F54-H54-L54-U54-AA54-AB54-AD54-Y54</f>
        <v>-3213500.5509768385</v>
      </c>
      <c r="AH54" s="2">
        <f>AH53+AG54</f>
        <v>-30360902.99976695</v>
      </c>
      <c r="AI54" s="2">
        <v>30087079.56567401</v>
      </c>
      <c r="AJ54" s="2">
        <f>AH54-AI54</f>
        <v>-60447982.56544096</v>
      </c>
      <c r="AK54" s="3">
        <v>0.25</v>
      </c>
    </row>
    <row r="55" spans="1:37">
      <c r="A55" s="2">
        <v>54</v>
      </c>
      <c r="B55" s="2">
        <v>2031</v>
      </c>
      <c r="C55" s="2">
        <v>39</v>
      </c>
      <c r="D55" s="2">
        <v>393916.8284119</v>
      </c>
      <c r="E55" s="2">
        <v>15362756.3080641</v>
      </c>
      <c r="F55" s="2">
        <f>E55/1.19</f>
        <v>12909879.250474036</v>
      </c>
      <c r="G55" s="2">
        <v>60</v>
      </c>
      <c r="H55" s="2">
        <v>5081178.566562757</v>
      </c>
      <c r="I55" s="2">
        <v>106</v>
      </c>
      <c r="J55" s="2">
        <v>8960897.297637898</v>
      </c>
      <c r="K55" s="2">
        <v>3296933.911395076</v>
      </c>
      <c r="L55" s="2">
        <v>1295261.589854811</v>
      </c>
      <c r="M55" s="2">
        <v>5773860.195300001</v>
      </c>
      <c r="N55" s="3">
        <v>1</v>
      </c>
      <c r="O55" s="3">
        <v>1</v>
      </c>
      <c r="P55" s="2">
        <v>180081.4096</v>
      </c>
      <c r="Q55" s="2">
        <v>324259.0881610001</v>
      </c>
      <c r="R55" s="2">
        <v>281377.2025</v>
      </c>
      <c r="S55" s="2">
        <v>315142.4668000001</v>
      </c>
      <c r="T55" s="2">
        <v>2391706.22125</v>
      </c>
      <c r="U55" s="2">
        <f>M55+P55+Q55+R55+S55+T55</f>
        <v>9266426.583611</v>
      </c>
      <c r="V55" s="2">
        <f>F55-K55-L55-U55</f>
        <v>-948742.8343868526</v>
      </c>
      <c r="W55" s="2">
        <v>181759.8687491338</v>
      </c>
      <c r="X55" s="2">
        <v>205893.8028645355</v>
      </c>
      <c r="Y55" s="2">
        <f>W55+X55</f>
        <v>387653.6716136693</v>
      </c>
      <c r="Z55" s="2">
        <v>18949321.19678923</v>
      </c>
      <c r="AA55" s="2">
        <v>0</v>
      </c>
      <c r="AB55" s="2">
        <v>0</v>
      </c>
      <c r="AC55" s="2">
        <v>0</v>
      </c>
      <c r="AD55" s="2">
        <v>317958.7357521079</v>
      </c>
      <c r="AE55" s="2">
        <v>953876.2072563238</v>
      </c>
      <c r="AF55" s="2">
        <f>F55-H55-L55-U55-AA55-AC55-AD55</f>
        <v>-3050946.225306641</v>
      </c>
      <c r="AG55" s="2">
        <f>F55-H55-L55-U55-AA55-AB55-AD55-Y55</f>
        <v>-3438599.8969203103</v>
      </c>
      <c r="AH55" s="2">
        <f>AH54+AG55</f>
        <v>-33799502.89668726</v>
      </c>
      <c r="AI55" s="2">
        <v>30087079.56567401</v>
      </c>
      <c r="AJ55" s="2">
        <f>AH55-AI55</f>
        <v>-63886582.462361276</v>
      </c>
      <c r="AK55" s="3">
        <v>0.25</v>
      </c>
    </row>
    <row r="56" spans="1:37">
      <c r="A56" s="2">
        <v>55</v>
      </c>
      <c r="B56" s="2">
        <v>2031</v>
      </c>
      <c r="C56" s="2">
        <v>44</v>
      </c>
      <c r="D56" s="2">
        <v>393916.8284119</v>
      </c>
      <c r="E56" s="2">
        <v>17332340.4501236</v>
      </c>
      <c r="F56" s="2">
        <f>E56/1.19</f>
        <v>14564991.974893782</v>
      </c>
      <c r="G56" s="2">
        <v>60</v>
      </c>
      <c r="H56" s="2">
        <v>5081178.566562757</v>
      </c>
      <c r="I56" s="2">
        <v>122</v>
      </c>
      <c r="J56" s="2">
        <v>10320079.85200289</v>
      </c>
      <c r="K56" s="2">
        <v>3721996.012197764</v>
      </c>
      <c r="L56" s="2">
        <v>1461511.029322001</v>
      </c>
      <c r="M56" s="2">
        <v>5773860.195300001</v>
      </c>
      <c r="N56" s="3">
        <v>1</v>
      </c>
      <c r="O56" s="3">
        <v>1</v>
      </c>
      <c r="P56" s="2">
        <v>180081.4096</v>
      </c>
      <c r="Q56" s="2">
        <v>324259.0881610001</v>
      </c>
      <c r="R56" s="2">
        <v>281377.2025</v>
      </c>
      <c r="S56" s="2">
        <v>315142.4668000001</v>
      </c>
      <c r="T56" s="2">
        <v>2391706.22125</v>
      </c>
      <c r="U56" s="2">
        <f>M56+P56+Q56+R56+S56+T56</f>
        <v>9266426.583611</v>
      </c>
      <c r="V56" s="2">
        <f>F56-K56-L56-U56</f>
        <v>115058.34976301715</v>
      </c>
      <c r="W56" s="2">
        <v>179806.1850872384</v>
      </c>
      <c r="X56" s="2">
        <v>207847.486526431</v>
      </c>
      <c r="Y56" s="2">
        <f>W56+X56</f>
        <v>387653.6716136693</v>
      </c>
      <c r="Z56" s="2">
        <v>18741473.7102628</v>
      </c>
      <c r="AA56" s="2">
        <v>0</v>
      </c>
      <c r="AB56" s="2">
        <v>0</v>
      </c>
      <c r="AC56" s="2">
        <v>0</v>
      </c>
      <c r="AD56" s="2">
        <v>0</v>
      </c>
      <c r="AE56" s="2">
        <v>953876.2072563238</v>
      </c>
      <c r="AF56" s="2">
        <f>F56-H56-L56-U56-AA56-AC56-AD56</f>
        <v>-1244124.204601976</v>
      </c>
      <c r="AG56" s="2">
        <f>F56-H56-L56-U56-AA56-AB56-AD56-Y56</f>
        <v>-1631777.8762156453</v>
      </c>
      <c r="AH56" s="2">
        <f>AH55+AG56</f>
        <v>-35431280.772902906</v>
      </c>
      <c r="AI56" s="2">
        <v>30087079.56567401</v>
      </c>
      <c r="AJ56" s="2">
        <f>AH56-AI56</f>
        <v>-65518360.33857691</v>
      </c>
      <c r="AK56" s="3">
        <v>0.25</v>
      </c>
    </row>
    <row r="57" spans="1:37">
      <c r="A57" s="2">
        <v>56</v>
      </c>
      <c r="B57" s="2">
        <v>2031</v>
      </c>
      <c r="C57" s="2">
        <v>55</v>
      </c>
      <c r="D57" s="2">
        <v>393916.8284119</v>
      </c>
      <c r="E57" s="2">
        <v>21665425.5626545</v>
      </c>
      <c r="F57" s="2">
        <f>E57/1.19</f>
        <v>18206239.96861723</v>
      </c>
      <c r="G57" s="2">
        <v>70</v>
      </c>
      <c r="H57" s="2">
        <v>5928041.660989883</v>
      </c>
      <c r="I57" s="2">
        <v>137</v>
      </c>
      <c r="J57" s="2">
        <v>11593711.70458339</v>
      </c>
      <c r="K57" s="2">
        <v>4654409.808409388</v>
      </c>
      <c r="L57" s="2">
        <v>1827041.970105476</v>
      </c>
      <c r="M57" s="2">
        <v>5773860.195300001</v>
      </c>
      <c r="N57" s="3">
        <v>1</v>
      </c>
      <c r="O57" s="3">
        <v>1</v>
      </c>
      <c r="P57" s="2">
        <v>180081.4096</v>
      </c>
      <c r="Q57" s="2">
        <v>324259.0881610001</v>
      </c>
      <c r="R57" s="2">
        <v>281377.2025</v>
      </c>
      <c r="S57" s="2">
        <v>315142.4668000001</v>
      </c>
      <c r="T57" s="2">
        <v>2391706.22125</v>
      </c>
      <c r="U57" s="2">
        <f>M57+P57+Q57+R57+S57+T57</f>
        <v>9266426.583611</v>
      </c>
      <c r="V57" s="2">
        <f>F57-K57-L57-U57</f>
        <v>2458361.6064913645</v>
      </c>
      <c r="W57" s="2">
        <v>177833.9633256155</v>
      </c>
      <c r="X57" s="2">
        <v>209819.7082880538</v>
      </c>
      <c r="Y57" s="2">
        <f>W57+X57</f>
        <v>387653.6716136693</v>
      </c>
      <c r="Z57" s="2">
        <v>18531654.00197474</v>
      </c>
      <c r="AA57" s="2">
        <v>0</v>
      </c>
      <c r="AB57" s="2">
        <v>0</v>
      </c>
      <c r="AC57" s="2">
        <v>0</v>
      </c>
      <c r="AD57" s="2">
        <v>158979.3678760541</v>
      </c>
      <c r="AE57" s="2">
        <v>1112855.575132378</v>
      </c>
      <c r="AF57" s="2">
        <f>F57-H57-L57-U57-AA57-AC57-AD57</f>
        <v>1025750.3860348152</v>
      </c>
      <c r="AG57" s="2">
        <f>F57-H57-L57-U57-AA57-AB57-AD57-Y57</f>
        <v>638096.7144211459</v>
      </c>
      <c r="AH57" s="2">
        <f>AH56+AG57</f>
        <v>-34793184.05848176</v>
      </c>
      <c r="AI57" s="2">
        <v>30087079.56567401</v>
      </c>
      <c r="AJ57" s="2">
        <f>AH57-AI57</f>
        <v>-64880263.624155775</v>
      </c>
      <c r="AK57" s="3">
        <v>0.25</v>
      </c>
    </row>
    <row r="58" spans="1:37">
      <c r="A58" s="2">
        <v>57</v>
      </c>
      <c r="B58" s="2">
        <v>2031</v>
      </c>
      <c r="C58" s="2">
        <v>61</v>
      </c>
      <c r="D58" s="2">
        <v>393916.8284119</v>
      </c>
      <c r="E58" s="2">
        <v>24028926.5331259</v>
      </c>
      <c r="F58" s="2">
        <f>E58/1.19</f>
        <v>20192375.23792093</v>
      </c>
      <c r="G58" s="2">
        <v>80</v>
      </c>
      <c r="H58" s="2">
        <v>6774904.755417009</v>
      </c>
      <c r="I58" s="2">
        <v>156</v>
      </c>
      <c r="J58" s="2">
        <v>13205088.33069153</v>
      </c>
      <c r="K58" s="2">
        <v>5163528.129308867</v>
      </c>
      <c r="L58" s="2">
        <v>2026464.801461005</v>
      </c>
      <c r="M58" s="2">
        <v>5773860.195300001</v>
      </c>
      <c r="N58" s="3">
        <v>1</v>
      </c>
      <c r="O58" s="3">
        <v>1</v>
      </c>
      <c r="P58" s="2">
        <v>180081.4096</v>
      </c>
      <c r="Q58" s="2">
        <v>324259.0881610001</v>
      </c>
      <c r="R58" s="2">
        <v>281377.2025</v>
      </c>
      <c r="S58" s="2">
        <v>315142.4668000001</v>
      </c>
      <c r="T58" s="2">
        <v>2391706.22125</v>
      </c>
      <c r="U58" s="2">
        <f>M58+P58+Q58+R58+S58+T58</f>
        <v>9266426.583611</v>
      </c>
      <c r="V58" s="2">
        <f>F58-K58-L58-U58</f>
        <v>3735955.7235400565</v>
      </c>
      <c r="W58" s="2">
        <v>175843.0275600756</v>
      </c>
      <c r="X58" s="2">
        <v>211810.6440535937</v>
      </c>
      <c r="Y58" s="2">
        <f>W58+X58</f>
        <v>387653.6716136693</v>
      </c>
      <c r="Z58" s="2">
        <v>18319843.35792115</v>
      </c>
      <c r="AA58" s="2">
        <v>0</v>
      </c>
      <c r="AB58" s="2">
        <v>0</v>
      </c>
      <c r="AC58" s="2">
        <v>0</v>
      </c>
      <c r="AD58" s="2">
        <v>158979.3678760538</v>
      </c>
      <c r="AE58" s="2">
        <v>1271834.943008432</v>
      </c>
      <c r="AF58" s="2">
        <f>F58-H58-L58-U58-AA58-AC58-AD58</f>
        <v>1965599.729555863</v>
      </c>
      <c r="AG58" s="2">
        <f>F58-H58-L58-U58-AA58-AB58-AD58-Y58</f>
        <v>1577946.0579421937</v>
      </c>
      <c r="AH58" s="2">
        <f>AH57+AG58</f>
        <v>-33215238.000539567</v>
      </c>
      <c r="AI58" s="2">
        <v>30087079.56567401</v>
      </c>
      <c r="AJ58" s="2">
        <f>AH58-AI58</f>
        <v>-63302317.56621358</v>
      </c>
      <c r="AK58" s="3">
        <v>0.25</v>
      </c>
    </row>
    <row r="59" spans="1:37">
      <c r="A59" s="2">
        <v>58</v>
      </c>
      <c r="B59" s="2">
        <v>2031</v>
      </c>
      <c r="C59" s="2">
        <v>72</v>
      </c>
      <c r="D59" s="2">
        <v>393916.8284119</v>
      </c>
      <c r="E59" s="2">
        <v>28362011.6456568</v>
      </c>
      <c r="F59" s="2">
        <f>E59/1.19</f>
        <v>23833623.231644373</v>
      </c>
      <c r="G59" s="2">
        <v>90</v>
      </c>
      <c r="H59" s="2">
        <v>7621767.849844134</v>
      </c>
      <c r="I59" s="2">
        <v>174</v>
      </c>
      <c r="J59" s="2">
        <v>14731190.95696425</v>
      </c>
      <c r="K59" s="2">
        <v>6095665.223571414</v>
      </c>
      <c r="L59" s="2">
        <v>2391973.606088554</v>
      </c>
      <c r="M59" s="2">
        <v>5773860.195300001</v>
      </c>
      <c r="N59" s="3">
        <v>1</v>
      </c>
      <c r="O59" s="3">
        <v>1</v>
      </c>
      <c r="P59" s="2">
        <v>180081.4096</v>
      </c>
      <c r="Q59" s="2">
        <v>324259.0881610001</v>
      </c>
      <c r="R59" s="2">
        <v>281377.2025</v>
      </c>
      <c r="S59" s="2">
        <v>315142.4668000001</v>
      </c>
      <c r="T59" s="2">
        <v>2391706.22125</v>
      </c>
      <c r="U59" s="2">
        <f>M59+P59+Q59+R59+S59+T59</f>
        <v>9266426.583611</v>
      </c>
      <c r="V59" s="2">
        <f>F59-K59-L59-U59</f>
        <v>6079557.818373404</v>
      </c>
      <c r="W59" s="2">
        <v>173833.2002173103</v>
      </c>
      <c r="X59" s="2">
        <v>213820.471396359</v>
      </c>
      <c r="Y59" s="2">
        <f>W59+X59</f>
        <v>387653.6716136693</v>
      </c>
      <c r="Z59" s="2">
        <v>18106022.88652479</v>
      </c>
      <c r="AA59" s="2">
        <v>0</v>
      </c>
      <c r="AB59" s="2">
        <v>0</v>
      </c>
      <c r="AC59" s="2">
        <v>0</v>
      </c>
      <c r="AD59" s="2">
        <v>158979.3678760538</v>
      </c>
      <c r="AE59" s="2">
        <v>1430814.310884485</v>
      </c>
      <c r="AF59" s="2">
        <f>F59-H59-L59-U59-AA59-AC59-AD59</f>
        <v>4394475.824224631</v>
      </c>
      <c r="AG59" s="2">
        <f>F59-H59-L59-U59-AA59-AB59-AD59-Y59</f>
        <v>4006822.152610962</v>
      </c>
      <c r="AH59" s="2">
        <f>AH58+AG59</f>
        <v>-29208415.847928606</v>
      </c>
      <c r="AI59" s="2">
        <v>30087079.56567401</v>
      </c>
      <c r="AJ59" s="2">
        <f>AH59-AI59</f>
        <v>-59295495.41360262</v>
      </c>
      <c r="AK59" s="3">
        <v>0.25</v>
      </c>
    </row>
    <row r="60" spans="1:37">
      <c r="A60" s="2">
        <v>59</v>
      </c>
      <c r="B60" s="2">
        <v>2031</v>
      </c>
      <c r="C60" s="2">
        <v>77</v>
      </c>
      <c r="D60" s="2">
        <v>393916.8284119</v>
      </c>
      <c r="E60" s="2">
        <v>30331595.7877163</v>
      </c>
      <c r="F60" s="2">
        <f>E60/1.19</f>
        <v>25488735.95606412</v>
      </c>
      <c r="G60" s="2">
        <v>10</v>
      </c>
      <c r="H60" s="2">
        <v>846863.0944271261</v>
      </c>
      <c r="I60" s="2">
        <v>107</v>
      </c>
      <c r="J60" s="2">
        <v>9058977.084233027</v>
      </c>
      <c r="K60" s="2">
        <v>6519076.967158346</v>
      </c>
      <c r="L60" s="2">
        <v>2558091.016978483</v>
      </c>
      <c r="M60" s="2">
        <v>5773860.195300001</v>
      </c>
      <c r="N60" s="3">
        <v>1</v>
      </c>
      <c r="O60" s="3">
        <v>1</v>
      </c>
      <c r="P60" s="2">
        <v>180081.4096</v>
      </c>
      <c r="Q60" s="2">
        <v>324259.0881610001</v>
      </c>
      <c r="R60" s="2">
        <v>281377.2025</v>
      </c>
      <c r="S60" s="2">
        <v>315142.4668000001</v>
      </c>
      <c r="T60" s="2">
        <v>2391706.22125</v>
      </c>
      <c r="U60" s="2">
        <f>M60+P60+Q60+R60+S60+T60</f>
        <v>9266426.583611</v>
      </c>
      <c r="V60" s="2">
        <f>F60-K60-L60-U60</f>
        <v>7145141.388316289</v>
      </c>
      <c r="W60" s="2">
        <v>171804.3020390553</v>
      </c>
      <c r="X60" s="2">
        <v>215849.369574614</v>
      </c>
      <c r="Y60" s="2">
        <f>W60+X60</f>
        <v>387653.6716136693</v>
      </c>
      <c r="Z60" s="2">
        <v>17890173.51695018</v>
      </c>
      <c r="AA60" s="2">
        <v>0</v>
      </c>
      <c r="AB60" s="2">
        <v>0</v>
      </c>
      <c r="AC60" s="2">
        <v>0</v>
      </c>
      <c r="AD60" s="2">
        <v>-1271834.943008431</v>
      </c>
      <c r="AE60" s="2">
        <v>158979.367876054</v>
      </c>
      <c r="AF60" s="2">
        <f>F60-H60-L60-U60-AA60-AC60-AD60</f>
        <v>14089190.20405594</v>
      </c>
      <c r="AG60" s="2">
        <f>F60-H60-L60-U60-AA60-AB60-AD60-Y60</f>
        <v>13701536.532442272</v>
      </c>
      <c r="AH60" s="2">
        <f>AH59+AG60</f>
        <v>-15506879.315486334</v>
      </c>
      <c r="AI60" s="2">
        <v>30087079.56567401</v>
      </c>
      <c r="AJ60" s="2">
        <f>AH60-AI60</f>
        <v>-45593958.88116035</v>
      </c>
      <c r="AK60" s="3">
        <v>0.25</v>
      </c>
    </row>
    <row r="61" spans="1:37">
      <c r="A61" s="2">
        <v>60</v>
      </c>
      <c r="B61" s="2">
        <v>2031</v>
      </c>
      <c r="C61" s="2">
        <v>94</v>
      </c>
      <c r="D61" s="2">
        <v>393916.8284119</v>
      </c>
      <c r="E61" s="2">
        <v>37028181.87071861</v>
      </c>
      <c r="F61" s="2">
        <f>E61/1.19</f>
        <v>31116119.219091266</v>
      </c>
      <c r="G61" s="2">
        <v>20</v>
      </c>
      <c r="H61" s="2">
        <v>1693726.188854252</v>
      </c>
      <c r="I61" s="2">
        <v>33</v>
      </c>
      <c r="J61" s="2">
        <v>2794009.511904567</v>
      </c>
      <c r="K61" s="2">
        <v>7958693.761182711</v>
      </c>
      <c r="L61" s="2">
        <v>3122891.563270547</v>
      </c>
      <c r="M61" s="2">
        <v>5773860.195300001</v>
      </c>
      <c r="N61" s="3">
        <v>1</v>
      </c>
      <c r="O61" s="3">
        <v>1</v>
      </c>
      <c r="P61" s="2">
        <v>180081.4096</v>
      </c>
      <c r="Q61" s="2">
        <v>324259.0881610001</v>
      </c>
      <c r="R61" s="2">
        <v>281377.2025</v>
      </c>
      <c r="S61" s="2">
        <v>315142.4668000001</v>
      </c>
      <c r="T61" s="2">
        <v>2391706.22125</v>
      </c>
      <c r="U61" s="2">
        <f>M61+P61+Q61+R61+S61+T61</f>
        <v>9266426.583611</v>
      </c>
      <c r="V61" s="2">
        <f>F61-K61-L61-U61</f>
        <v>10768107.311027009</v>
      </c>
      <c r="W61" s="2">
        <v>169756.1520661016</v>
      </c>
      <c r="X61" s="2">
        <v>217897.5195475678</v>
      </c>
      <c r="Y61" s="2">
        <f>W61+X61</f>
        <v>387653.6716136693</v>
      </c>
      <c r="Z61" s="2">
        <v>17672275.99740261</v>
      </c>
      <c r="AA61" s="2">
        <v>0</v>
      </c>
      <c r="AB61" s="2">
        <v>0</v>
      </c>
      <c r="AC61" s="2">
        <v>0</v>
      </c>
      <c r="AD61" s="2">
        <v>158979.367876054</v>
      </c>
      <c r="AE61" s="2">
        <v>317958.7357521079</v>
      </c>
      <c r="AF61" s="2">
        <f>F61-H61-L61-U61-AA61-AC61-AD61</f>
        <v>16874095.515479416</v>
      </c>
      <c r="AG61" s="2">
        <f>F61-H61-L61-U61-AA61-AB61-AD61-Y61</f>
        <v>16486441.843865747</v>
      </c>
      <c r="AH61" s="2">
        <f>AH60+AG61</f>
        <v>979562.5283794124</v>
      </c>
      <c r="AI61" s="2">
        <v>30087079.56567401</v>
      </c>
      <c r="AJ61" s="2">
        <f>AH61-AI61</f>
        <v>-29107517.037294596</v>
      </c>
      <c r="AK61" s="3">
        <v>0.25</v>
      </c>
    </row>
    <row r="62" spans="1:37">
      <c r="A62" s="2">
        <v>61</v>
      </c>
      <c r="B62" s="2">
        <v>2032</v>
      </c>
      <c r="C62" s="2">
        <v>12</v>
      </c>
      <c r="D62" s="2">
        <v>405734.333264257</v>
      </c>
      <c r="E62" s="2">
        <v>4868811.999171085</v>
      </c>
      <c r="F62" s="2">
        <f>E62/1.19</f>
        <v>4091438.6547656176</v>
      </c>
      <c r="G62" s="2">
        <v>20</v>
      </c>
      <c r="H62" s="2">
        <v>1744537.97451988</v>
      </c>
      <c r="I62" s="2">
        <v>41</v>
      </c>
      <c r="J62" s="2">
        <v>3510951.829120799</v>
      </c>
      <c r="K62" s="2">
        <v>1027595.657303648</v>
      </c>
      <c r="L62" s="2">
        <v>409115.9858924461</v>
      </c>
      <c r="M62" s="2">
        <v>5947076.001159</v>
      </c>
      <c r="N62" s="3">
        <v>1</v>
      </c>
      <c r="O62" s="3">
        <v>1</v>
      </c>
      <c r="P62" s="2">
        <v>185483.851888</v>
      </c>
      <c r="Q62" s="2">
        <v>384531.21044531</v>
      </c>
      <c r="R62" s="2">
        <v>289818.518575</v>
      </c>
      <c r="S62" s="2">
        <v>324596.740804</v>
      </c>
      <c r="T62" s="2">
        <v>2585181.185689</v>
      </c>
      <c r="U62" s="2">
        <f>M62+P62+Q62+R62+S62+T62</f>
        <v>9716687.50856031</v>
      </c>
      <c r="V62" s="2">
        <f>F62-K62-L62-U62</f>
        <v>-7061960.496990787</v>
      </c>
      <c r="W62" s="2">
        <v>167688.5676221554</v>
      </c>
      <c r="X62" s="2">
        <v>219965.1039915139</v>
      </c>
      <c r="Y62" s="2">
        <f>W62+X62</f>
        <v>387653.6716136693</v>
      </c>
      <c r="Z62" s="2">
        <v>17452310.8934111</v>
      </c>
      <c r="AA62" s="2">
        <v>0</v>
      </c>
      <c r="AB62" s="2">
        <v>0</v>
      </c>
      <c r="AC62" s="2">
        <v>0</v>
      </c>
      <c r="AD62" s="2">
        <v>9538.76207256323</v>
      </c>
      <c r="AE62" s="2">
        <v>327497.4978246712</v>
      </c>
      <c r="AF62" s="2">
        <f>F62-H62-L62-U62-AA62-AC62-AD62</f>
        <v>-7788441.576279581</v>
      </c>
      <c r="AG62" s="2">
        <f>F62-H62-L62-U62-AA62-AB62-AD62-Y62</f>
        <v>-8176095.24789325</v>
      </c>
      <c r="AH62" s="2">
        <f>AH61+AG62</f>
        <v>-7196532.719513837</v>
      </c>
      <c r="AI62" s="2">
        <v>31437862.34052194</v>
      </c>
      <c r="AJ62" s="2">
        <f>AH62-AI62</f>
        <v>-38634395.06003577</v>
      </c>
      <c r="AK62" s="3">
        <v>0.25</v>
      </c>
    </row>
    <row r="63" spans="1:37">
      <c r="A63" s="2">
        <v>62</v>
      </c>
      <c r="B63" s="2">
        <v>2032</v>
      </c>
      <c r="C63" s="2">
        <v>17</v>
      </c>
      <c r="D63" s="2">
        <v>405734.333264257</v>
      </c>
      <c r="E63" s="2">
        <v>6897483.66549237</v>
      </c>
      <c r="F63" s="2">
        <f>E63/1.19</f>
        <v>5796204.760917958</v>
      </c>
      <c r="G63" s="2">
        <v>30</v>
      </c>
      <c r="H63" s="2">
        <v>2616806.96177982</v>
      </c>
      <c r="I63" s="2">
        <v>54</v>
      </c>
      <c r="J63" s="2">
        <v>4660548.939558217</v>
      </c>
      <c r="K63" s="2">
        <v>1467209.851342401</v>
      </c>
      <c r="L63" s="2">
        <v>580496.9269606107</v>
      </c>
      <c r="M63" s="2">
        <v>5947076.001159</v>
      </c>
      <c r="N63" s="3">
        <v>1</v>
      </c>
      <c r="O63" s="3">
        <v>1</v>
      </c>
      <c r="P63" s="2">
        <v>185483.851888</v>
      </c>
      <c r="Q63" s="2">
        <v>384531.21044531</v>
      </c>
      <c r="R63" s="2">
        <v>289818.518575</v>
      </c>
      <c r="S63" s="2">
        <v>324596.740804</v>
      </c>
      <c r="T63" s="2">
        <v>2585181.185689</v>
      </c>
      <c r="U63" s="2">
        <f>M63+P63+Q63+R63+S63+T63</f>
        <v>9716687.50856031</v>
      </c>
      <c r="V63" s="2">
        <f>F63-K63-L63-U63</f>
        <v>-5968189.525945364</v>
      </c>
      <c r="W63" s="2">
        <v>165601.3642975459</v>
      </c>
      <c r="X63" s="2">
        <v>222052.3073161234</v>
      </c>
      <c r="Y63" s="2">
        <f>W63+X63</f>
        <v>387653.6716136693</v>
      </c>
      <c r="Z63" s="2">
        <v>17230258.58609497</v>
      </c>
      <c r="AA63" s="2">
        <v>0</v>
      </c>
      <c r="AB63" s="2">
        <v>0</v>
      </c>
      <c r="AC63" s="2">
        <v>0</v>
      </c>
      <c r="AD63" s="2">
        <v>163748.7489123357</v>
      </c>
      <c r="AE63" s="2">
        <v>491246.2467370068</v>
      </c>
      <c r="AF63" s="2">
        <f>F63-H63-L63-U63-AA63-AC63-AD63</f>
        <v>-7281535.385295117</v>
      </c>
      <c r="AG63" s="2">
        <f>F63-H63-L63-U63-AA63-AB63-AD63-Y63</f>
        <v>-7669189.056908786</v>
      </c>
      <c r="AH63" s="2">
        <f>AH62+AG63</f>
        <v>-14865721.776422624</v>
      </c>
      <c r="AI63" s="2">
        <v>31437862.34052194</v>
      </c>
      <c r="AJ63" s="2">
        <f>AH63-AI63</f>
        <v>-46303584.11694456</v>
      </c>
      <c r="AK63" s="3">
        <v>0.25</v>
      </c>
    </row>
    <row r="64" spans="1:37">
      <c r="A64" s="2">
        <v>63</v>
      </c>
      <c r="B64" s="2">
        <v>2032</v>
      </c>
      <c r="C64" s="2">
        <v>23</v>
      </c>
      <c r="D64" s="2">
        <v>405734.333264257</v>
      </c>
      <c r="E64" s="2">
        <v>9331889.665077912</v>
      </c>
      <c r="F64" s="2">
        <f>E64/1.19</f>
        <v>7841924.088300766</v>
      </c>
      <c r="G64" s="2">
        <v>40</v>
      </c>
      <c r="H64" s="2">
        <v>3489075.94903976</v>
      </c>
      <c r="I64" s="2">
        <v>71</v>
      </c>
      <c r="J64" s="2">
        <v>6155567.735004855</v>
      </c>
      <c r="K64" s="2">
        <v>1994057.153593122</v>
      </c>
      <c r="L64" s="2">
        <v>786098.8777947454</v>
      </c>
      <c r="M64" s="2">
        <v>5947076.001159</v>
      </c>
      <c r="N64" s="3">
        <v>1</v>
      </c>
      <c r="O64" s="3">
        <v>1</v>
      </c>
      <c r="P64" s="2">
        <v>185483.851888</v>
      </c>
      <c r="Q64" s="2">
        <v>384531.21044531</v>
      </c>
      <c r="R64" s="2">
        <v>289818.518575</v>
      </c>
      <c r="S64" s="2">
        <v>324596.740804</v>
      </c>
      <c r="T64" s="2">
        <v>2585181.185689</v>
      </c>
      <c r="U64" s="2">
        <f>M64+P64+Q64+R64+S64+T64</f>
        <v>9716687.50856031</v>
      </c>
      <c r="V64" s="2">
        <f>F64-K64-L64-U64</f>
        <v>-4654919.45164741</v>
      </c>
      <c r="W64" s="2">
        <v>163494.3559327768</v>
      </c>
      <c r="X64" s="2">
        <v>224159.3156808925</v>
      </c>
      <c r="Y64" s="2">
        <f>W64+X64</f>
        <v>387653.6716136693</v>
      </c>
      <c r="Z64" s="2">
        <v>17006099.27041408</v>
      </c>
      <c r="AA64" s="2">
        <v>0</v>
      </c>
      <c r="AB64" s="2">
        <v>0</v>
      </c>
      <c r="AC64" s="2">
        <v>0</v>
      </c>
      <c r="AD64" s="2">
        <v>163748.7489123355</v>
      </c>
      <c r="AE64" s="2">
        <v>654994.9956493423</v>
      </c>
      <c r="AF64" s="2">
        <f>F64-H64-L64-U64-AA64-AC64-AD64</f>
        <v>-6313686.996006383</v>
      </c>
      <c r="AG64" s="2">
        <f>F64-H64-L64-U64-AA64-AB64-AD64-Y64</f>
        <v>-6701340.667620052</v>
      </c>
      <c r="AH64" s="2">
        <f>AH63+AG64</f>
        <v>-21567062.444042675</v>
      </c>
      <c r="AI64" s="2">
        <v>31437862.34052194</v>
      </c>
      <c r="AJ64" s="2">
        <f>AH64-AI64</f>
        <v>-53004924.784564614</v>
      </c>
      <c r="AK64" s="3">
        <v>0.25</v>
      </c>
    </row>
    <row r="65" spans="1:37">
      <c r="A65" s="2">
        <v>64</v>
      </c>
      <c r="B65" s="2">
        <v>2032</v>
      </c>
      <c r="C65" s="2">
        <v>29</v>
      </c>
      <c r="D65" s="2">
        <v>405734.333264257</v>
      </c>
      <c r="E65" s="2">
        <v>11766295.66466345</v>
      </c>
      <c r="F65" s="2">
        <f>E65/1.19</f>
        <v>9887643.415683575</v>
      </c>
      <c r="G65" s="2">
        <v>40</v>
      </c>
      <c r="H65" s="2">
        <v>3489075.94903976</v>
      </c>
      <c r="I65" s="2">
        <v>82</v>
      </c>
      <c r="J65" s="2">
        <v>7124871.910735661</v>
      </c>
      <c r="K65" s="2">
        <v>2519771.773308953</v>
      </c>
      <c r="L65" s="2">
        <v>991610.2140260891</v>
      </c>
      <c r="M65" s="2">
        <v>5947076.001159</v>
      </c>
      <c r="N65" s="3">
        <v>1</v>
      </c>
      <c r="O65" s="3">
        <v>1</v>
      </c>
      <c r="P65" s="2">
        <v>185483.851888</v>
      </c>
      <c r="Q65" s="2">
        <v>384531.21044531</v>
      </c>
      <c r="R65" s="2">
        <v>289818.518575</v>
      </c>
      <c r="S65" s="2">
        <v>324596.740804</v>
      </c>
      <c r="T65" s="2">
        <v>2585181.185689</v>
      </c>
      <c r="U65" s="2">
        <f>M65+P65+Q65+R65+S65+T65</f>
        <v>9716687.50856031</v>
      </c>
      <c r="V65" s="2">
        <f>F65-K65-L65-U65</f>
        <v>-3340426.0802117763</v>
      </c>
      <c r="W65" s="2">
        <v>161367.354601923</v>
      </c>
      <c r="X65" s="2">
        <v>226286.3170117463</v>
      </c>
      <c r="Y65" s="2">
        <f>W65+X65</f>
        <v>387653.6716136693</v>
      </c>
      <c r="Z65" s="2">
        <v>16779812.95340233</v>
      </c>
      <c r="AA65" s="2">
        <v>0</v>
      </c>
      <c r="AB65" s="2">
        <v>0</v>
      </c>
      <c r="AC65" s="2">
        <v>0</v>
      </c>
      <c r="AD65" s="2">
        <v>0</v>
      </c>
      <c r="AE65" s="2">
        <v>654994.9956493423</v>
      </c>
      <c r="AF65" s="2">
        <f>F65-H65-L65-U65-AA65-AC65-AD65</f>
        <v>-4309730.255942582</v>
      </c>
      <c r="AG65" s="2">
        <f>F65-H65-L65-U65-AA65-AB65-AD65-Y65</f>
        <v>-4697383.927556251</v>
      </c>
      <c r="AH65" s="2">
        <f>AH64+AG65</f>
        <v>-26264446.371598925</v>
      </c>
      <c r="AI65" s="2">
        <v>31437862.34052194</v>
      </c>
      <c r="AJ65" s="2">
        <f>AH65-AI65</f>
        <v>-57702308.71212086</v>
      </c>
      <c r="AK65" s="3">
        <v>0.25</v>
      </c>
    </row>
    <row r="66" spans="1:37">
      <c r="A66" s="2">
        <v>65</v>
      </c>
      <c r="B66" s="2">
        <v>2032</v>
      </c>
      <c r="C66" s="2">
        <v>35</v>
      </c>
      <c r="D66" s="2">
        <v>405734.333264257</v>
      </c>
      <c r="E66" s="2">
        <v>14200701.664249</v>
      </c>
      <c r="F66" s="2">
        <f>E66/1.19</f>
        <v>11933362.743066384</v>
      </c>
      <c r="G66" s="2">
        <v>40</v>
      </c>
      <c r="H66" s="2">
        <v>3489075.94903976</v>
      </c>
      <c r="I66" s="2">
        <v>87</v>
      </c>
      <c r="J66" s="2">
        <v>7568962.818036571</v>
      </c>
      <c r="K66" s="2">
        <v>3044985.04173885</v>
      </c>
      <c r="L66" s="2">
        <v>1197081.442154558</v>
      </c>
      <c r="M66" s="2">
        <v>5947076.001159</v>
      </c>
      <c r="N66" s="3">
        <v>1</v>
      </c>
      <c r="O66" s="3">
        <v>1</v>
      </c>
      <c r="P66" s="2">
        <v>185483.851888</v>
      </c>
      <c r="Q66" s="2">
        <v>384531.21044531</v>
      </c>
      <c r="R66" s="2">
        <v>289818.518575</v>
      </c>
      <c r="S66" s="2">
        <v>324596.740804</v>
      </c>
      <c r="T66" s="2">
        <v>2585181.185689</v>
      </c>
      <c r="U66" s="2">
        <f>M66+P66+Q66+R66+S66+T66</f>
        <v>9716687.50856031</v>
      </c>
      <c r="V66" s="2">
        <f>F66-K66-L66-U66</f>
        <v>-2025391.249387335</v>
      </c>
      <c r="W66" s="2">
        <v>159220.1705958691</v>
      </c>
      <c r="X66" s="2">
        <v>228433.5010178002</v>
      </c>
      <c r="Y66" s="2">
        <f>W66+X66</f>
        <v>387653.6716136693</v>
      </c>
      <c r="Z66" s="2">
        <v>16551379.45238453</v>
      </c>
      <c r="AA66" s="2">
        <v>0</v>
      </c>
      <c r="AB66" s="2">
        <v>0</v>
      </c>
      <c r="AC66" s="2">
        <v>0</v>
      </c>
      <c r="AD66" s="2">
        <v>0</v>
      </c>
      <c r="AE66" s="2">
        <v>654994.9956493423</v>
      </c>
      <c r="AF66" s="2">
        <f>F66-H66-L66-U66-AA66-AC66-AD66</f>
        <v>-2469482.156688243</v>
      </c>
      <c r="AG66" s="2">
        <f>F66-H66-L66-U66-AA66-AB66-AD66-Y66</f>
        <v>-2857135.8283019126</v>
      </c>
      <c r="AH66" s="2">
        <f>AH65+AG66</f>
        <v>-29121582.19990084</v>
      </c>
      <c r="AI66" s="2">
        <v>31437862.34052194</v>
      </c>
      <c r="AJ66" s="2">
        <f>AH66-AI66</f>
        <v>-60559444.540422775</v>
      </c>
      <c r="AK66" s="3">
        <v>0.25</v>
      </c>
    </row>
    <row r="67" spans="1:37">
      <c r="A67" s="2">
        <v>66</v>
      </c>
      <c r="B67" s="2">
        <v>2032</v>
      </c>
      <c r="C67" s="2">
        <v>41</v>
      </c>
      <c r="D67" s="2">
        <v>405734.333264257</v>
      </c>
      <c r="E67" s="2">
        <v>16635107.66383454</v>
      </c>
      <c r="F67" s="2">
        <f>E67/1.19</f>
        <v>13979082.070449192</v>
      </c>
      <c r="G67" s="2">
        <v>60</v>
      </c>
      <c r="H67" s="2">
        <v>5233613.92355964</v>
      </c>
      <c r="I67" s="2">
        <v>106</v>
      </c>
      <c r="J67" s="2">
        <v>9231790.03135509</v>
      </c>
      <c r="K67" s="2">
        <v>3570786.71024112</v>
      </c>
      <c r="L67" s="2">
        <v>1402599.742288817</v>
      </c>
      <c r="M67" s="2">
        <v>5947076.001159</v>
      </c>
      <c r="N67" s="3">
        <v>1</v>
      </c>
      <c r="O67" s="3">
        <v>1</v>
      </c>
      <c r="P67" s="2">
        <v>185483.851888</v>
      </c>
      <c r="Q67" s="2">
        <v>384531.21044531</v>
      </c>
      <c r="R67" s="2">
        <v>289818.518575</v>
      </c>
      <c r="S67" s="2">
        <v>324596.740804</v>
      </c>
      <c r="T67" s="2">
        <v>2585181.185689</v>
      </c>
      <c r="U67" s="2">
        <f>M67+P67+Q67+R67+S67+T67</f>
        <v>9716687.50856031</v>
      </c>
      <c r="V67" s="2">
        <f>F67-K67-L67-U67</f>
        <v>-710991.8906410541</v>
      </c>
      <c r="W67" s="2">
        <v>157052.6124053894</v>
      </c>
      <c r="X67" s="2">
        <v>230601.0592082799</v>
      </c>
      <c r="Y67" s="2">
        <f>W67+X67</f>
        <v>387653.6716136693</v>
      </c>
      <c r="Z67" s="2">
        <v>16320778.39317625</v>
      </c>
      <c r="AA67" s="2">
        <v>0</v>
      </c>
      <c r="AB67" s="2">
        <v>0</v>
      </c>
      <c r="AC67" s="2">
        <v>0</v>
      </c>
      <c r="AD67" s="2">
        <v>327497.4978246713</v>
      </c>
      <c r="AE67" s="2">
        <v>982492.4934740136</v>
      </c>
      <c r="AF67" s="2">
        <f>F67-H67-L67-U67-AA67-AC67-AD67</f>
        <v>-2701316.6017842446</v>
      </c>
      <c r="AG67" s="2">
        <f>F67-H67-L67-U67-AA67-AB67-AD67-Y67</f>
        <v>-3088970.273397914</v>
      </c>
      <c r="AH67" s="2">
        <f>AH66+AG67</f>
        <v>-32210552.473298755</v>
      </c>
      <c r="AI67" s="2">
        <v>31437862.34052194</v>
      </c>
      <c r="AJ67" s="2">
        <f>AH67-AI67</f>
        <v>-63648414.81382069</v>
      </c>
      <c r="AK67" s="3">
        <v>0.25</v>
      </c>
    </row>
    <row r="68" spans="1:37">
      <c r="A68" s="2">
        <v>67</v>
      </c>
      <c r="B68" s="2">
        <v>2032</v>
      </c>
      <c r="C68" s="2">
        <v>46</v>
      </c>
      <c r="D68" s="2">
        <v>405734.333264257</v>
      </c>
      <c r="E68" s="2">
        <v>18663779.33015582</v>
      </c>
      <c r="F68" s="2">
        <f>E68/1.19</f>
        <v>15683848.176601533</v>
      </c>
      <c r="G68" s="2">
        <v>70</v>
      </c>
      <c r="H68" s="2">
        <v>6105882.910819579</v>
      </c>
      <c r="I68" s="2">
        <v>130</v>
      </c>
      <c r="J68" s="2">
        <v>11328962.96865175</v>
      </c>
      <c r="K68" s="2">
        <v>4008709.973522925</v>
      </c>
      <c r="L68" s="2">
        <v>1573845.408896425</v>
      </c>
      <c r="M68" s="2">
        <v>5947076.001159</v>
      </c>
      <c r="N68" s="3">
        <v>1</v>
      </c>
      <c r="O68" s="3">
        <v>1</v>
      </c>
      <c r="P68" s="2">
        <v>185483.851888</v>
      </c>
      <c r="Q68" s="2">
        <v>384531.21044531</v>
      </c>
      <c r="R68" s="2">
        <v>289818.518575</v>
      </c>
      <c r="S68" s="2">
        <v>324596.740804</v>
      </c>
      <c r="T68" s="2">
        <v>2585181.185689</v>
      </c>
      <c r="U68" s="2">
        <f>M68+P68+Q68+R68+S68+T68</f>
        <v>9716687.50856031</v>
      </c>
      <c r="V68" s="2">
        <f>F68-K68-L68-U68</f>
        <v>384605.28562187403</v>
      </c>
      <c r="W68" s="2">
        <v>154864.4867040665</v>
      </c>
      <c r="X68" s="2">
        <v>232789.1849096028</v>
      </c>
      <c r="Y68" s="2">
        <f>W68+X68</f>
        <v>387653.6716136693</v>
      </c>
      <c r="Z68" s="2">
        <v>16087989.20826665</v>
      </c>
      <c r="AA68" s="2">
        <v>0</v>
      </c>
      <c r="AB68" s="2">
        <v>0</v>
      </c>
      <c r="AC68" s="2">
        <v>0</v>
      </c>
      <c r="AD68" s="2">
        <v>163748.7489123351</v>
      </c>
      <c r="AE68" s="2">
        <v>1146241.242386349</v>
      </c>
      <c r="AF68" s="2">
        <f>F68-H68-L68-U68-AA68-AC68-AD68</f>
        <v>-1876316.4005871161</v>
      </c>
      <c r="AG68" s="2">
        <f>F68-H68-L68-U68-AA68-AB68-AD68-Y68</f>
        <v>-2263970.0722007854</v>
      </c>
      <c r="AH68" s="2">
        <f>AH67+AG68</f>
        <v>-34474522.54549954</v>
      </c>
      <c r="AI68" s="2">
        <v>31437862.34052194</v>
      </c>
      <c r="AJ68" s="2">
        <f>AH68-AI68</f>
        <v>-65912384.88602148</v>
      </c>
      <c r="AK68" s="3">
        <v>0.25</v>
      </c>
    </row>
    <row r="69" spans="1:37">
      <c r="A69" s="2">
        <v>68</v>
      </c>
      <c r="B69" s="2">
        <v>2032</v>
      </c>
      <c r="C69" s="2">
        <v>58</v>
      </c>
      <c r="D69" s="2">
        <v>405734.333264257</v>
      </c>
      <c r="E69" s="2">
        <v>23532591.32932691</v>
      </c>
      <c r="F69" s="2">
        <f>E69/1.19</f>
        <v>19775286.83136715</v>
      </c>
      <c r="G69" s="2">
        <v>70</v>
      </c>
      <c r="H69" s="2">
        <v>6105882.910819579</v>
      </c>
      <c r="I69" s="2">
        <v>142</v>
      </c>
      <c r="J69" s="2">
        <v>12378740.57442464</v>
      </c>
      <c r="K69" s="2">
        <v>5056105.305046684</v>
      </c>
      <c r="L69" s="2">
        <v>1984545.36872648</v>
      </c>
      <c r="M69" s="2">
        <v>5947076.001159</v>
      </c>
      <c r="N69" s="3">
        <v>1</v>
      </c>
      <c r="O69" s="3">
        <v>1</v>
      </c>
      <c r="P69" s="2">
        <v>185483.851888</v>
      </c>
      <c r="Q69" s="2">
        <v>384531.21044531</v>
      </c>
      <c r="R69" s="2">
        <v>289818.518575</v>
      </c>
      <c r="S69" s="2">
        <v>324596.740804</v>
      </c>
      <c r="T69" s="2">
        <v>2585181.185689</v>
      </c>
      <c r="U69" s="2">
        <f>M69+P69+Q69+R69+S69+T69</f>
        <v>9716687.50856031</v>
      </c>
      <c r="V69" s="2">
        <f>F69-K69-L69-U69</f>
        <v>3017948.649033675</v>
      </c>
      <c r="W69" s="2">
        <v>152655.5983310489</v>
      </c>
      <c r="X69" s="2">
        <v>234998.0732826204</v>
      </c>
      <c r="Y69" s="2">
        <f>W69+X69</f>
        <v>387653.6716136693</v>
      </c>
      <c r="Z69" s="2">
        <v>15852991.13498403</v>
      </c>
      <c r="AA69" s="2">
        <v>0</v>
      </c>
      <c r="AB69" s="2">
        <v>0</v>
      </c>
      <c r="AC69" s="2">
        <v>0</v>
      </c>
      <c r="AD69" s="2">
        <v>0</v>
      </c>
      <c r="AE69" s="2">
        <v>1146241.242386349</v>
      </c>
      <c r="AF69" s="2">
        <f>F69-H69-L69-U69-AA69-AC69-AD69</f>
        <v>1968171.043260781</v>
      </c>
      <c r="AG69" s="2">
        <f>F69-H69-L69-U69-AA69-AB69-AD69-Y69</f>
        <v>1580517.3716471118</v>
      </c>
      <c r="AH69" s="2">
        <f>AH68+AG69</f>
        <v>-32894005.17385243</v>
      </c>
      <c r="AI69" s="2">
        <v>31437862.34052194</v>
      </c>
      <c r="AJ69" s="2">
        <f>AH69-AI69</f>
        <v>-64331867.51437436</v>
      </c>
      <c r="AK69" s="3">
        <v>0.25</v>
      </c>
    </row>
    <row r="70" spans="1:37">
      <c r="A70" s="2">
        <v>69</v>
      </c>
      <c r="B70" s="2">
        <v>2032</v>
      </c>
      <c r="C70" s="2">
        <v>64</v>
      </c>
      <c r="D70" s="2">
        <v>405734.333264257</v>
      </c>
      <c r="E70" s="2">
        <v>25966997.32891245</v>
      </c>
      <c r="F70" s="2">
        <f>E70/1.19</f>
        <v>21821006.158749957</v>
      </c>
      <c r="G70" s="2">
        <v>80</v>
      </c>
      <c r="H70" s="2">
        <v>6978151.898079519</v>
      </c>
      <c r="I70" s="2">
        <v>158</v>
      </c>
      <c r="J70" s="2">
        <v>13776527.07502548</v>
      </c>
      <c r="K70" s="2">
        <v>5580365.397478676</v>
      </c>
      <c r="L70" s="2">
        <v>2189940.342775117</v>
      </c>
      <c r="M70" s="2">
        <v>5947076.001159</v>
      </c>
      <c r="N70" s="3">
        <v>1</v>
      </c>
      <c r="O70" s="3">
        <v>1</v>
      </c>
      <c r="P70" s="2">
        <v>185483.851888</v>
      </c>
      <c r="Q70" s="2">
        <v>384531.21044531</v>
      </c>
      <c r="R70" s="2">
        <v>289818.518575</v>
      </c>
      <c r="S70" s="2">
        <v>324596.740804</v>
      </c>
      <c r="T70" s="2">
        <v>2585181.185689</v>
      </c>
      <c r="U70" s="2">
        <f>M70+P70+Q70+R70+S70+T70</f>
        <v>9716687.50856031</v>
      </c>
      <c r="V70" s="2">
        <f>F70-K70-L70-U70</f>
        <v>4334012.9099358525</v>
      </c>
      <c r="W70" s="2">
        <v>150425.7502736441</v>
      </c>
      <c r="X70" s="2">
        <v>237227.9213400252</v>
      </c>
      <c r="Y70" s="2">
        <f>W70+X70</f>
        <v>387653.6716136693</v>
      </c>
      <c r="Z70" s="2">
        <v>15615763.21364401</v>
      </c>
      <c r="AA70" s="2">
        <v>0</v>
      </c>
      <c r="AB70" s="2">
        <v>0</v>
      </c>
      <c r="AC70" s="2">
        <v>0</v>
      </c>
      <c r="AD70" s="2">
        <v>163748.7489123358</v>
      </c>
      <c r="AE70" s="2">
        <v>1309989.991298685</v>
      </c>
      <c r="AF70" s="2">
        <f>F70-H70-L70-U70-AA70-AC70-AD70</f>
        <v>2772477.660422676</v>
      </c>
      <c r="AG70" s="2">
        <f>F70-H70-L70-U70-AA70-AB70-AD70-Y70</f>
        <v>2384823.9888090063</v>
      </c>
      <c r="AH70" s="2">
        <f>AH69+AG70</f>
        <v>-30509181.185043424</v>
      </c>
      <c r="AI70" s="2">
        <v>31437862.34052194</v>
      </c>
      <c r="AJ70" s="2">
        <f>AH70-AI70</f>
        <v>-61947043.525565356</v>
      </c>
      <c r="AK70" s="3">
        <v>0.25</v>
      </c>
    </row>
    <row r="71" spans="1:37">
      <c r="A71" s="2">
        <v>70</v>
      </c>
      <c r="B71" s="2">
        <v>2032</v>
      </c>
      <c r="C71" s="2">
        <v>75</v>
      </c>
      <c r="D71" s="2">
        <v>405734.333264257</v>
      </c>
      <c r="E71" s="2">
        <v>30430074.99481928</v>
      </c>
      <c r="F71" s="2">
        <f>E71/1.19</f>
        <v>25571491.592285108</v>
      </c>
      <c r="G71" s="2">
        <v>100</v>
      </c>
      <c r="H71" s="2">
        <v>8722689.872599397</v>
      </c>
      <c r="I71" s="2">
        <v>183</v>
      </c>
      <c r="J71" s="2">
        <v>15958746.90471067</v>
      </c>
      <c r="K71" s="2">
        <v>6540470.042914209</v>
      </c>
      <c r="L71" s="2">
        <v>2566414.686609101</v>
      </c>
      <c r="M71" s="2">
        <v>5947076.001159</v>
      </c>
      <c r="N71" s="3">
        <v>1</v>
      </c>
      <c r="O71" s="3">
        <v>1</v>
      </c>
      <c r="P71" s="2">
        <v>185483.851888</v>
      </c>
      <c r="Q71" s="2">
        <v>384531.21044531</v>
      </c>
      <c r="R71" s="2">
        <v>289818.518575</v>
      </c>
      <c r="S71" s="2">
        <v>324596.740804</v>
      </c>
      <c r="T71" s="2">
        <v>2585181.185689</v>
      </c>
      <c r="U71" s="2">
        <f>M71+P71+Q71+R71+S71+T71</f>
        <v>9716687.50856031</v>
      </c>
      <c r="V71" s="2">
        <f>F71-K71-L71-U71</f>
        <v>6747919.35420149</v>
      </c>
      <c r="W71" s="2">
        <v>148174.7436497471</v>
      </c>
      <c r="X71" s="2">
        <v>239478.9279639222</v>
      </c>
      <c r="Y71" s="2">
        <f>W71+X71</f>
        <v>387653.6716136693</v>
      </c>
      <c r="Z71" s="2">
        <v>15376284.28568008</v>
      </c>
      <c r="AA71" s="2">
        <v>0</v>
      </c>
      <c r="AB71" s="2">
        <v>0</v>
      </c>
      <c r="AC71" s="2">
        <v>0</v>
      </c>
      <c r="AD71" s="2">
        <v>327497.4978246707</v>
      </c>
      <c r="AE71" s="2">
        <v>1637487.489123355</v>
      </c>
      <c r="AF71" s="2">
        <f>F71-H71-L71-U71-AA71-AC71-AD71</f>
        <v>4238202.0266916305</v>
      </c>
      <c r="AG71" s="2">
        <f>F71-H71-L71-U71-AA71-AB71-AD71-Y71</f>
        <v>3850548.355077961</v>
      </c>
      <c r="AH71" s="2">
        <f>AH70+AG71</f>
        <v>-26658632.829965465</v>
      </c>
      <c r="AI71" s="2">
        <v>31437862.34052194</v>
      </c>
      <c r="AJ71" s="2">
        <f>AH71-AI71</f>
        <v>-58096495.170487404</v>
      </c>
      <c r="AK71" s="3">
        <v>0.25</v>
      </c>
    </row>
    <row r="72" spans="1:37">
      <c r="A72" s="2">
        <v>71</v>
      </c>
      <c r="B72" s="2">
        <v>2032</v>
      </c>
      <c r="C72" s="2">
        <v>81</v>
      </c>
      <c r="D72" s="2">
        <v>405734.333264257</v>
      </c>
      <c r="E72" s="2">
        <v>32864480.99440482</v>
      </c>
      <c r="F72" s="2">
        <f>E72/1.19</f>
        <v>27617210.919667915</v>
      </c>
      <c r="G72" s="2">
        <v>10</v>
      </c>
      <c r="H72" s="2">
        <v>872268.9872599399</v>
      </c>
      <c r="I72" s="2">
        <v>112</v>
      </c>
      <c r="J72" s="2">
        <v>9767221.657516623</v>
      </c>
      <c r="K72" s="2">
        <v>7063794.234453986</v>
      </c>
      <c r="L72" s="2">
        <v>2771734.78858636</v>
      </c>
      <c r="M72" s="2">
        <v>5947076.001159</v>
      </c>
      <c r="N72" s="3">
        <v>1</v>
      </c>
      <c r="O72" s="3">
        <v>1</v>
      </c>
      <c r="P72" s="2">
        <v>185483.851888</v>
      </c>
      <c r="Q72" s="2">
        <v>384531.21044531</v>
      </c>
      <c r="R72" s="2">
        <v>289818.518575</v>
      </c>
      <c r="S72" s="2">
        <v>324596.740804</v>
      </c>
      <c r="T72" s="2">
        <v>2585181.185689</v>
      </c>
      <c r="U72" s="2">
        <f>M72+P72+Q72+R72+S72+T72</f>
        <v>9716687.50856031</v>
      </c>
      <c r="V72" s="2">
        <f>F72-K72-L72-U72</f>
        <v>8064994.3880672585</v>
      </c>
      <c r="W72" s="2">
        <v>145902.3776901015</v>
      </c>
      <c r="X72" s="2">
        <v>241751.2939235678</v>
      </c>
      <c r="Y72" s="2">
        <f>W72+X72</f>
        <v>387653.6716136693</v>
      </c>
      <c r="Z72" s="2">
        <v>15134532.99175652</v>
      </c>
      <c r="AA72" s="2">
        <v>0</v>
      </c>
      <c r="AB72" s="2">
        <v>0</v>
      </c>
      <c r="AC72" s="2">
        <v>0</v>
      </c>
      <c r="AD72" s="2">
        <v>-1473738.74021102</v>
      </c>
      <c r="AE72" s="2">
        <v>163748.7489123356</v>
      </c>
      <c r="AF72" s="2">
        <f>F72-H72-L72-U72-AA72-AC72-AD72</f>
        <v>15730258.375472326</v>
      </c>
      <c r="AG72" s="2">
        <f>F72-H72-L72-U72-AA72-AB72-AD72-Y72</f>
        <v>15342604.703858657</v>
      </c>
      <c r="AH72" s="2">
        <f>AH71+AG72</f>
        <v>-11316028.126106808</v>
      </c>
      <c r="AI72" s="2">
        <v>31437862.34052194</v>
      </c>
      <c r="AJ72" s="2">
        <f>AH72-AI72</f>
        <v>-42753890.466628745</v>
      </c>
      <c r="AK72" s="3">
        <v>0.25</v>
      </c>
    </row>
    <row r="73" spans="1:37">
      <c r="A73" s="2">
        <v>72</v>
      </c>
      <c r="B73" s="2">
        <v>2032</v>
      </c>
      <c r="C73" s="2">
        <v>99</v>
      </c>
      <c r="D73" s="2">
        <v>405734.333264257</v>
      </c>
      <c r="E73" s="2">
        <v>40167698.99316145</v>
      </c>
      <c r="F73" s="2">
        <f>E73/1.19</f>
        <v>33754368.901816346</v>
      </c>
      <c r="G73" s="2">
        <v>20</v>
      </c>
      <c r="H73" s="2">
        <v>1744537.97451988</v>
      </c>
      <c r="I73" s="2">
        <v>33</v>
      </c>
      <c r="J73" s="2">
        <v>2877939.908009124</v>
      </c>
      <c r="K73" s="2">
        <v>8633819.724027378</v>
      </c>
      <c r="L73" s="2">
        <v>3387699.327714463</v>
      </c>
      <c r="M73" s="2">
        <v>5947076.001159</v>
      </c>
      <c r="N73" s="3">
        <v>1</v>
      </c>
      <c r="O73" s="3">
        <v>1</v>
      </c>
      <c r="P73" s="2">
        <v>185483.851888</v>
      </c>
      <c r="Q73" s="2">
        <v>384531.21044531</v>
      </c>
      <c r="R73" s="2">
        <v>289818.518575</v>
      </c>
      <c r="S73" s="2">
        <v>324596.740804</v>
      </c>
      <c r="T73" s="2">
        <v>2585181.185689</v>
      </c>
      <c r="U73" s="2">
        <f>M73+P73+Q73+R73+S73+T73</f>
        <v>9716687.50856031</v>
      </c>
      <c r="V73" s="2">
        <f>F73-K73-L73-U73</f>
        <v>12016162.341514194</v>
      </c>
      <c r="W73" s="2">
        <v>143608.4497203932</v>
      </c>
      <c r="X73" s="2">
        <v>244045.2218932761</v>
      </c>
      <c r="Y73" s="2">
        <f>W73+X73</f>
        <v>387653.6716136693</v>
      </c>
      <c r="Z73" s="2">
        <v>14890487.76986324</v>
      </c>
      <c r="AA73" s="2">
        <v>0</v>
      </c>
      <c r="AB73" s="2">
        <v>0</v>
      </c>
      <c r="AC73" s="2">
        <v>0</v>
      </c>
      <c r="AD73" s="2">
        <v>163748.7489123356</v>
      </c>
      <c r="AE73" s="2">
        <v>327497.4978246712</v>
      </c>
      <c r="AF73" s="2">
        <f>F73-H73-L73-U73-AA73-AC73-AD73</f>
        <v>18741695.34210936</v>
      </c>
      <c r="AG73" s="2">
        <f>F73-H73-L73-U73-AA73-AB73-AD73-Y73</f>
        <v>18354041.67049569</v>
      </c>
      <c r="AH73" s="2">
        <f>AH72+AG73</f>
        <v>7038013.544388881</v>
      </c>
      <c r="AI73" s="2">
        <v>31437862.34052194</v>
      </c>
      <c r="AJ73" s="2">
        <f>AH73-AI73</f>
        <v>-24399848.796133056</v>
      </c>
      <c r="AK73" s="3">
        <v>0.25</v>
      </c>
    </row>
    <row r="74" spans="1:37">
      <c r="A74" s="2">
        <v>73</v>
      </c>
      <c r="B74" s="2">
        <v>2033</v>
      </c>
      <c r="C74" s="2">
        <v>12</v>
      </c>
      <c r="D74" s="2">
        <v>417906.3632621848</v>
      </c>
      <c r="E74" s="2">
        <v>5014876.359146217</v>
      </c>
      <c r="F74" s="2">
        <f>E74/1.19</f>
        <v>4214181.814408585</v>
      </c>
      <c r="G74" s="2">
        <v>30</v>
      </c>
      <c r="H74" s="2">
        <v>2695311.170633215</v>
      </c>
      <c r="I74" s="2">
        <v>51</v>
      </c>
      <c r="J74" s="2">
        <v>4511679.444615226</v>
      </c>
      <c r="K74" s="2">
        <v>1061571.634027112</v>
      </c>
      <c r="L74" s="2">
        <v>421641.3140295679</v>
      </c>
      <c r="M74" s="2">
        <v>6729977.256311577</v>
      </c>
      <c r="N74" s="3">
        <v>1</v>
      </c>
      <c r="O74" s="3">
        <v>1.5</v>
      </c>
      <c r="P74" s="2">
        <v>202988.89040993</v>
      </c>
      <c r="Q74" s="2">
        <v>439829.1634264572</v>
      </c>
      <c r="R74" s="2">
        <v>298513.07413225</v>
      </c>
      <c r="S74" s="2">
        <v>334334.64302812</v>
      </c>
      <c r="T74" s="2">
        <v>2797067.504619183</v>
      </c>
      <c r="U74" s="2">
        <f>M74+P74+Q74+R74+S74+T74</f>
        <v>10802710.531927517</v>
      </c>
      <c r="V74" s="2">
        <f>F74-K74-L74-U74</f>
        <v>-8071741.665575611</v>
      </c>
      <c r="W74" s="2">
        <v>141292.7551431736</v>
      </c>
      <c r="X74" s="2">
        <v>246360.9164704958</v>
      </c>
      <c r="Y74" s="2">
        <f>W74+X74</f>
        <v>387653.6716136693</v>
      </c>
      <c r="Z74" s="2">
        <v>14644126.85339274</v>
      </c>
      <c r="AA74" s="2">
        <v>1791078.4447935</v>
      </c>
      <c r="AB74" s="2">
        <v>0</v>
      </c>
      <c r="AC74" s="2">
        <v>0</v>
      </c>
      <c r="AD74" s="2">
        <v>178486.1363144458</v>
      </c>
      <c r="AE74" s="2">
        <v>505983.634139117</v>
      </c>
      <c r="AF74" s="2">
        <f>F74-H74-L74-U74-AA74-AC74-AD74</f>
        <v>-11675045.78328966</v>
      </c>
      <c r="AG74" s="2">
        <f>F74-H74-L74-U74-AA74-AB74-AD74-Y74</f>
        <v>-12062699.454903329</v>
      </c>
      <c r="AH74" s="2">
        <f>AH73+AG74</f>
        <v>-5024685.910514448</v>
      </c>
      <c r="AI74" s="2">
        <v>34695931.41062355</v>
      </c>
      <c r="AJ74" s="2">
        <f>AH74-AI74</f>
        <v>-39720617.321137995</v>
      </c>
      <c r="AK74" s="3">
        <v>0.25</v>
      </c>
    </row>
    <row r="75" spans="1:37">
      <c r="A75" s="2">
        <v>74</v>
      </c>
      <c r="B75" s="2">
        <v>2033</v>
      </c>
      <c r="C75" s="2">
        <v>18</v>
      </c>
      <c r="D75" s="2">
        <v>417906.3632621848</v>
      </c>
      <c r="E75" s="2">
        <v>7522314.538719325</v>
      </c>
      <c r="F75" s="2">
        <f>E75/1.19</f>
        <v>6321272.721612879</v>
      </c>
      <c r="G75" s="2">
        <v>30</v>
      </c>
      <c r="H75" s="2">
        <v>2695311.170633215</v>
      </c>
      <c r="I75" s="2">
        <v>63</v>
      </c>
      <c r="J75" s="2">
        <v>5605437.145193231</v>
      </c>
      <c r="K75" s="2">
        <v>1601553.470055209</v>
      </c>
      <c r="L75" s="2">
        <v>633197.652565515</v>
      </c>
      <c r="M75" s="2">
        <v>6729977.256311577</v>
      </c>
      <c r="N75" s="3">
        <v>1</v>
      </c>
      <c r="O75" s="3">
        <v>1.5</v>
      </c>
      <c r="P75" s="2">
        <v>202988.89040993</v>
      </c>
      <c r="Q75" s="2">
        <v>439829.1634264572</v>
      </c>
      <c r="R75" s="2">
        <v>298513.07413225</v>
      </c>
      <c r="S75" s="2">
        <v>334334.64302812</v>
      </c>
      <c r="T75" s="2">
        <v>2797067.504619183</v>
      </c>
      <c r="U75" s="2">
        <f>M75+P75+Q75+R75+S75+T75</f>
        <v>10802710.531927517</v>
      </c>
      <c r="V75" s="2">
        <f>F75-K75-L75-U75</f>
        <v>-6716188.932935363</v>
      </c>
      <c r="W75" s="2">
        <v>138955.0874196109</v>
      </c>
      <c r="X75" s="2">
        <v>248698.5841940584</v>
      </c>
      <c r="Y75" s="2">
        <f>W75+X75</f>
        <v>387653.6716136693</v>
      </c>
      <c r="Z75" s="2">
        <v>14395428.26919869</v>
      </c>
      <c r="AA75" s="2">
        <v>0</v>
      </c>
      <c r="AB75" s="2">
        <v>0</v>
      </c>
      <c r="AC75" s="2">
        <v>0</v>
      </c>
      <c r="AD75" s="2">
        <v>0</v>
      </c>
      <c r="AE75" s="2">
        <v>505983.634139117</v>
      </c>
      <c r="AF75" s="2">
        <f>F75-H75-L75-U75-AA75-AC75-AD75</f>
        <v>-7809946.633513367</v>
      </c>
      <c r="AG75" s="2">
        <f>F75-H75-L75-U75-AA75-AB75-AD75-Y75</f>
        <v>-8197600.305127036</v>
      </c>
      <c r="AH75" s="2">
        <f>AH74+AG75</f>
        <v>-13222286.215641484</v>
      </c>
      <c r="AI75" s="2">
        <v>34695931.41062355</v>
      </c>
      <c r="AJ75" s="2">
        <f>AH75-AI75</f>
        <v>-47918217.626265034</v>
      </c>
      <c r="AK75" s="3">
        <v>0.25</v>
      </c>
    </row>
    <row r="76" spans="1:37">
      <c r="A76" s="2">
        <v>75</v>
      </c>
      <c r="B76" s="2">
        <v>2033</v>
      </c>
      <c r="C76" s="2">
        <v>24</v>
      </c>
      <c r="D76" s="2">
        <v>417906.3632621848</v>
      </c>
      <c r="E76" s="2">
        <v>10029752.71829243</v>
      </c>
      <c r="F76" s="2">
        <f>E76/1.19</f>
        <v>8428363.62881717</v>
      </c>
      <c r="G76" s="2">
        <v>30</v>
      </c>
      <c r="H76" s="2">
        <v>2695311.170633215</v>
      </c>
      <c r="I76" s="2">
        <v>69</v>
      </c>
      <c r="J76" s="2">
        <v>6158619.718193814</v>
      </c>
      <c r="K76" s="2">
        <v>2142128.597632631</v>
      </c>
      <c r="L76" s="2">
        <v>844801.4544254083</v>
      </c>
      <c r="M76" s="2">
        <v>6729977.256311577</v>
      </c>
      <c r="N76" s="3">
        <v>1</v>
      </c>
      <c r="O76" s="3">
        <v>1.5</v>
      </c>
      <c r="P76" s="2">
        <v>202988.89040993</v>
      </c>
      <c r="Q76" s="2">
        <v>439829.1634264572</v>
      </c>
      <c r="R76" s="2">
        <v>298513.07413225</v>
      </c>
      <c r="S76" s="2">
        <v>334334.64302812</v>
      </c>
      <c r="T76" s="2">
        <v>2797067.504619183</v>
      </c>
      <c r="U76" s="2">
        <f>M76+P76+Q76+R76+S76+T76</f>
        <v>10802710.531927517</v>
      </c>
      <c r="V76" s="2">
        <f>F76-K76-L76-U76</f>
        <v>-5361276.955168386</v>
      </c>
      <c r="W76" s="2">
        <v>136595.2380510695</v>
      </c>
      <c r="X76" s="2">
        <v>251058.4335625998</v>
      </c>
      <c r="Y76" s="2">
        <f>W76+X76</f>
        <v>387653.6716136693</v>
      </c>
      <c r="Z76" s="2">
        <v>14144369.83563609</v>
      </c>
      <c r="AA76" s="2">
        <v>0</v>
      </c>
      <c r="AB76" s="2">
        <v>0</v>
      </c>
      <c r="AC76" s="2">
        <v>0</v>
      </c>
      <c r="AD76" s="2">
        <v>0</v>
      </c>
      <c r="AE76" s="2">
        <v>505983.634139117</v>
      </c>
      <c r="AF76" s="2">
        <f>F76-H76-L76-U76-AA76-AC76-AD76</f>
        <v>-5914459.528168969</v>
      </c>
      <c r="AG76" s="2">
        <f>F76-H76-L76-U76-AA76-AB76-AD76-Y76</f>
        <v>-6302113.199782638</v>
      </c>
      <c r="AH76" s="2">
        <f>AH75+AG76</f>
        <v>-19524399.415424123</v>
      </c>
      <c r="AI76" s="2">
        <v>34695931.41062355</v>
      </c>
      <c r="AJ76" s="2">
        <f>AH76-AI76</f>
        <v>-54220330.826047674</v>
      </c>
      <c r="AK76" s="3">
        <v>0.25</v>
      </c>
    </row>
    <row r="77" spans="1:37">
      <c r="A77" s="2">
        <v>76</v>
      </c>
      <c r="B77" s="2">
        <v>2033</v>
      </c>
      <c r="C77" s="2">
        <v>30</v>
      </c>
      <c r="D77" s="2">
        <v>417906.3632621848</v>
      </c>
      <c r="E77" s="2">
        <v>12537190.89786554</v>
      </c>
      <c r="F77" s="2">
        <f>E77/1.19</f>
        <v>10535454.536021465</v>
      </c>
      <c r="G77" s="2">
        <v>50</v>
      </c>
      <c r="H77" s="2">
        <v>4492185.28438869</v>
      </c>
      <c r="I77" s="2">
        <v>89</v>
      </c>
      <c r="J77" s="2">
        <v>7965728.11117515</v>
      </c>
      <c r="K77" s="2">
        <v>2685076.891407354</v>
      </c>
      <c r="L77" s="2">
        <v>1056595.109581086</v>
      </c>
      <c r="M77" s="2">
        <v>6729977.256311577</v>
      </c>
      <c r="N77" s="3">
        <v>1</v>
      </c>
      <c r="O77" s="3">
        <v>1.5</v>
      </c>
      <c r="P77" s="2">
        <v>202988.89040993</v>
      </c>
      <c r="Q77" s="2">
        <v>439829.1634264572</v>
      </c>
      <c r="R77" s="2">
        <v>298513.07413225</v>
      </c>
      <c r="S77" s="2">
        <v>334334.64302812</v>
      </c>
      <c r="T77" s="2">
        <v>2797067.504619183</v>
      </c>
      <c r="U77" s="2">
        <f>M77+P77+Q77+R77+S77+T77</f>
        <v>10802710.531927517</v>
      </c>
      <c r="V77" s="2">
        <f>F77-K77-L77-U77</f>
        <v>-4008927.996894491</v>
      </c>
      <c r="W77" s="2">
        <v>134212.9965605132</v>
      </c>
      <c r="X77" s="2">
        <v>253440.6750531561</v>
      </c>
      <c r="Y77" s="2">
        <f>W77+X77</f>
        <v>387653.6716136693</v>
      </c>
      <c r="Z77" s="2">
        <v>13890929.16058293</v>
      </c>
      <c r="AA77" s="2">
        <v>0</v>
      </c>
      <c r="AB77" s="2">
        <v>0</v>
      </c>
      <c r="AC77" s="2">
        <v>0</v>
      </c>
      <c r="AD77" s="2">
        <v>337322.4227594113</v>
      </c>
      <c r="AE77" s="2">
        <v>843306.0568985282</v>
      </c>
      <c r="AF77" s="2">
        <f>F77-H77-L77-U77-AA77-AC77-AD77</f>
        <v>-6153358.812635238</v>
      </c>
      <c r="AG77" s="2">
        <f>F77-H77-L77-U77-AA77-AB77-AD77-Y77</f>
        <v>-6541012.484248907</v>
      </c>
      <c r="AH77" s="2">
        <f>AH76+AG77</f>
        <v>-26065411.89967303</v>
      </c>
      <c r="AI77" s="2">
        <v>34695931.41062355</v>
      </c>
      <c r="AJ77" s="2">
        <f>AH77-AI77</f>
        <v>-60761343.31029658</v>
      </c>
      <c r="AK77" s="3">
        <v>0.25</v>
      </c>
    </row>
    <row r="78" spans="1:37">
      <c r="A78" s="2">
        <v>77</v>
      </c>
      <c r="B78" s="2">
        <v>2033</v>
      </c>
      <c r="C78" s="2">
        <v>37</v>
      </c>
      <c r="D78" s="2">
        <v>417906.3632621848</v>
      </c>
      <c r="E78" s="2">
        <v>15462535.44070084</v>
      </c>
      <c r="F78" s="2">
        <f>E78/1.19</f>
        <v>12993727.26109314</v>
      </c>
      <c r="G78" s="2">
        <v>40</v>
      </c>
      <c r="H78" s="2">
        <v>3593748.227510952</v>
      </c>
      <c r="I78" s="2">
        <v>92</v>
      </c>
      <c r="J78" s="2">
        <v>8243967.621388538</v>
      </c>
      <c r="K78" s="2">
        <v>3315508.717297564</v>
      </c>
      <c r="L78" s="2">
        <v>1303447.079248285</v>
      </c>
      <c r="M78" s="2">
        <v>6729977.256311577</v>
      </c>
      <c r="N78" s="3">
        <v>1</v>
      </c>
      <c r="O78" s="3">
        <v>1.5</v>
      </c>
      <c r="P78" s="2">
        <v>202988.89040993</v>
      </c>
      <c r="Q78" s="2">
        <v>439829.1634264572</v>
      </c>
      <c r="R78" s="2">
        <v>298513.07413225</v>
      </c>
      <c r="S78" s="2">
        <v>334334.64302812</v>
      </c>
      <c r="T78" s="2">
        <v>2797067.504619183</v>
      </c>
      <c r="U78" s="2">
        <f>M78+P78+Q78+R78+S78+T78</f>
        <v>10802710.531927517</v>
      </c>
      <c r="V78" s="2">
        <f>F78-K78-L78-U78</f>
        <v>-2427939.0673802253</v>
      </c>
      <c r="W78" s="2">
        <v>131808.1504737329</v>
      </c>
      <c r="X78" s="2">
        <v>255845.5211399364</v>
      </c>
      <c r="Y78" s="2">
        <f>W78+X78</f>
        <v>387653.6716136693</v>
      </c>
      <c r="Z78" s="2">
        <v>13635083.63944299</v>
      </c>
      <c r="AA78" s="2">
        <v>0</v>
      </c>
      <c r="AB78" s="2">
        <v>0</v>
      </c>
      <c r="AC78" s="2">
        <v>0</v>
      </c>
      <c r="AD78" s="2">
        <v>-168661.2113797057</v>
      </c>
      <c r="AE78" s="2">
        <v>674644.8455188225</v>
      </c>
      <c r="AF78" s="2">
        <f>F78-H78-L78-U78-AA78-AC78-AD78</f>
        <v>-2537517.3662139075</v>
      </c>
      <c r="AG78" s="2">
        <f>F78-H78-L78-U78-AA78-AB78-AD78-Y78</f>
        <v>-2925171.037827577</v>
      </c>
      <c r="AH78" s="2">
        <f>AH77+AG78</f>
        <v>-28990582.937500607</v>
      </c>
      <c r="AI78" s="2">
        <v>34695931.41062355</v>
      </c>
      <c r="AJ78" s="2">
        <f>AH78-AI78</f>
        <v>-63686514.34812416</v>
      </c>
      <c r="AK78" s="3">
        <v>0.25</v>
      </c>
    </row>
    <row r="79" spans="1:37">
      <c r="A79" s="2">
        <v>78</v>
      </c>
      <c r="B79" s="2">
        <v>2033</v>
      </c>
      <c r="C79" s="2">
        <v>43</v>
      </c>
      <c r="D79" s="2">
        <v>417906.3632621848</v>
      </c>
      <c r="E79" s="2">
        <v>17969973.62027394</v>
      </c>
      <c r="F79" s="2">
        <f>E79/1.19</f>
        <v>15100818.168297432</v>
      </c>
      <c r="G79" s="2">
        <v>70</v>
      </c>
      <c r="H79" s="2">
        <v>6289059.398144167</v>
      </c>
      <c r="I79" s="2">
        <v>119</v>
      </c>
      <c r="J79" s="2">
        <v>10675495.15632341</v>
      </c>
      <c r="K79" s="2">
        <v>3857531.863209298</v>
      </c>
      <c r="L79" s="2">
        <v>1515166.722574923</v>
      </c>
      <c r="M79" s="2">
        <v>6729977.256311577</v>
      </c>
      <c r="N79" s="3">
        <v>1</v>
      </c>
      <c r="O79" s="3">
        <v>1.5</v>
      </c>
      <c r="P79" s="2">
        <v>202988.89040993</v>
      </c>
      <c r="Q79" s="2">
        <v>439829.1634264572</v>
      </c>
      <c r="R79" s="2">
        <v>298513.07413225</v>
      </c>
      <c r="S79" s="2">
        <v>334334.64302812</v>
      </c>
      <c r="T79" s="2">
        <v>2797067.504619183</v>
      </c>
      <c r="U79" s="2">
        <f>M79+P79+Q79+R79+S79+T79</f>
        <v>10802710.531927517</v>
      </c>
      <c r="V79" s="2">
        <f>F79-K79-L79-U79</f>
        <v>-1074590.9494143054</v>
      </c>
      <c r="W79" s="2">
        <v>129380.4853003956</v>
      </c>
      <c r="X79" s="2">
        <v>258273.1863132738</v>
      </c>
      <c r="Y79" s="2">
        <f>W79+X79</f>
        <v>387653.6716136693</v>
      </c>
      <c r="Z79" s="2">
        <v>13376810.45312972</v>
      </c>
      <c r="AA79" s="2">
        <v>0</v>
      </c>
      <c r="AB79" s="2">
        <v>0</v>
      </c>
      <c r="AC79" s="2">
        <v>0</v>
      </c>
      <c r="AD79" s="2">
        <v>505983.6341391171</v>
      </c>
      <c r="AE79" s="2">
        <v>1180628.47965794</v>
      </c>
      <c r="AF79" s="2">
        <f>F79-H79-L79-U79-AA79-AC79-AD79</f>
        <v>-4012102.1184882913</v>
      </c>
      <c r="AG79" s="2">
        <f>F79-H79-L79-U79-AA79-AB79-AD79-Y79</f>
        <v>-4399755.79010196</v>
      </c>
      <c r="AH79" s="2">
        <f>AH78+AG79</f>
        <v>-33390338.727602568</v>
      </c>
      <c r="AI79" s="2">
        <v>34695931.41062355</v>
      </c>
      <c r="AJ79" s="2">
        <f>AH79-AI79</f>
        <v>-68086270.13822612</v>
      </c>
      <c r="AK79" s="3">
        <v>0.25</v>
      </c>
    </row>
    <row r="80" spans="1:37">
      <c r="A80" s="2">
        <v>79</v>
      </c>
      <c r="B80" s="2">
        <v>2033</v>
      </c>
      <c r="C80" s="2">
        <v>49</v>
      </c>
      <c r="D80" s="2">
        <v>417906.3632621848</v>
      </c>
      <c r="E80" s="2">
        <v>20477411.79984705</v>
      </c>
      <c r="F80" s="2">
        <f>E80/1.19</f>
        <v>17207909.075501725</v>
      </c>
      <c r="G80" s="2">
        <v>60</v>
      </c>
      <c r="H80" s="2">
        <v>5390622.341266429</v>
      </c>
      <c r="I80" s="2">
        <v>130</v>
      </c>
      <c r="J80" s="2">
        <v>11668130.02618256</v>
      </c>
      <c r="K80" s="2">
        <v>4397987.471407274</v>
      </c>
      <c r="L80" s="2">
        <v>1726760.962884461</v>
      </c>
      <c r="M80" s="2">
        <v>6729977.256311577</v>
      </c>
      <c r="N80" s="3">
        <v>1</v>
      </c>
      <c r="O80" s="3">
        <v>1.5</v>
      </c>
      <c r="P80" s="2">
        <v>202988.89040993</v>
      </c>
      <c r="Q80" s="2">
        <v>439829.1634264572</v>
      </c>
      <c r="R80" s="2">
        <v>298513.07413225</v>
      </c>
      <c r="S80" s="2">
        <v>334334.64302812</v>
      </c>
      <c r="T80" s="2">
        <v>2797067.504619183</v>
      </c>
      <c r="U80" s="2">
        <f>M80+P80+Q80+R80+S80+T80</f>
        <v>10802710.531927517</v>
      </c>
      <c r="V80" s="2">
        <f>F80-K80-L80-U80</f>
        <v>280450.1092824731</v>
      </c>
      <c r="W80" s="2">
        <v>126929.7845149139</v>
      </c>
      <c r="X80" s="2">
        <v>260723.8870987554</v>
      </c>
      <c r="Y80" s="2">
        <f>W80+X80</f>
        <v>387653.6716136693</v>
      </c>
      <c r="Z80" s="2">
        <v>13116086.56603096</v>
      </c>
      <c r="AA80" s="2">
        <v>0</v>
      </c>
      <c r="AB80" s="2">
        <v>0</v>
      </c>
      <c r="AC80" s="2">
        <v>0</v>
      </c>
      <c r="AD80" s="2">
        <v>-168661.2113797057</v>
      </c>
      <c r="AE80" s="2">
        <v>1011967.268278234</v>
      </c>
      <c r="AF80" s="2">
        <f>F80-H80-L80-U80-AA80-AC80-AD80</f>
        <v>-543523.5491969765</v>
      </c>
      <c r="AG80" s="2">
        <f>F80-H80-L80-U80-AA80-AB80-AD80-Y80</f>
        <v>-931177.2208106457</v>
      </c>
      <c r="AH80" s="2">
        <f>AH79+AG80</f>
        <v>-34321515.948413216</v>
      </c>
      <c r="AI80" s="2">
        <v>34695931.41062355</v>
      </c>
      <c r="AJ80" s="2">
        <f>AH80-AI80</f>
        <v>-69017447.35903677</v>
      </c>
      <c r="AK80" s="3">
        <v>0.25</v>
      </c>
    </row>
    <row r="81" spans="1:37">
      <c r="A81" s="2">
        <v>80</v>
      </c>
      <c r="B81" s="2">
        <v>2033</v>
      </c>
      <c r="C81" s="2">
        <v>61</v>
      </c>
      <c r="D81" s="2">
        <v>417906.3632621848</v>
      </c>
      <c r="E81" s="2">
        <v>25492288.15899327</v>
      </c>
      <c r="F81" s="2">
        <f>E81/1.19</f>
        <v>21422090.88991031</v>
      </c>
      <c r="G81" s="2">
        <v>80</v>
      </c>
      <c r="H81" s="2">
        <v>7187496.455021905</v>
      </c>
      <c r="I81" s="2">
        <v>149</v>
      </c>
      <c r="J81" s="2">
        <v>13378515.93190222</v>
      </c>
      <c r="K81" s="2">
        <v>5477110.549302249</v>
      </c>
      <c r="L81" s="2">
        <v>2149806.392423457</v>
      </c>
      <c r="M81" s="2">
        <v>6729977.256311577</v>
      </c>
      <c r="N81" s="3">
        <v>1</v>
      </c>
      <c r="O81" s="3">
        <v>1.5</v>
      </c>
      <c r="P81" s="2">
        <v>202988.89040993</v>
      </c>
      <c r="Q81" s="2">
        <v>439829.1634264572</v>
      </c>
      <c r="R81" s="2">
        <v>298513.07413225</v>
      </c>
      <c r="S81" s="2">
        <v>334334.64302812</v>
      </c>
      <c r="T81" s="2">
        <v>2797067.504619183</v>
      </c>
      <c r="U81" s="2">
        <f>M81+P81+Q81+R81+S81+T81</f>
        <v>10802710.531927517</v>
      </c>
      <c r="V81" s="2">
        <f>F81-K81-L81-U81</f>
        <v>2992463.4162570853</v>
      </c>
      <c r="W81" s="2">
        <v>124455.8295371342</v>
      </c>
      <c r="X81" s="2">
        <v>263197.8420765351</v>
      </c>
      <c r="Y81" s="2">
        <f>W81+X81</f>
        <v>387653.6716136693</v>
      </c>
      <c r="Z81" s="2">
        <v>12852888.72395443</v>
      </c>
      <c r="AA81" s="2">
        <v>0</v>
      </c>
      <c r="AB81" s="2">
        <v>0</v>
      </c>
      <c r="AC81" s="2">
        <v>0</v>
      </c>
      <c r="AD81" s="2">
        <v>337322.4227594112</v>
      </c>
      <c r="AE81" s="2">
        <v>1349289.691037645</v>
      </c>
      <c r="AF81" s="2">
        <f>F81-H81-L81-U81-AA81-AC81-AD81</f>
        <v>944755.0877780213</v>
      </c>
      <c r="AG81" s="2">
        <f>F81-H81-L81-U81-AA81-AB81-AD81-Y81</f>
        <v>557101.4161643521</v>
      </c>
      <c r="AH81" s="2">
        <f>AH80+AG81</f>
        <v>-33764414.53224886</v>
      </c>
      <c r="AI81" s="2">
        <v>34695931.41062355</v>
      </c>
      <c r="AJ81" s="2">
        <f>AH81-AI81</f>
        <v>-68460345.9428724</v>
      </c>
      <c r="AK81" s="3">
        <v>0.25</v>
      </c>
    </row>
    <row r="82" spans="1:37">
      <c r="A82" s="2">
        <v>81</v>
      </c>
      <c r="B82" s="2">
        <v>2033</v>
      </c>
      <c r="C82" s="2">
        <v>67</v>
      </c>
      <c r="D82" s="2">
        <v>417906.3632621848</v>
      </c>
      <c r="E82" s="2">
        <v>27999726.33856638</v>
      </c>
      <c r="F82" s="2">
        <f>E82/1.19</f>
        <v>23529181.797114603</v>
      </c>
      <c r="G82" s="2">
        <v>90</v>
      </c>
      <c r="H82" s="2">
        <v>8085933.511899642</v>
      </c>
      <c r="I82" s="2">
        <v>172</v>
      </c>
      <c r="J82" s="2">
        <v>15447218.84658544</v>
      </c>
      <c r="K82" s="2">
        <v>6017230.597216422</v>
      </c>
      <c r="L82" s="2">
        <v>2361373.787910291</v>
      </c>
      <c r="M82" s="2">
        <v>6729977.256311577</v>
      </c>
      <c r="N82" s="3">
        <v>1</v>
      </c>
      <c r="O82" s="3">
        <v>1.5</v>
      </c>
      <c r="P82" s="2">
        <v>202988.89040993</v>
      </c>
      <c r="Q82" s="2">
        <v>439829.1634264572</v>
      </c>
      <c r="R82" s="2">
        <v>298513.07413225</v>
      </c>
      <c r="S82" s="2">
        <v>334334.64302812</v>
      </c>
      <c r="T82" s="2">
        <v>2797067.504619183</v>
      </c>
      <c r="U82" s="2">
        <f>M82+P82+Q82+R82+S82+T82</f>
        <v>10802710.531927517</v>
      </c>
      <c r="V82" s="2">
        <f>F82-K82-L82-U82</f>
        <v>4347866.880060377</v>
      </c>
      <c r="W82" s="2">
        <v>121958.3997128409</v>
      </c>
      <c r="X82" s="2">
        <v>265695.2719008284</v>
      </c>
      <c r="Y82" s="2">
        <f>W82+X82</f>
        <v>387653.6716136693</v>
      </c>
      <c r="Z82" s="2">
        <v>12587193.4520536</v>
      </c>
      <c r="AA82" s="2">
        <v>0</v>
      </c>
      <c r="AB82" s="2">
        <v>0</v>
      </c>
      <c r="AC82" s="2">
        <v>0</v>
      </c>
      <c r="AD82" s="2">
        <v>168661.2113797055</v>
      </c>
      <c r="AE82" s="2">
        <v>1517950.902417351</v>
      </c>
      <c r="AF82" s="2">
        <f>F82-H82-L82-U82-AA82-AC82-AD82</f>
        <v>2110502.7539974484</v>
      </c>
      <c r="AG82" s="2">
        <f>F82-H82-L82-U82-AA82-AB82-AD82-Y82</f>
        <v>1722849.082383779</v>
      </c>
      <c r="AH82" s="2">
        <f>AH81+AG82</f>
        <v>-32041565.449865084</v>
      </c>
      <c r="AI82" s="2">
        <v>34695931.41062355</v>
      </c>
      <c r="AJ82" s="2">
        <f>AH82-AI82</f>
        <v>-66737496.86048864</v>
      </c>
      <c r="AK82" s="3">
        <v>0.25</v>
      </c>
    </row>
    <row r="83" spans="1:37">
      <c r="A83" s="2">
        <v>82</v>
      </c>
      <c r="B83" s="2">
        <v>2033</v>
      </c>
      <c r="C83" s="2">
        <v>79</v>
      </c>
      <c r="D83" s="2">
        <v>417906.3632621848</v>
      </c>
      <c r="E83" s="2">
        <v>33014602.6977126</v>
      </c>
      <c r="F83" s="2">
        <f>E83/1.19</f>
        <v>27743363.611523192</v>
      </c>
      <c r="G83" s="2">
        <v>100</v>
      </c>
      <c r="H83" s="2">
        <v>8984370.568777381</v>
      </c>
      <c r="I83" s="2">
        <v>193</v>
      </c>
      <c r="J83" s="2">
        <v>17335649.84251847</v>
      </c>
      <c r="K83" s="2">
        <v>7095939.572844349</v>
      </c>
      <c r="L83" s="2">
        <v>2784386.089267923</v>
      </c>
      <c r="M83" s="2">
        <v>6729977.256311577</v>
      </c>
      <c r="N83" s="3">
        <v>1</v>
      </c>
      <c r="O83" s="3">
        <v>1.5</v>
      </c>
      <c r="P83" s="2">
        <v>202988.89040993</v>
      </c>
      <c r="Q83" s="2">
        <v>439829.1634264572</v>
      </c>
      <c r="R83" s="2">
        <v>298513.07413225</v>
      </c>
      <c r="S83" s="2">
        <v>334334.64302812</v>
      </c>
      <c r="T83" s="2">
        <v>2797067.504619183</v>
      </c>
      <c r="U83" s="2">
        <f>M83+P83+Q83+R83+S83+T83</f>
        <v>10802710.531927517</v>
      </c>
      <c r="V83" s="2">
        <f>F83-K83-L83-U83</f>
        <v>7060327.417483402</v>
      </c>
      <c r="W83" s="2">
        <v>119437.2722940762</v>
      </c>
      <c r="X83" s="2">
        <v>268216.3993195931</v>
      </c>
      <c r="Y83" s="2">
        <f>W83+X83</f>
        <v>387653.67161366926</v>
      </c>
      <c r="Z83" s="2">
        <v>12318977.05273401</v>
      </c>
      <c r="AA83" s="2">
        <v>0</v>
      </c>
      <c r="AB83" s="2">
        <v>0</v>
      </c>
      <c r="AC83" s="2">
        <v>0</v>
      </c>
      <c r="AD83" s="2">
        <v>168661.2113797059</v>
      </c>
      <c r="AE83" s="2">
        <v>1686612.113797056</v>
      </c>
      <c r="AF83" s="2">
        <f>F83-H83-L83-U83-AA83-AC83-AD83</f>
        <v>5003235.210170667</v>
      </c>
      <c r="AG83" s="2">
        <f>F83-H83-L83-U83-AA83-AB83-AD83-Y83</f>
        <v>4615581.538556998</v>
      </c>
      <c r="AH83" s="2">
        <f>AH82+AG83</f>
        <v>-27425983.911308087</v>
      </c>
      <c r="AI83" s="2">
        <v>34695931.41062355</v>
      </c>
      <c r="AJ83" s="2">
        <f>AH83-AI83</f>
        <v>-62121915.32193164</v>
      </c>
      <c r="AK83" s="3">
        <v>0.25</v>
      </c>
    </row>
    <row r="84" spans="1:37">
      <c r="A84" s="2">
        <v>83</v>
      </c>
      <c r="B84" s="2">
        <v>2033</v>
      </c>
      <c r="C84" s="2">
        <v>85</v>
      </c>
      <c r="D84" s="2">
        <v>417906.3632621848</v>
      </c>
      <c r="E84" s="2">
        <v>35522040.8772857</v>
      </c>
      <c r="F84" s="2">
        <f>E84/1.19</f>
        <v>29850454.518727485</v>
      </c>
      <c r="G84" s="2">
        <v>10</v>
      </c>
      <c r="H84" s="2">
        <v>898437.0568777381</v>
      </c>
      <c r="I84" s="2">
        <v>118</v>
      </c>
      <c r="J84" s="2">
        <v>10599124.40457514</v>
      </c>
      <c r="K84" s="2">
        <v>7634962.494821074</v>
      </c>
      <c r="L84" s="2">
        <v>2995865.714679762</v>
      </c>
      <c r="M84" s="2">
        <v>6729977.256311577</v>
      </c>
      <c r="N84" s="3">
        <v>1</v>
      </c>
      <c r="O84" s="3">
        <v>1.5</v>
      </c>
      <c r="P84" s="2">
        <v>202988.89040993</v>
      </c>
      <c r="Q84" s="2">
        <v>439829.1634264572</v>
      </c>
      <c r="R84" s="2">
        <v>298513.07413225</v>
      </c>
      <c r="S84" s="2">
        <v>334334.64302812</v>
      </c>
      <c r="T84" s="2">
        <v>2797067.504619183</v>
      </c>
      <c r="U84" s="2">
        <f>M84+P84+Q84+R84+S84+T84</f>
        <v>10802710.531927517</v>
      </c>
      <c r="V84" s="2">
        <f>F84-K84-L84-U84</f>
        <v>8416915.77729913</v>
      </c>
      <c r="W84" s="2">
        <v>116892.2224192731</v>
      </c>
      <c r="X84" s="2">
        <v>270761.4491943962</v>
      </c>
      <c r="Y84" s="2">
        <f>W84+X84</f>
        <v>387653.6716136693</v>
      </c>
      <c r="Z84" s="2">
        <v>12048215.60353961</v>
      </c>
      <c r="AA84" s="2">
        <v>0</v>
      </c>
      <c r="AB84" s="2">
        <v>0</v>
      </c>
      <c r="AC84" s="2">
        <v>0</v>
      </c>
      <c r="AD84" s="2">
        <v>-1517950.902417351</v>
      </c>
      <c r="AE84" s="2">
        <v>168661.2113797056</v>
      </c>
      <c r="AF84" s="2">
        <f>F84-H84-L84-U84-AA84-AC84-AD84</f>
        <v>16671392.117659817</v>
      </c>
      <c r="AG84" s="2">
        <f>F84-H84-L84-U84-AA84-AB84-AD84-Y84</f>
        <v>16283738.446046147</v>
      </c>
      <c r="AH84" s="2">
        <f>AH83+AG84</f>
        <v>-11142245.46526194</v>
      </c>
      <c r="AI84" s="2">
        <v>34695931.41062355</v>
      </c>
      <c r="AJ84" s="2">
        <f>AH84-AI84</f>
        <v>-45838176.87588549</v>
      </c>
      <c r="AK84" s="3">
        <v>0.25</v>
      </c>
    </row>
    <row r="85" spans="1:37">
      <c r="A85" s="2">
        <v>84</v>
      </c>
      <c r="B85" s="2">
        <v>2033</v>
      </c>
      <c r="C85" s="2">
        <v>104</v>
      </c>
      <c r="D85" s="2">
        <v>417906.3632621848</v>
      </c>
      <c r="E85" s="2">
        <v>43462261.77926721</v>
      </c>
      <c r="F85" s="2">
        <f>E85/1.19</f>
        <v>36522909.05820774</v>
      </c>
      <c r="G85" s="2">
        <v>20</v>
      </c>
      <c r="H85" s="2">
        <v>1796874.113755476</v>
      </c>
      <c r="I85" s="2">
        <v>34</v>
      </c>
      <c r="J85" s="2">
        <v>3054086.59147276</v>
      </c>
      <c r="K85" s="2">
        <v>9341911.926857851</v>
      </c>
      <c r="L85" s="2">
        <v>3665554.676146085</v>
      </c>
      <c r="M85" s="2">
        <v>6729977.256311577</v>
      </c>
      <c r="N85" s="3">
        <v>1</v>
      </c>
      <c r="O85" s="3">
        <v>1.5</v>
      </c>
      <c r="P85" s="2">
        <v>202988.89040993</v>
      </c>
      <c r="Q85" s="2">
        <v>439829.1634264572</v>
      </c>
      <c r="R85" s="2">
        <v>298513.07413225</v>
      </c>
      <c r="S85" s="2">
        <v>334334.64302812</v>
      </c>
      <c r="T85" s="2">
        <v>2797067.504619183</v>
      </c>
      <c r="U85" s="2">
        <f>M85+P85+Q85+R85+S85+T85</f>
        <v>10802710.531927517</v>
      </c>
      <c r="V85" s="2">
        <f>F85-K85-L85-U85</f>
        <v>12712731.923276288</v>
      </c>
      <c r="W85" s="2">
        <v>114323.0230931999</v>
      </c>
      <c r="X85" s="2">
        <v>273330.6485204694</v>
      </c>
      <c r="Y85" s="2">
        <f>W85+X85</f>
        <v>387653.6716136693</v>
      </c>
      <c r="Z85" s="2">
        <v>11774884.95501914</v>
      </c>
      <c r="AA85" s="2">
        <v>0</v>
      </c>
      <c r="AB85" s="2">
        <v>0</v>
      </c>
      <c r="AC85" s="2">
        <v>1328360.05660774</v>
      </c>
      <c r="AD85" s="2">
        <v>168661.2113797056</v>
      </c>
      <c r="AE85" s="2">
        <v>337322.4227594113</v>
      </c>
      <c r="AF85" s="2">
        <f>F85-H85-L85-U85-AA85-AC85-AD85</f>
        <v>18760748.468391217</v>
      </c>
      <c r="AG85" s="2">
        <f>F85-H85-L85-U85-AA85-AB85-AD85-Y85</f>
        <v>19701454.853385285</v>
      </c>
      <c r="AH85" s="2">
        <f>AH84+AG85</f>
        <v>8559209.388123345</v>
      </c>
      <c r="AI85" s="2">
        <v>34695931.41062355</v>
      </c>
      <c r="AJ85" s="2">
        <f>AH85-AI85</f>
        <v>-26136722.022500206</v>
      </c>
      <c r="AK85" s="3">
        <v>0.25</v>
      </c>
    </row>
    <row r="86" spans="1:37">
      <c r="A86" s="2">
        <v>85</v>
      </c>
      <c r="B86" s="2">
        <v>2034</v>
      </c>
      <c r="C86" s="2">
        <v>13</v>
      </c>
      <c r="D86" s="2">
        <v>430443.5541600503</v>
      </c>
      <c r="E86" s="2">
        <v>5595766.204080654</v>
      </c>
      <c r="F86" s="2">
        <f>E86/1.19</f>
        <v>4702324.541244248</v>
      </c>
      <c r="G86" s="2">
        <v>30</v>
      </c>
      <c r="H86" s="2">
        <v>2776170.505752211</v>
      </c>
      <c r="I86" s="2">
        <v>51</v>
      </c>
      <c r="J86" s="2">
        <v>4645986.124351148</v>
      </c>
      <c r="K86" s="2">
        <v>1184270.972873822</v>
      </c>
      <c r="L86" s="2">
        <v>470460.1495370784</v>
      </c>
      <c r="M86" s="2">
        <v>6931876.574000925</v>
      </c>
      <c r="N86" s="3">
        <v>1</v>
      </c>
      <c r="O86" s="3">
        <v>1.5</v>
      </c>
      <c r="P86" s="2">
        <v>209078.5571222279</v>
      </c>
      <c r="Q86" s="2">
        <v>489797.2669054546</v>
      </c>
      <c r="R86" s="2">
        <v>307468.4663562176</v>
      </c>
      <c r="S86" s="2">
        <v>344364.6823189636</v>
      </c>
      <c r="T86" s="2">
        <v>3025489.708945181</v>
      </c>
      <c r="U86" s="2">
        <f>M86+P86+Q86+R86+S86+T86</f>
        <v>11308075.25564897</v>
      </c>
      <c r="V86" s="2">
        <f>F86-K86-L86-U86</f>
        <v>-8260481.836815624</v>
      </c>
      <c r="W86" s="2">
        <v>111729.4451667138</v>
      </c>
      <c r="X86" s="2">
        <v>275924.2264469555</v>
      </c>
      <c r="Y86" s="2">
        <f>W86+X86</f>
        <v>387653.6716136693</v>
      </c>
      <c r="Z86" s="2">
        <v>11498960.72857219</v>
      </c>
      <c r="AA86" s="2">
        <v>0</v>
      </c>
      <c r="AB86" s="2">
        <v>0</v>
      </c>
      <c r="AC86" s="2">
        <v>0</v>
      </c>
      <c r="AD86" s="2">
        <v>183840.7204038792</v>
      </c>
      <c r="AE86" s="2">
        <v>521163.1431632905</v>
      </c>
      <c r="AF86" s="2">
        <f>F86-H86-L86-U86-AA86-AC86-AD86</f>
        <v>-10036222.090097891</v>
      </c>
      <c r="AG86" s="2">
        <f>F86-H86-L86-U86-AA86-AB86-AD86-Y86</f>
        <v>-10423875.76171156</v>
      </c>
      <c r="AH86" s="2">
        <f>AH85+AG86</f>
        <v>-1864666.3735882156</v>
      </c>
      <c r="AI86" s="2">
        <v>36212025.58178791</v>
      </c>
      <c r="AJ86" s="2">
        <f>AH86-AI86</f>
        <v>-38076691.95537613</v>
      </c>
      <c r="AK86" s="3">
        <v>0.25</v>
      </c>
    </row>
    <row r="87" spans="1:37">
      <c r="A87" s="2">
        <v>86</v>
      </c>
      <c r="B87" s="2">
        <v>2034</v>
      </c>
      <c r="C87" s="2">
        <v>19</v>
      </c>
      <c r="D87" s="2">
        <v>430443.5541600503</v>
      </c>
      <c r="E87" s="2">
        <v>8178427.529040956</v>
      </c>
      <c r="F87" s="2">
        <f>E87/1.19</f>
        <v>6872628.175664669</v>
      </c>
      <c r="G87" s="2">
        <v>30</v>
      </c>
      <c r="H87" s="2">
        <v>2776170.505752211</v>
      </c>
      <c r="I87" s="2">
        <v>62</v>
      </c>
      <c r="J87" s="2">
        <v>5681156.926745782</v>
      </c>
      <c r="K87" s="2">
        <v>1740999.703357578</v>
      </c>
      <c r="L87" s="2">
        <v>688406.9733790893</v>
      </c>
      <c r="M87" s="2">
        <v>6931876.574000925</v>
      </c>
      <c r="N87" s="3">
        <v>1</v>
      </c>
      <c r="O87" s="3">
        <v>1.5</v>
      </c>
      <c r="P87" s="2">
        <v>209078.5571222279</v>
      </c>
      <c r="Q87" s="2">
        <v>489797.2669054546</v>
      </c>
      <c r="R87" s="2">
        <v>307468.4663562176</v>
      </c>
      <c r="S87" s="2">
        <v>344364.6823189636</v>
      </c>
      <c r="T87" s="2">
        <v>3025489.708945181</v>
      </c>
      <c r="U87" s="2">
        <f>M87+P87+Q87+R87+S87+T87</f>
        <v>11308075.25564897</v>
      </c>
      <c r="V87" s="2">
        <f>F87-K87-L87-U87</f>
        <v>-6864853.756720969</v>
      </c>
      <c r="W87" s="2">
        <v>109111.2573163237</v>
      </c>
      <c r="X87" s="2">
        <v>278542.4142973457</v>
      </c>
      <c r="Y87" s="2">
        <f>W87+X87</f>
        <v>387653.6716136694</v>
      </c>
      <c r="Z87" s="2">
        <v>11220418.31427484</v>
      </c>
      <c r="AA87" s="2">
        <v>0</v>
      </c>
      <c r="AB87" s="2">
        <v>0</v>
      </c>
      <c r="AC87" s="2">
        <v>0</v>
      </c>
      <c r="AD87" s="2">
        <v>0</v>
      </c>
      <c r="AE87" s="2">
        <v>521163.1431632905</v>
      </c>
      <c r="AF87" s="2">
        <f>F87-H87-L87-U87-AA87-AC87-AD87</f>
        <v>-7900024.559115602</v>
      </c>
      <c r="AG87" s="2">
        <f>F87-H87-L87-U87-AA87-AB87-AD87-Y87</f>
        <v>-8287678.230729271</v>
      </c>
      <c r="AH87" s="2">
        <f>AH86+AG87</f>
        <v>-10152344.604317486</v>
      </c>
      <c r="AI87" s="2">
        <v>36212025.58178791</v>
      </c>
      <c r="AJ87" s="2">
        <f>AH87-AI87</f>
        <v>-46364370.1861054</v>
      </c>
      <c r="AK87" s="3">
        <v>0.25</v>
      </c>
    </row>
    <row r="88" spans="1:37">
      <c r="A88" s="2">
        <v>87</v>
      </c>
      <c r="B88" s="2">
        <v>2034</v>
      </c>
      <c r="C88" s="2">
        <v>26</v>
      </c>
      <c r="D88" s="2">
        <v>430443.5541600503</v>
      </c>
      <c r="E88" s="2">
        <v>11191532.40816131</v>
      </c>
      <c r="F88" s="2">
        <f>E88/1.19</f>
        <v>9404649.082488496</v>
      </c>
      <c r="G88" s="2">
        <v>40</v>
      </c>
      <c r="H88" s="2">
        <v>3701560.674336281</v>
      </c>
      <c r="I88" s="2">
        <v>76</v>
      </c>
      <c r="J88" s="2">
        <v>6991044.487080753</v>
      </c>
      <c r="K88" s="2">
        <v>2391673.11400131</v>
      </c>
      <c r="L88" s="2">
        <v>942770.7925344501</v>
      </c>
      <c r="M88" s="2">
        <v>6931876.574000925</v>
      </c>
      <c r="N88" s="3">
        <v>1</v>
      </c>
      <c r="O88" s="3">
        <v>1.5</v>
      </c>
      <c r="P88" s="2">
        <v>209078.5571222279</v>
      </c>
      <c r="Q88" s="2">
        <v>489797.2669054546</v>
      </c>
      <c r="R88" s="2">
        <v>307468.4663562176</v>
      </c>
      <c r="S88" s="2">
        <v>344364.6823189636</v>
      </c>
      <c r="T88" s="2">
        <v>3025489.708945181</v>
      </c>
      <c r="U88" s="2">
        <f>M88+P88+Q88+R88+S88+T88</f>
        <v>11308075.25564897</v>
      </c>
      <c r="V88" s="2">
        <f>F88-K88-L88-U88</f>
        <v>-5237870.079696234</v>
      </c>
      <c r="W88" s="2">
        <v>106468.2260235573</v>
      </c>
      <c r="X88" s="2">
        <v>281185.445590112</v>
      </c>
      <c r="Y88" s="2">
        <f>W88+X88</f>
        <v>387653.6716136693</v>
      </c>
      <c r="Z88" s="2">
        <v>10939232.86868473</v>
      </c>
      <c r="AA88" s="2">
        <v>0</v>
      </c>
      <c r="AB88" s="2">
        <v>0</v>
      </c>
      <c r="AC88" s="2">
        <v>0</v>
      </c>
      <c r="AD88" s="2">
        <v>173721.0477210968</v>
      </c>
      <c r="AE88" s="2">
        <v>694884.1908843874</v>
      </c>
      <c r="AF88" s="2">
        <f>F88-H88-L88-U88-AA88-AC88-AD88</f>
        <v>-6721478.687752303</v>
      </c>
      <c r="AG88" s="2">
        <f>F88-H88-L88-U88-AA88-AB88-AD88-Y88</f>
        <v>-7109132.359365972</v>
      </c>
      <c r="AH88" s="2">
        <f>AH87+AG88</f>
        <v>-17261476.963683456</v>
      </c>
      <c r="AI88" s="2">
        <v>36212025.58178791</v>
      </c>
      <c r="AJ88" s="2">
        <f>AH88-AI88</f>
        <v>-53473502.54547137</v>
      </c>
      <c r="AK88" s="3">
        <v>0.25</v>
      </c>
    </row>
    <row r="89" spans="1:37">
      <c r="A89" s="2">
        <v>88</v>
      </c>
      <c r="B89" s="2">
        <v>2034</v>
      </c>
      <c r="C89" s="2">
        <v>32</v>
      </c>
      <c r="D89" s="2">
        <v>430443.5541600503</v>
      </c>
      <c r="E89" s="2">
        <v>13774193.73312161</v>
      </c>
      <c r="F89" s="2">
        <f>E89/1.19</f>
        <v>11574952.716908917</v>
      </c>
      <c r="G89" s="2">
        <v>40</v>
      </c>
      <c r="H89" s="2">
        <v>3701560.674336281</v>
      </c>
      <c r="I89" s="2">
        <v>84</v>
      </c>
      <c r="J89" s="2">
        <v>7742920.978957163</v>
      </c>
      <c r="K89" s="2">
        <v>2949684.182459871</v>
      </c>
      <c r="L89" s="2">
        <v>1160820.203414445</v>
      </c>
      <c r="M89" s="2">
        <v>6931876.574000925</v>
      </c>
      <c r="N89" s="3">
        <v>1</v>
      </c>
      <c r="O89" s="3">
        <v>1.5</v>
      </c>
      <c r="P89" s="2">
        <v>209078.5571222279</v>
      </c>
      <c r="Q89" s="2">
        <v>489797.2669054546</v>
      </c>
      <c r="R89" s="2">
        <v>307468.4663562176</v>
      </c>
      <c r="S89" s="2">
        <v>344364.6823189636</v>
      </c>
      <c r="T89" s="2">
        <v>3025489.708945181</v>
      </c>
      <c r="U89" s="2">
        <f>M89+P89+Q89+R89+S89+T89</f>
        <v>11308075.25564897</v>
      </c>
      <c r="V89" s="2">
        <f>F89-K89-L89-U89</f>
        <v>-3843626.9246143717</v>
      </c>
      <c r="W89" s="2">
        <v>103800.1155541343</v>
      </c>
      <c r="X89" s="2">
        <v>283853.556059535</v>
      </c>
      <c r="Y89" s="2">
        <f>W89+X89</f>
        <v>387653.67161366926</v>
      </c>
      <c r="Z89" s="2">
        <v>10655379.31262519</v>
      </c>
      <c r="AA89" s="2">
        <v>0</v>
      </c>
      <c r="AB89" s="2">
        <v>0</v>
      </c>
      <c r="AC89" s="2">
        <v>0</v>
      </c>
      <c r="AD89" s="2">
        <v>0</v>
      </c>
      <c r="AE89" s="2">
        <v>694884.1908843874</v>
      </c>
      <c r="AF89" s="2">
        <f>F89-H89-L89-U89-AA89-AC89-AD89</f>
        <v>-4595503.41649078</v>
      </c>
      <c r="AG89" s="2">
        <f>F89-H89-L89-U89-AA89-AB89-AD89-Y89</f>
        <v>-4983157.088104449</v>
      </c>
      <c r="AH89" s="2">
        <f>AH88+AG89</f>
        <v>-22244634.051787905</v>
      </c>
      <c r="AI89" s="2">
        <v>36212025.58178791</v>
      </c>
      <c r="AJ89" s="2">
        <f>AH89-AI89</f>
        <v>-58456659.63357582</v>
      </c>
      <c r="AK89" s="3">
        <v>0.25</v>
      </c>
    </row>
    <row r="90" spans="1:37">
      <c r="A90" s="2">
        <v>89</v>
      </c>
      <c r="B90" s="2">
        <v>2034</v>
      </c>
      <c r="C90" s="2">
        <v>38</v>
      </c>
      <c r="D90" s="2">
        <v>430443.5541600503</v>
      </c>
      <c r="E90" s="2">
        <v>16356855.05808191</v>
      </c>
      <c r="F90" s="2">
        <f>E90/1.19</f>
        <v>13745256.351329338</v>
      </c>
      <c r="G90" s="2">
        <v>50</v>
      </c>
      <c r="H90" s="2">
        <v>4626950.842920351</v>
      </c>
      <c r="I90" s="2">
        <v>96</v>
      </c>
      <c r="J90" s="2">
        <v>8861997.723136131</v>
      </c>
      <c r="K90" s="2">
        <v>3507874.098741384</v>
      </c>
      <c r="L90" s="2">
        <v>1378883.922120277</v>
      </c>
      <c r="M90" s="2">
        <v>6931876.574000925</v>
      </c>
      <c r="N90" s="3">
        <v>1</v>
      </c>
      <c r="O90" s="3">
        <v>1.5</v>
      </c>
      <c r="P90" s="2">
        <v>209078.5571222279</v>
      </c>
      <c r="Q90" s="2">
        <v>489797.2669054546</v>
      </c>
      <c r="R90" s="2">
        <v>307468.4663562176</v>
      </c>
      <c r="S90" s="2">
        <v>344364.6823189636</v>
      </c>
      <c r="T90" s="2">
        <v>3025489.708945181</v>
      </c>
      <c r="U90" s="2">
        <f>M90+P90+Q90+R90+S90+T90</f>
        <v>11308075.25564897</v>
      </c>
      <c r="V90" s="2">
        <f>F90-K90-L90-U90</f>
        <v>-2449576.925181294</v>
      </c>
      <c r="W90" s="2">
        <v>101106.6879369403</v>
      </c>
      <c r="X90" s="2">
        <v>286546.983676729</v>
      </c>
      <c r="Y90" s="2">
        <f>W90+X90</f>
        <v>387653.6716136693</v>
      </c>
      <c r="Z90" s="2">
        <v>10368832.32894846</v>
      </c>
      <c r="AA90" s="2">
        <v>0</v>
      </c>
      <c r="AB90" s="2">
        <v>0</v>
      </c>
      <c r="AC90" s="2">
        <v>0</v>
      </c>
      <c r="AD90" s="2">
        <v>173721.0477210967</v>
      </c>
      <c r="AE90" s="2">
        <v>868605.238605484</v>
      </c>
      <c r="AF90" s="2">
        <f>F90-H90-L90-U90-AA90-AC90-AD90</f>
        <v>-3742374.717081358</v>
      </c>
      <c r="AG90" s="2">
        <f>F90-H90-L90-U90-AA90-AB90-AD90-Y90</f>
        <v>-4130028.3886950277</v>
      </c>
      <c r="AH90" s="2">
        <f>AH89+AG90</f>
        <v>-26374662.440482933</v>
      </c>
      <c r="AI90" s="2">
        <v>36212025.58178791</v>
      </c>
      <c r="AJ90" s="2">
        <f>AH90-AI90</f>
        <v>-62586688.02227084</v>
      </c>
      <c r="AK90" s="3">
        <v>0.25</v>
      </c>
    </row>
    <row r="91" spans="1:37">
      <c r="A91" s="2">
        <v>90</v>
      </c>
      <c r="B91" s="2">
        <v>2034</v>
      </c>
      <c r="C91" s="2">
        <v>45</v>
      </c>
      <c r="D91" s="2">
        <v>430443.5541600503</v>
      </c>
      <c r="E91" s="2">
        <v>19369959.93720226</v>
      </c>
      <c r="F91" s="2">
        <f>E91/1.19</f>
        <v>16277277.258153163</v>
      </c>
      <c r="G91" s="2">
        <v>70</v>
      </c>
      <c r="H91" s="2">
        <v>6477731.180088492</v>
      </c>
      <c r="I91" s="2">
        <v>121</v>
      </c>
      <c r="J91" s="2">
        <v>11181368.65837457</v>
      </c>
      <c r="K91" s="2">
        <v>4158360.244850048</v>
      </c>
      <c r="L91" s="2">
        <v>1633232.760112832</v>
      </c>
      <c r="M91" s="2">
        <v>6931876.574000925</v>
      </c>
      <c r="N91" s="3">
        <v>1</v>
      </c>
      <c r="O91" s="3">
        <v>1.5</v>
      </c>
      <c r="P91" s="2">
        <v>209078.5571222279</v>
      </c>
      <c r="Q91" s="2">
        <v>489797.2669054546</v>
      </c>
      <c r="R91" s="2">
        <v>307468.4663562176</v>
      </c>
      <c r="S91" s="2">
        <v>344364.6823189636</v>
      </c>
      <c r="T91" s="2">
        <v>3025489.708945181</v>
      </c>
      <c r="U91" s="2">
        <f>M91+P91+Q91+R91+S91+T91</f>
        <v>11308075.25564897</v>
      </c>
      <c r="V91" s="2">
        <f>F91-K91-L91-U91</f>
        <v>-822391.0024586879</v>
      </c>
      <c r="W91" s="2">
        <v>98387.70294280244</v>
      </c>
      <c r="X91" s="2">
        <v>289265.9686708669</v>
      </c>
      <c r="Y91" s="2">
        <f>W91+X91</f>
        <v>387653.6716136693</v>
      </c>
      <c r="Z91" s="2">
        <v>10079566.36027759</v>
      </c>
      <c r="AA91" s="2">
        <v>0</v>
      </c>
      <c r="AB91" s="2">
        <v>0</v>
      </c>
      <c r="AC91" s="2">
        <v>0</v>
      </c>
      <c r="AD91" s="2">
        <v>347442.0954421937</v>
      </c>
      <c r="AE91" s="2">
        <v>1216047.334047678</v>
      </c>
      <c r="AF91" s="2">
        <f>F91-H91-L91-U91-AA91-AC91-AD91</f>
        <v>-3489204.0331393257</v>
      </c>
      <c r="AG91" s="2">
        <f>F91-H91-L91-U91-AA91-AB91-AD91-Y91</f>
        <v>-3876857.704752995</v>
      </c>
      <c r="AH91" s="2">
        <f>AH90+AG91</f>
        <v>-30251520.14523593</v>
      </c>
      <c r="AI91" s="2">
        <v>36212025.58178791</v>
      </c>
      <c r="AJ91" s="2">
        <f>AH91-AI91</f>
        <v>-66463545.72702384</v>
      </c>
      <c r="AK91" s="3">
        <v>0.25</v>
      </c>
    </row>
    <row r="92" spans="1:37">
      <c r="A92" s="2">
        <v>91</v>
      </c>
      <c r="B92" s="2">
        <v>2034</v>
      </c>
      <c r="C92" s="2">
        <v>51</v>
      </c>
      <c r="D92" s="2">
        <v>430443.5541600503</v>
      </c>
      <c r="E92" s="2">
        <v>21952621.26216257</v>
      </c>
      <c r="F92" s="2">
        <f>E92/1.19</f>
        <v>18447580.892573588</v>
      </c>
      <c r="G92" s="2">
        <v>70</v>
      </c>
      <c r="H92" s="2">
        <v>6477731.180088492</v>
      </c>
      <c r="I92" s="2">
        <v>140</v>
      </c>
      <c r="J92" s="2">
        <v>12943842.81353314</v>
      </c>
      <c r="K92" s="2">
        <v>4715257.02492993</v>
      </c>
      <c r="L92" s="2">
        <v>1851193.027922533</v>
      </c>
      <c r="M92" s="2">
        <v>6931876.574000925</v>
      </c>
      <c r="N92" s="3">
        <v>1</v>
      </c>
      <c r="O92" s="3">
        <v>1.5</v>
      </c>
      <c r="P92" s="2">
        <v>209078.5571222279</v>
      </c>
      <c r="Q92" s="2">
        <v>489797.2669054546</v>
      </c>
      <c r="R92" s="2">
        <v>307468.4663562176</v>
      </c>
      <c r="S92" s="2">
        <v>344364.6823189636</v>
      </c>
      <c r="T92" s="2">
        <v>3025489.708945181</v>
      </c>
      <c r="U92" s="2">
        <f>M92+P92+Q92+R92+S92+T92</f>
        <v>11308075.25564897</v>
      </c>
      <c r="V92" s="2">
        <f>F92-K92-L92-U92</f>
        <v>573055.584072154</v>
      </c>
      <c r="W92" s="2">
        <v>95642.91806306299</v>
      </c>
      <c r="X92" s="2">
        <v>292010.7535506063</v>
      </c>
      <c r="Y92" s="2">
        <f>W92+X92</f>
        <v>387653.6716136693</v>
      </c>
      <c r="Z92" s="2">
        <v>9787555.606726989</v>
      </c>
      <c r="AA92" s="2">
        <v>0</v>
      </c>
      <c r="AB92" s="2">
        <v>0</v>
      </c>
      <c r="AC92" s="2">
        <v>0</v>
      </c>
      <c r="AD92" s="2">
        <v>0</v>
      </c>
      <c r="AE92" s="2">
        <v>1216047.334047678</v>
      </c>
      <c r="AF92" s="2">
        <f>F92-H92-L92-U92-AA92-AC92-AD92</f>
        <v>-1189418.5710864086</v>
      </c>
      <c r="AG92" s="2">
        <f>F92-H92-L92-U92-AA92-AB92-AD92-Y92</f>
        <v>-1577072.2427000778</v>
      </c>
      <c r="AH92" s="2">
        <f>AH91+AG92</f>
        <v>-31828592.387936007</v>
      </c>
      <c r="AI92" s="2">
        <v>36212025.58178791</v>
      </c>
      <c r="AJ92" s="2">
        <f>AH92-AI92</f>
        <v>-68040617.96972392</v>
      </c>
      <c r="AK92" s="3">
        <v>0.25</v>
      </c>
    </row>
    <row r="93" spans="1:37">
      <c r="A93" s="2">
        <v>92</v>
      </c>
      <c r="B93" s="2">
        <v>2034</v>
      </c>
      <c r="C93" s="2">
        <v>64</v>
      </c>
      <c r="D93" s="2">
        <v>430443.5541600503</v>
      </c>
      <c r="E93" s="2">
        <v>27548387.46624322</v>
      </c>
      <c r="F93" s="2">
        <f>E93/1.19</f>
        <v>23149905.433817834</v>
      </c>
      <c r="G93" s="2">
        <v>80</v>
      </c>
      <c r="H93" s="2">
        <v>7403121.348672562</v>
      </c>
      <c r="I93" s="2">
        <v>156</v>
      </c>
      <c r="J93" s="2">
        <v>14427847.31501859</v>
      </c>
      <c r="K93" s="2">
        <v>5919116.847187113</v>
      </c>
      <c r="L93" s="2">
        <v>2323220.28541028</v>
      </c>
      <c r="M93" s="2">
        <v>6931876.574000925</v>
      </c>
      <c r="N93" s="3">
        <v>1</v>
      </c>
      <c r="O93" s="3">
        <v>1.5</v>
      </c>
      <c r="P93" s="2">
        <v>209078.5571222279</v>
      </c>
      <c r="Q93" s="2">
        <v>489797.2669054546</v>
      </c>
      <c r="R93" s="2">
        <v>307468.4663562176</v>
      </c>
      <c r="S93" s="2">
        <v>344364.6823189636</v>
      </c>
      <c r="T93" s="2">
        <v>3025489.708945181</v>
      </c>
      <c r="U93" s="2">
        <f>M93+P93+Q93+R93+S93+T93</f>
        <v>11308075.25564897</v>
      </c>
      <c r="V93" s="2">
        <f>F93-K93-L93-U93</f>
        <v>3599493.045571469</v>
      </c>
      <c r="W93" s="2">
        <v>92872.08848794973</v>
      </c>
      <c r="X93" s="2">
        <v>294781.5831257196</v>
      </c>
      <c r="Y93" s="2">
        <f>W93+X93</f>
        <v>387653.6716136693</v>
      </c>
      <c r="Z93" s="2">
        <v>9492774.023601269</v>
      </c>
      <c r="AA93" s="2">
        <v>0</v>
      </c>
      <c r="AB93" s="2">
        <v>0</v>
      </c>
      <c r="AC93" s="2">
        <v>0</v>
      </c>
      <c r="AD93" s="2">
        <v>173721.047721097</v>
      </c>
      <c r="AE93" s="2">
        <v>1389768.381768775</v>
      </c>
      <c r="AF93" s="2">
        <f>F93-H93-L93-U93-AA93-AC93-AD93</f>
        <v>1941767.4963649234</v>
      </c>
      <c r="AG93" s="2">
        <f>F93-H93-L93-U93-AA93-AB93-AD93-Y93</f>
        <v>1554113.8247512542</v>
      </c>
      <c r="AH93" s="2">
        <f>AH92+AG93</f>
        <v>-30274478.563184753</v>
      </c>
      <c r="AI93" s="2">
        <v>36212025.58178791</v>
      </c>
      <c r="AJ93" s="2">
        <f>AH93-AI93</f>
        <v>-66486504.14497267</v>
      </c>
      <c r="AK93" s="3">
        <v>0.25</v>
      </c>
    </row>
    <row r="94" spans="1:37">
      <c r="A94" s="2">
        <v>93</v>
      </c>
      <c r="B94" s="2">
        <v>2034</v>
      </c>
      <c r="C94" s="2">
        <v>70</v>
      </c>
      <c r="D94" s="2">
        <v>430443.5541600503</v>
      </c>
      <c r="E94" s="2">
        <v>30131048.79120352</v>
      </c>
      <c r="F94" s="2">
        <f>E94/1.19</f>
        <v>25320209.068238255</v>
      </c>
      <c r="G94" s="2">
        <v>90</v>
      </c>
      <c r="H94" s="2">
        <v>8328511.517256632</v>
      </c>
      <c r="I94" s="2">
        <v>176</v>
      </c>
      <c r="J94" s="2">
        <v>16280972.17268471</v>
      </c>
      <c r="K94" s="2">
        <v>6475386.65959051</v>
      </c>
      <c r="L94" s="2">
        <v>2541130.395805862</v>
      </c>
      <c r="M94" s="2">
        <v>6931876.574000925</v>
      </c>
      <c r="N94" s="3">
        <v>1</v>
      </c>
      <c r="O94" s="3">
        <v>1.5</v>
      </c>
      <c r="P94" s="2">
        <v>209078.5571222279</v>
      </c>
      <c r="Q94" s="2">
        <v>489797.2669054546</v>
      </c>
      <c r="R94" s="2">
        <v>307468.4663562176</v>
      </c>
      <c r="S94" s="2">
        <v>344364.6823189636</v>
      </c>
      <c r="T94" s="2">
        <v>3025489.708945181</v>
      </c>
      <c r="U94" s="2">
        <f>M94+P94+Q94+R94+S94+T94</f>
        <v>11308075.25564897</v>
      </c>
      <c r="V94" s="2">
        <f>F94-K94-L94-U94</f>
        <v>4995616.757192913</v>
      </c>
      <c r="W94" s="2">
        <v>90074.96708474119</v>
      </c>
      <c r="X94" s="2">
        <v>297578.7045289282</v>
      </c>
      <c r="Y94" s="2">
        <f>W94+X94</f>
        <v>387653.6716136694</v>
      </c>
      <c r="Z94" s="2">
        <v>9195195.319072342</v>
      </c>
      <c r="AA94" s="2">
        <v>0</v>
      </c>
      <c r="AB94" s="2">
        <v>0</v>
      </c>
      <c r="AC94" s="2">
        <v>0</v>
      </c>
      <c r="AD94" s="2">
        <v>173721.0477210965</v>
      </c>
      <c r="AE94" s="2">
        <v>1563489.429489871</v>
      </c>
      <c r="AF94" s="2">
        <f>F94-H94-L94-U94-AA94-AC94-AD94</f>
        <v>2968770.8518056935</v>
      </c>
      <c r="AG94" s="2">
        <f>F94-H94-L94-U94-AA94-AB94-AD94-Y94</f>
        <v>2581117.180192024</v>
      </c>
      <c r="AH94" s="2">
        <f>AH93+AG94</f>
        <v>-27693361.38299273</v>
      </c>
      <c r="AI94" s="2">
        <v>36212025.58178791</v>
      </c>
      <c r="AJ94" s="2">
        <f>AH94-AI94</f>
        <v>-63905386.96478064</v>
      </c>
      <c r="AK94" s="3">
        <v>0.25</v>
      </c>
    </row>
    <row r="95" spans="1:37">
      <c r="A95" s="2">
        <v>94</v>
      </c>
      <c r="B95" s="2">
        <v>2034</v>
      </c>
      <c r="C95" s="2">
        <v>83</v>
      </c>
      <c r="D95" s="2">
        <v>430443.5541600503</v>
      </c>
      <c r="E95" s="2">
        <v>35726814.99528418</v>
      </c>
      <c r="F95" s="2">
        <f>E95/1.19</f>
        <v>30022533.609482504</v>
      </c>
      <c r="G95" s="2">
        <v>110</v>
      </c>
      <c r="H95" s="2">
        <v>10179291.85442477</v>
      </c>
      <c r="I95" s="2">
        <v>203</v>
      </c>
      <c r="J95" s="2">
        <v>18781236.35490638</v>
      </c>
      <c r="K95" s="2">
        <v>7679027.672203102</v>
      </c>
      <c r="L95" s="2">
        <v>3013140.148522043</v>
      </c>
      <c r="M95" s="2">
        <v>6931876.574000925</v>
      </c>
      <c r="N95" s="3">
        <v>1</v>
      </c>
      <c r="O95" s="3">
        <v>1.5</v>
      </c>
      <c r="P95" s="2">
        <v>209078.5571222279</v>
      </c>
      <c r="Q95" s="2">
        <v>489797.2669054546</v>
      </c>
      <c r="R95" s="2">
        <v>307468.4663562176</v>
      </c>
      <c r="S95" s="2">
        <v>344364.6823189636</v>
      </c>
      <c r="T95" s="2">
        <v>3025489.708945181</v>
      </c>
      <c r="U95" s="2">
        <f>M95+P95+Q95+R95+S95+T95</f>
        <v>11308075.25564897</v>
      </c>
      <c r="V95" s="2">
        <f>F95-K95-L95-U95</f>
        <v>8022290.533108391</v>
      </c>
      <c r="W95" s="2">
        <v>87251.30437572474</v>
      </c>
      <c r="X95" s="2">
        <v>300402.3672379446</v>
      </c>
      <c r="Y95" s="2">
        <f>W95+X95</f>
        <v>387653.6716136693</v>
      </c>
      <c r="Z95" s="2">
        <v>8894792.951834397</v>
      </c>
      <c r="AA95" s="2">
        <v>0</v>
      </c>
      <c r="AB95" s="2">
        <v>0</v>
      </c>
      <c r="AC95" s="2">
        <v>0</v>
      </c>
      <c r="AD95" s="2">
        <v>347442.0954421938</v>
      </c>
      <c r="AE95" s="2">
        <v>1910931.524932065</v>
      </c>
      <c r="AF95" s="2">
        <f>F95-H95-L95-U95-AA95-AC95-AD95</f>
        <v>5174584.255444524</v>
      </c>
      <c r="AG95" s="2">
        <f>F95-H95-L95-U95-AA95-AB95-AD95-Y95</f>
        <v>4786930.583830855</v>
      </c>
      <c r="AH95" s="2">
        <f>AH94+AG95</f>
        <v>-22906430.799161874</v>
      </c>
      <c r="AI95" s="2">
        <v>36212025.58178791</v>
      </c>
      <c r="AJ95" s="2">
        <f>AH95-AI95</f>
        <v>-59118456.38094979</v>
      </c>
      <c r="AK95" s="3">
        <v>0.25</v>
      </c>
    </row>
    <row r="96" spans="1:37">
      <c r="A96" s="2">
        <v>95</v>
      </c>
      <c r="B96" s="2">
        <v>2034</v>
      </c>
      <c r="C96" s="2">
        <v>89</v>
      </c>
      <c r="D96" s="2">
        <v>430443.5541600503</v>
      </c>
      <c r="E96" s="2">
        <v>38309476.32024448</v>
      </c>
      <c r="F96" s="2">
        <f>E96/1.19</f>
        <v>32192837.24390292</v>
      </c>
      <c r="G96" s="2">
        <v>10</v>
      </c>
      <c r="H96" s="2">
        <v>925390.1685840703</v>
      </c>
      <c r="I96" s="2">
        <v>124</v>
      </c>
      <c r="J96" s="2">
        <v>11472402.29536533</v>
      </c>
      <c r="K96" s="2">
        <v>8234224.228125118</v>
      </c>
      <c r="L96" s="2">
        <v>3230964.398399114</v>
      </c>
      <c r="M96" s="2">
        <v>6931876.574000925</v>
      </c>
      <c r="N96" s="3">
        <v>1</v>
      </c>
      <c r="O96" s="3">
        <v>1.5</v>
      </c>
      <c r="P96" s="2">
        <v>209078.5571222279</v>
      </c>
      <c r="Q96" s="2">
        <v>489797.2669054546</v>
      </c>
      <c r="R96" s="2">
        <v>307468.4663562176</v>
      </c>
      <c r="S96" s="2">
        <v>344364.6823189636</v>
      </c>
      <c r="T96" s="2">
        <v>3025489.708945181</v>
      </c>
      <c r="U96" s="2">
        <f>M96+P96+Q96+R96+S96+T96</f>
        <v>11308075.25564897</v>
      </c>
      <c r="V96" s="2">
        <f>F96-K96-L96-U96</f>
        <v>9419573.361729719</v>
      </c>
      <c r="W96" s="2">
        <v>84400.8485159453</v>
      </c>
      <c r="X96" s="2">
        <v>303252.823097724</v>
      </c>
      <c r="Y96" s="2">
        <f>W96+X96</f>
        <v>387653.6716136693</v>
      </c>
      <c r="Z96" s="2">
        <v>8591540.128736673</v>
      </c>
      <c r="AA96" s="2">
        <v>0</v>
      </c>
      <c r="AB96" s="2">
        <v>0</v>
      </c>
      <c r="AC96" s="2">
        <v>0</v>
      </c>
      <c r="AD96" s="2">
        <v>-1737210.477210968</v>
      </c>
      <c r="AE96" s="2">
        <v>173721.0477210968</v>
      </c>
      <c r="AF96" s="2">
        <f>F96-H96-L96-U96-AA96-AC96-AD96</f>
        <v>18465617.898481734</v>
      </c>
      <c r="AG96" s="2">
        <f>F96-H96-L96-U96-AA96-AB96-AD96-Y96</f>
        <v>18077964.226868063</v>
      </c>
      <c r="AH96" s="2">
        <f>AH95+AG96</f>
        <v>-4828466.572293811</v>
      </c>
      <c r="AI96" s="2">
        <v>36212025.58178791</v>
      </c>
      <c r="AJ96" s="2">
        <f>AH96-AI96</f>
        <v>-41040492.154081725</v>
      </c>
      <c r="AK96" s="3">
        <v>0.25</v>
      </c>
    </row>
    <row r="97" spans="1:37">
      <c r="A97" s="2">
        <v>96</v>
      </c>
      <c r="B97" s="2">
        <v>2034</v>
      </c>
      <c r="C97" s="2">
        <v>109</v>
      </c>
      <c r="D97" s="2">
        <v>430443.5541600503</v>
      </c>
      <c r="E97" s="2">
        <v>46918347.40344548</v>
      </c>
      <c r="F97" s="2">
        <f>E97/1.19</f>
        <v>39427182.691971</v>
      </c>
      <c r="G97" s="2">
        <v>20</v>
      </c>
      <c r="H97" s="2">
        <v>1850780.337168141</v>
      </c>
      <c r="I97" s="2">
        <v>35</v>
      </c>
      <c r="J97" s="2">
        <v>3238273.556518553</v>
      </c>
      <c r="K97" s="2">
        <v>10084909.07601492</v>
      </c>
      <c r="L97" s="2">
        <v>3957047.604241333</v>
      </c>
      <c r="M97" s="2">
        <v>6931876.574000925</v>
      </c>
      <c r="N97" s="3">
        <v>1</v>
      </c>
      <c r="O97" s="3">
        <v>1.5</v>
      </c>
      <c r="P97" s="2">
        <v>209078.5571222279</v>
      </c>
      <c r="Q97" s="2">
        <v>489797.2669054546</v>
      </c>
      <c r="R97" s="2">
        <v>307468.4663562176</v>
      </c>
      <c r="S97" s="2">
        <v>344364.6823189636</v>
      </c>
      <c r="T97" s="2">
        <v>3025489.708945181</v>
      </c>
      <c r="U97" s="2">
        <f>M97+P97+Q97+R97+S97+T97</f>
        <v>11308075.25564897</v>
      </c>
      <c r="V97" s="2">
        <f>F97-K97-L97-U97</f>
        <v>14077150.756065771</v>
      </c>
      <c r="W97" s="2">
        <v>81523.34527074326</v>
      </c>
      <c r="X97" s="2">
        <v>306130.3263429261</v>
      </c>
      <c r="Y97" s="2">
        <f>W97+X97</f>
        <v>387653.6716136693</v>
      </c>
      <c r="Z97" s="2">
        <v>8285409.802393747</v>
      </c>
      <c r="AA97" s="2">
        <v>0</v>
      </c>
      <c r="AB97" s="2">
        <v>134367.6240831111</v>
      </c>
      <c r="AC97" s="2">
        <v>3256048.136801863</v>
      </c>
      <c r="AD97" s="2">
        <v>173721.0477210968</v>
      </c>
      <c r="AE97" s="2">
        <v>347442.0954421937</v>
      </c>
      <c r="AF97" s="2">
        <f>F97-H97-L97-U97-AA97-AC97-AD97</f>
        <v>18881510.310389593</v>
      </c>
      <c r="AG97" s="2">
        <f>F97-H97-L97-U97-AA97-AB97-AD97-Y97</f>
        <v>21615537.151494674</v>
      </c>
      <c r="AH97" s="2">
        <f>AH96+AG97</f>
        <v>16787070.579200864</v>
      </c>
      <c r="AI97" s="2">
        <v>36212025.58178791</v>
      </c>
      <c r="AJ97" s="2">
        <f>AH97-AI97</f>
        <v>-19424955.00258705</v>
      </c>
      <c r="AK97" s="3">
        <v>0.25</v>
      </c>
    </row>
    <row r="98" spans="1:37">
      <c r="A98" s="2">
        <v>97</v>
      </c>
      <c r="B98" s="2">
        <v>2035</v>
      </c>
      <c r="C98" s="2">
        <v>13</v>
      </c>
      <c r="D98" s="2">
        <v>443356.8607848518</v>
      </c>
      <c r="E98" s="2">
        <v>5763639.190203074</v>
      </c>
      <c r="F98" s="2">
        <f>E98/1.19</f>
        <v>4843394.2774815755</v>
      </c>
      <c r="G98" s="2">
        <v>30</v>
      </c>
      <c r="H98" s="2">
        <v>2859455.620924777</v>
      </c>
      <c r="I98" s="2">
        <v>52</v>
      </c>
      <c r="J98" s="2">
        <v>4878183.341954664</v>
      </c>
      <c r="K98" s="2">
        <v>1219545.835488666</v>
      </c>
      <c r="L98" s="2">
        <v>484553.6926974811</v>
      </c>
      <c r="M98" s="2">
        <v>7139832.871220953</v>
      </c>
      <c r="N98" s="3">
        <v>1</v>
      </c>
      <c r="O98" s="3">
        <v>1.5</v>
      </c>
      <c r="P98" s="2">
        <v>215350.9138358948</v>
      </c>
      <c r="Q98" s="2">
        <v>534006.9278089497</v>
      </c>
      <c r="R98" s="2">
        <v>316692.5203469041</v>
      </c>
      <c r="S98" s="2">
        <v>354695.6227885326</v>
      </c>
      <c r="T98" s="2">
        <v>3271433.735183519</v>
      </c>
      <c r="U98" s="2">
        <f>M98+P98+Q98+R98+S98+T98</f>
        <v>11832012.591184752</v>
      </c>
      <c r="V98" s="2">
        <f>F98-K98-L98-U98</f>
        <v>-8692717.841889324</v>
      </c>
      <c r="W98" s="2">
        <v>78618.53799307889</v>
      </c>
      <c r="X98" s="2">
        <v>309035.1336205904</v>
      </c>
      <c r="Y98" s="2">
        <f>W98+X98</f>
        <v>387653.6716136693</v>
      </c>
      <c r="Z98" s="2">
        <v>7976374.668773156</v>
      </c>
      <c r="AA98" s="2">
        <v>0</v>
      </c>
      <c r="AB98" s="2">
        <v>0</v>
      </c>
      <c r="AC98" s="2">
        <v>0</v>
      </c>
      <c r="AD98" s="2">
        <v>189355.9420159955</v>
      </c>
      <c r="AE98" s="2">
        <v>536798.0374581892</v>
      </c>
      <c r="AF98" s="2">
        <f>F98-H98-L98-U98-AA98-AC98-AD98</f>
        <v>-10521983.56934143</v>
      </c>
      <c r="AG98" s="2">
        <f>F98-H98-L98-U98-AA98-AB98-AD98-Y98</f>
        <v>-10909637.2409551</v>
      </c>
      <c r="AH98" s="2">
        <f>AH97+AG98</f>
        <v>5877433.338245764</v>
      </c>
      <c r="AI98" s="2">
        <v>37783837.58839526</v>
      </c>
      <c r="AJ98" s="2">
        <f>AH98-AI98</f>
        <v>-31906404.250149496</v>
      </c>
      <c r="AK98" s="3">
        <v>0.25</v>
      </c>
    </row>
    <row r="99" spans="1:37">
      <c r="A99" s="2">
        <v>98</v>
      </c>
      <c r="B99" s="2">
        <v>2035</v>
      </c>
      <c r="C99" s="2">
        <v>20</v>
      </c>
      <c r="D99" s="2">
        <v>443356.8607848518</v>
      </c>
      <c r="E99" s="2">
        <v>8867137.215697037</v>
      </c>
      <c r="F99" s="2">
        <f>E99/1.19</f>
        <v>7451375.811510116</v>
      </c>
      <c r="G99" s="2">
        <v>30</v>
      </c>
      <c r="H99" s="2">
        <v>2859455.620924777</v>
      </c>
      <c r="I99" s="2">
        <v>62</v>
      </c>
      <c r="J99" s="2">
        <v>5850409.947542992</v>
      </c>
      <c r="K99" s="2">
        <v>1887229.015336449</v>
      </c>
      <c r="L99" s="2">
        <v>746347.5917782818</v>
      </c>
      <c r="M99" s="2">
        <v>7139832.871220953</v>
      </c>
      <c r="N99" s="3">
        <v>1</v>
      </c>
      <c r="O99" s="3">
        <v>1.5</v>
      </c>
      <c r="P99" s="2">
        <v>215350.9138358948</v>
      </c>
      <c r="Q99" s="2">
        <v>534006.9278089497</v>
      </c>
      <c r="R99" s="2">
        <v>316692.5203469041</v>
      </c>
      <c r="S99" s="2">
        <v>354695.6227885326</v>
      </c>
      <c r="T99" s="2">
        <v>3271433.735183519</v>
      </c>
      <c r="U99" s="2">
        <f>M99+P99+Q99+R99+S99+T99</f>
        <v>11832012.591184752</v>
      </c>
      <c r="V99" s="2">
        <f>F99-K99-L99-U99</f>
        <v>-7014213.3867893675</v>
      </c>
      <c r="W99" s="2">
        <v>75686.1676006419</v>
      </c>
      <c r="X99" s="2">
        <v>311967.5040130274</v>
      </c>
      <c r="Y99" s="2">
        <f>W99+X99</f>
        <v>387653.6716136693</v>
      </c>
      <c r="Z99" s="2">
        <v>7664407.164760129</v>
      </c>
      <c r="AA99" s="2">
        <v>0</v>
      </c>
      <c r="AB99" s="2">
        <v>0</v>
      </c>
      <c r="AC99" s="2">
        <v>0</v>
      </c>
      <c r="AD99" s="2">
        <v>0</v>
      </c>
      <c r="AE99" s="2">
        <v>536798.0374581892</v>
      </c>
      <c r="AF99" s="2">
        <f>F99-H99-L99-U99-AA99-AC99-AD99</f>
        <v>-7986439.992377696</v>
      </c>
      <c r="AG99" s="2">
        <f>F99-H99-L99-U99-AA99-AB99-AD99-Y99</f>
        <v>-8374093.663991365</v>
      </c>
      <c r="AH99" s="2">
        <f>AH98+AG99</f>
        <v>-2496660.3257456003</v>
      </c>
      <c r="AI99" s="2">
        <v>37783837.58839526</v>
      </c>
      <c r="AJ99" s="2">
        <f>AH99-AI99</f>
        <v>-40280497.91414086</v>
      </c>
      <c r="AK99" s="3">
        <v>0.25</v>
      </c>
    </row>
    <row r="100" spans="1:37">
      <c r="A100" s="2">
        <v>99</v>
      </c>
      <c r="B100" s="2">
        <v>2035</v>
      </c>
      <c r="C100" s="2">
        <v>27</v>
      </c>
      <c r="D100" s="2">
        <v>443356.8607848518</v>
      </c>
      <c r="E100" s="2">
        <v>11970635.241191</v>
      </c>
      <c r="F100" s="2">
        <f>E100/1.19</f>
        <v>10059357.345538655</v>
      </c>
      <c r="G100" s="2">
        <v>40</v>
      </c>
      <c r="H100" s="2">
        <v>3812607.49456637</v>
      </c>
      <c r="I100" s="2">
        <v>75</v>
      </c>
      <c r="J100" s="2">
        <v>7105159.883903943</v>
      </c>
      <c r="K100" s="2">
        <v>2557857.558205419</v>
      </c>
      <c r="L100" s="2">
        <v>1008377.119900777</v>
      </c>
      <c r="M100" s="2">
        <v>7139832.871220953</v>
      </c>
      <c r="N100" s="3">
        <v>1</v>
      </c>
      <c r="O100" s="3">
        <v>1.5</v>
      </c>
      <c r="P100" s="2">
        <v>215350.9138358948</v>
      </c>
      <c r="Q100" s="2">
        <v>534006.9278089497</v>
      </c>
      <c r="R100" s="2">
        <v>316692.5203469041</v>
      </c>
      <c r="S100" s="2">
        <v>354695.6227885326</v>
      </c>
      <c r="T100" s="2">
        <v>3271433.735183519</v>
      </c>
      <c r="U100" s="2">
        <f>M100+P100+Q100+R100+S100+T100</f>
        <v>11832012.591184752</v>
      </c>
      <c r="V100" s="2">
        <f>F100-K100-L100-U100</f>
        <v>-5338889.923752293</v>
      </c>
      <c r="W100" s="2">
        <v>72725.97255274358</v>
      </c>
      <c r="X100" s="2">
        <v>314927.6990609257</v>
      </c>
      <c r="Y100" s="2">
        <f>W100+X100</f>
        <v>387653.6716136693</v>
      </c>
      <c r="Z100" s="2">
        <v>7349479.465699203</v>
      </c>
      <c r="AA100" s="2">
        <v>0</v>
      </c>
      <c r="AB100" s="2">
        <v>0</v>
      </c>
      <c r="AC100" s="2">
        <v>0</v>
      </c>
      <c r="AD100" s="2">
        <v>178932.6791527298</v>
      </c>
      <c r="AE100" s="2">
        <v>715730.716610919</v>
      </c>
      <c r="AF100" s="2">
        <f>F100-H100-L100-U100-AA100-AC100-AD100</f>
        <v>-6772572.539265974</v>
      </c>
      <c r="AG100" s="2">
        <f>F100-H100-L100-U100-AA100-AB100-AD100-Y100</f>
        <v>-7160226.210879643</v>
      </c>
      <c r="AH100" s="2">
        <f>AH99+AG100</f>
        <v>-9656886.536625244</v>
      </c>
      <c r="AI100" s="2">
        <v>37783837.58839526</v>
      </c>
      <c r="AJ100" s="2">
        <f>AH100-AI100</f>
        <v>-47440724.125020504</v>
      </c>
      <c r="AK100" s="3">
        <v>0.25</v>
      </c>
    </row>
    <row r="101" spans="1:37">
      <c r="A101" s="2">
        <v>100</v>
      </c>
      <c r="B101" s="2">
        <v>2035</v>
      </c>
      <c r="C101" s="2">
        <v>34</v>
      </c>
      <c r="D101" s="2">
        <v>443356.8607848518</v>
      </c>
      <c r="E101" s="2">
        <v>15074133.26668496</v>
      </c>
      <c r="F101" s="2">
        <f>E101/1.19</f>
        <v>12667338.879567197</v>
      </c>
      <c r="G101" s="2">
        <v>50</v>
      </c>
      <c r="H101" s="2">
        <v>4765759.368207961</v>
      </c>
      <c r="I101" s="2">
        <v>91</v>
      </c>
      <c r="J101" s="2">
        <v>8642029.215537466</v>
      </c>
      <c r="K101" s="2">
        <v>3228890.036574438</v>
      </c>
      <c r="L101" s="2">
        <v>1270438.962863277</v>
      </c>
      <c r="M101" s="2">
        <v>7139832.871220953</v>
      </c>
      <c r="N101" s="3">
        <v>1</v>
      </c>
      <c r="O101" s="3">
        <v>1.5</v>
      </c>
      <c r="P101" s="2">
        <v>215350.9138358948</v>
      </c>
      <c r="Q101" s="2">
        <v>534006.9278089497</v>
      </c>
      <c r="R101" s="2">
        <v>316692.5203469041</v>
      </c>
      <c r="S101" s="2">
        <v>354695.6227885326</v>
      </c>
      <c r="T101" s="2">
        <v>3271433.735183519</v>
      </c>
      <c r="U101" s="2">
        <f>M101+P101+Q101+R101+S101+T101</f>
        <v>11832012.591184752</v>
      </c>
      <c r="V101" s="2">
        <f>F101-K101-L101-U101</f>
        <v>-3664002.7110552704</v>
      </c>
      <c r="W101" s="2">
        <v>69737.68882698978</v>
      </c>
      <c r="X101" s="2">
        <v>317915.9827866795</v>
      </c>
      <c r="Y101" s="2">
        <f>W101+X101</f>
        <v>387653.6716136693</v>
      </c>
      <c r="Z101" s="2">
        <v>7031563.482912524</v>
      </c>
      <c r="AA101" s="2">
        <v>0</v>
      </c>
      <c r="AB101" s="2">
        <v>0</v>
      </c>
      <c r="AC101" s="2">
        <v>0</v>
      </c>
      <c r="AD101" s="2">
        <v>178932.6791527296</v>
      </c>
      <c r="AE101" s="2">
        <v>894663.3957636486</v>
      </c>
      <c r="AF101" s="2">
        <f>F101-H101-L101-U101-AA101-AC101-AD101</f>
        <v>-5379804.721841523</v>
      </c>
      <c r="AG101" s="2">
        <f>F101-H101-L101-U101-AA101-AB101-AD101-Y101</f>
        <v>-5767458.393455192</v>
      </c>
      <c r="AH101" s="2">
        <f>AH100+AG101</f>
        <v>-15424344.930080436</v>
      </c>
      <c r="AI101" s="2">
        <v>37783837.58839526</v>
      </c>
      <c r="AJ101" s="2">
        <f>AH101-AI101</f>
        <v>-53208182.5184757</v>
      </c>
      <c r="AK101" s="3">
        <v>0.25</v>
      </c>
    </row>
    <row r="102" spans="1:37">
      <c r="A102" s="2">
        <v>101</v>
      </c>
      <c r="B102" s="2">
        <v>2035</v>
      </c>
      <c r="C102" s="2">
        <v>40</v>
      </c>
      <c r="D102" s="2">
        <v>443356.8607848518</v>
      </c>
      <c r="E102" s="2">
        <v>17734274.43139407</v>
      </c>
      <c r="F102" s="2">
        <f>E102/1.19</f>
        <v>14902751.623020232</v>
      </c>
      <c r="G102" s="2">
        <v>50</v>
      </c>
      <c r="H102" s="2">
        <v>4765759.368207961</v>
      </c>
      <c r="I102" s="2">
        <v>101</v>
      </c>
      <c r="J102" s="2">
        <v>9604160.616725449</v>
      </c>
      <c r="K102" s="2">
        <v>3803627.967019979</v>
      </c>
      <c r="L102" s="2">
        <v>1495028.77846433</v>
      </c>
      <c r="M102" s="2">
        <v>7139832.871220953</v>
      </c>
      <c r="N102" s="3">
        <v>1</v>
      </c>
      <c r="O102" s="3">
        <v>1.5</v>
      </c>
      <c r="P102" s="2">
        <v>215350.9138358948</v>
      </c>
      <c r="Q102" s="2">
        <v>534006.9278089497</v>
      </c>
      <c r="R102" s="2">
        <v>316692.5203469041</v>
      </c>
      <c r="S102" s="2">
        <v>354695.6227885326</v>
      </c>
      <c r="T102" s="2">
        <v>3271433.735183519</v>
      </c>
      <c r="U102" s="2">
        <f>M102+P102+Q102+R102+S102+T102</f>
        <v>11832012.591184752</v>
      </c>
      <c r="V102" s="2">
        <f>F102-K102-L102-U102</f>
        <v>-2227917.7136488296</v>
      </c>
      <c r="W102" s="2">
        <v>66721.0498957325</v>
      </c>
      <c r="X102" s="2">
        <v>320932.6217179368</v>
      </c>
      <c r="Y102" s="2">
        <f>W102+X102</f>
        <v>387653.6716136693</v>
      </c>
      <c r="Z102" s="2">
        <v>6710630.861194586</v>
      </c>
      <c r="AA102" s="2">
        <v>0</v>
      </c>
      <c r="AB102" s="2">
        <v>0</v>
      </c>
      <c r="AC102" s="2">
        <v>0</v>
      </c>
      <c r="AD102" s="2">
        <v>0</v>
      </c>
      <c r="AE102" s="2">
        <v>894663.3957636486</v>
      </c>
      <c r="AF102" s="2">
        <f>F102-H102-L102-U102-AA102-AC102-AD102</f>
        <v>-3190049.114836812</v>
      </c>
      <c r="AG102" s="2">
        <f>F102-H102-L102-U102-AA102-AB102-AD102-Y102</f>
        <v>-3577702.7864504815</v>
      </c>
      <c r="AH102" s="2">
        <f>AH101+AG102</f>
        <v>-19002047.71653092</v>
      </c>
      <c r="AI102" s="2">
        <v>37783837.58839526</v>
      </c>
      <c r="AJ102" s="2">
        <f>AH102-AI102</f>
        <v>-56785885.30492618</v>
      </c>
      <c r="AK102" s="3">
        <v>0.25</v>
      </c>
    </row>
    <row r="103" spans="1:37">
      <c r="A103" s="2">
        <v>102</v>
      </c>
      <c r="B103" s="2">
        <v>2035</v>
      </c>
      <c r="C103" s="2">
        <v>47</v>
      </c>
      <c r="D103" s="2">
        <v>443356.8607848518</v>
      </c>
      <c r="E103" s="2">
        <v>20837772.45688804</v>
      </c>
      <c r="F103" s="2">
        <f>E103/1.19</f>
        <v>17510733.157048773</v>
      </c>
      <c r="G103" s="2">
        <v>70</v>
      </c>
      <c r="H103" s="2">
        <v>6672063.115491147</v>
      </c>
      <c r="I103" s="2">
        <v>124</v>
      </c>
      <c r="J103" s="2">
        <v>11802641.77073016</v>
      </c>
      <c r="K103" s="2">
        <v>4473581.961486434</v>
      </c>
      <c r="L103" s="2">
        <v>1757004.342714624</v>
      </c>
      <c r="M103" s="2">
        <v>7139832.871220953</v>
      </c>
      <c r="N103" s="3">
        <v>1</v>
      </c>
      <c r="O103" s="3">
        <v>1.5</v>
      </c>
      <c r="P103" s="2">
        <v>215350.9138358948</v>
      </c>
      <c r="Q103" s="2">
        <v>534006.9278089497</v>
      </c>
      <c r="R103" s="2">
        <v>316692.5203469041</v>
      </c>
      <c r="S103" s="2">
        <v>354695.6227885326</v>
      </c>
      <c r="T103" s="2">
        <v>3271433.735183519</v>
      </c>
      <c r="U103" s="2">
        <f>M103+P103+Q103+R103+S103+T103</f>
        <v>11832012.591184752</v>
      </c>
      <c r="V103" s="2">
        <f>F103-K103-L103-U103</f>
        <v>-551865.7383370362</v>
      </c>
      <c r="W103" s="2">
        <v>63675.78670229813</v>
      </c>
      <c r="X103" s="2">
        <v>323977.8849113712</v>
      </c>
      <c r="Y103" s="2">
        <f>W103+X103</f>
        <v>387653.6716136693</v>
      </c>
      <c r="Z103" s="2">
        <v>6386652.976283215</v>
      </c>
      <c r="AA103" s="2">
        <v>0</v>
      </c>
      <c r="AB103" s="2">
        <v>0</v>
      </c>
      <c r="AC103" s="2">
        <v>0</v>
      </c>
      <c r="AD103" s="2">
        <v>357865.3583054595</v>
      </c>
      <c r="AE103" s="2">
        <v>1252528.754069108</v>
      </c>
      <c r="AF103" s="2">
        <f>F103-H103-L103-U103-AA103-AC103-AD103</f>
        <v>-3108212.250647211</v>
      </c>
      <c r="AG103" s="2">
        <f>F103-H103-L103-U103-AA103-AB103-AD103-Y103</f>
        <v>-3495865.9222608805</v>
      </c>
      <c r="AH103" s="2">
        <f>AH102+AG103</f>
        <v>-22497913.6387918</v>
      </c>
      <c r="AI103" s="2">
        <v>37783837.58839526</v>
      </c>
      <c r="AJ103" s="2">
        <f>AH103-AI103</f>
        <v>-60281751.22718706</v>
      </c>
      <c r="AK103" s="3">
        <v>0.25</v>
      </c>
    </row>
    <row r="104" spans="1:37">
      <c r="A104" s="2">
        <v>103</v>
      </c>
      <c r="B104" s="2">
        <v>2035</v>
      </c>
      <c r="C104" s="2">
        <v>54</v>
      </c>
      <c r="D104" s="2">
        <v>443356.8607848518</v>
      </c>
      <c r="E104" s="2">
        <v>23941270.482382</v>
      </c>
      <c r="F104" s="2">
        <f>E104/1.19</f>
        <v>20118714.69107731</v>
      </c>
      <c r="G104" s="2">
        <v>80</v>
      </c>
      <c r="H104" s="2">
        <v>7625214.98913274</v>
      </c>
      <c r="I104" s="2">
        <v>150</v>
      </c>
      <c r="J104" s="2">
        <v>14285188.79401684</v>
      </c>
      <c r="K104" s="2">
        <v>5142667.965846062</v>
      </c>
      <c r="L104" s="2">
        <v>2018910.467756373</v>
      </c>
      <c r="M104" s="2">
        <v>7139832.871220953</v>
      </c>
      <c r="N104" s="3">
        <v>1</v>
      </c>
      <c r="O104" s="3">
        <v>1.5</v>
      </c>
      <c r="P104" s="2">
        <v>215350.9138358948</v>
      </c>
      <c r="Q104" s="2">
        <v>534006.9278089497</v>
      </c>
      <c r="R104" s="2">
        <v>316692.5203469041</v>
      </c>
      <c r="S104" s="2">
        <v>354695.6227885326</v>
      </c>
      <c r="T104" s="2">
        <v>3271433.735183519</v>
      </c>
      <c r="U104" s="2">
        <f>M104+P104+Q104+R104+S104+T104</f>
        <v>11832012.591184752</v>
      </c>
      <c r="V104" s="2">
        <f>F104-K104-L104-U104</f>
        <v>1125123.6662901249</v>
      </c>
      <c r="W104" s="2">
        <v>60601.62763698995</v>
      </c>
      <c r="X104" s="2">
        <v>327052.0439766794</v>
      </c>
      <c r="Y104" s="2">
        <f>W104+X104</f>
        <v>387653.6716136693</v>
      </c>
      <c r="Z104" s="2">
        <v>6059600.932306536</v>
      </c>
      <c r="AA104" s="2">
        <v>0</v>
      </c>
      <c r="AB104" s="2">
        <v>0</v>
      </c>
      <c r="AC104" s="2">
        <v>0</v>
      </c>
      <c r="AD104" s="2">
        <v>178932.6791527299</v>
      </c>
      <c r="AE104" s="2">
        <v>1431461.433221838</v>
      </c>
      <c r="AF104" s="2">
        <f>F104-H104-L104-U104-AA104-AC104-AD104</f>
        <v>-1536356.036149283</v>
      </c>
      <c r="AG104" s="2">
        <f>F104-H104-L104-U104-AA104-AB104-AD104-Y104</f>
        <v>-1924009.7077629522</v>
      </c>
      <c r="AH104" s="2">
        <f>AH103+AG104</f>
        <v>-24421923.346554752</v>
      </c>
      <c r="AI104" s="2">
        <v>37783837.58839526</v>
      </c>
      <c r="AJ104" s="2">
        <f>AH104-AI104</f>
        <v>-62205760.93495001</v>
      </c>
      <c r="AK104" s="3">
        <v>0.25</v>
      </c>
    </row>
    <row r="105" spans="1:37">
      <c r="A105" s="2">
        <v>104</v>
      </c>
      <c r="B105" s="2">
        <v>2035</v>
      </c>
      <c r="C105" s="2">
        <v>67</v>
      </c>
      <c r="D105" s="2">
        <v>443356.8607848518</v>
      </c>
      <c r="E105" s="2">
        <v>29704909.67258507</v>
      </c>
      <c r="F105" s="2">
        <f>E105/1.19</f>
        <v>24962108.968558885</v>
      </c>
      <c r="G105" s="2">
        <v>80</v>
      </c>
      <c r="H105" s="2">
        <v>7625214.98913274</v>
      </c>
      <c r="I105" s="2">
        <v>163</v>
      </c>
      <c r="J105" s="2">
        <v>15527807.89849296</v>
      </c>
      <c r="K105" s="2">
        <v>6382595.884656616</v>
      </c>
      <c r="L105" s="2">
        <v>2505094.727119605</v>
      </c>
      <c r="M105" s="2">
        <v>7139832.871220953</v>
      </c>
      <c r="N105" s="3">
        <v>1</v>
      </c>
      <c r="O105" s="3">
        <v>1.5</v>
      </c>
      <c r="P105" s="2">
        <v>215350.9138358948</v>
      </c>
      <c r="Q105" s="2">
        <v>534006.9278089497</v>
      </c>
      <c r="R105" s="2">
        <v>316692.5203469041</v>
      </c>
      <c r="S105" s="2">
        <v>354695.6227885326</v>
      </c>
      <c r="T105" s="2">
        <v>3271433.735183519</v>
      </c>
      <c r="U105" s="2">
        <f>M105+P105+Q105+R105+S105+T105</f>
        <v>11832012.591184752</v>
      </c>
      <c r="V105" s="2">
        <f>F105-K105-L105-U105</f>
        <v>4242405.765597912</v>
      </c>
      <c r="W105" s="2">
        <v>57498.29851286309</v>
      </c>
      <c r="X105" s="2">
        <v>330155.3731008062</v>
      </c>
      <c r="Y105" s="2">
        <f>W105+X105</f>
        <v>387653.6716136693</v>
      </c>
      <c r="Z105" s="2">
        <v>5729445.55920573</v>
      </c>
      <c r="AA105" s="2">
        <v>0</v>
      </c>
      <c r="AB105" s="2">
        <v>0</v>
      </c>
      <c r="AC105" s="2">
        <v>0</v>
      </c>
      <c r="AD105" s="2">
        <v>0</v>
      </c>
      <c r="AE105" s="2">
        <v>1431461.433221838</v>
      </c>
      <c r="AF105" s="2">
        <f>F105-H105-L105-U105-AA105-AC105-AD105</f>
        <v>2999786.6611217875</v>
      </c>
      <c r="AG105" s="2">
        <f>F105-H105-L105-U105-AA105-AB105-AD105-Y105</f>
        <v>2612132.989508118</v>
      </c>
      <c r="AH105" s="2">
        <f>AH104+AG105</f>
        <v>-21809790.357046634</v>
      </c>
      <c r="AI105" s="2">
        <v>37783837.58839526</v>
      </c>
      <c r="AJ105" s="2">
        <f>AH105-AI105</f>
        <v>-59593627.945441894</v>
      </c>
      <c r="AK105" s="3">
        <v>0.25</v>
      </c>
    </row>
    <row r="106" spans="1:37">
      <c r="A106" s="2">
        <v>105</v>
      </c>
      <c r="B106" s="2">
        <v>2035</v>
      </c>
      <c r="C106" s="2">
        <v>74</v>
      </c>
      <c r="D106" s="2">
        <v>443356.8607848518</v>
      </c>
      <c r="E106" s="2">
        <v>32808407.69807904</v>
      </c>
      <c r="F106" s="2">
        <f>E106/1.19</f>
        <v>27570090.50258743</v>
      </c>
      <c r="G106" s="2">
        <v>100</v>
      </c>
      <c r="H106" s="2">
        <v>9531518.736415923</v>
      </c>
      <c r="I106" s="2">
        <v>189</v>
      </c>
      <c r="J106" s="2">
        <v>18008413.43725391</v>
      </c>
      <c r="K106" s="2">
        <v>7050913.197654972</v>
      </c>
      <c r="L106" s="2">
        <v>2766939.356852451</v>
      </c>
      <c r="M106" s="2">
        <v>7139832.871220953</v>
      </c>
      <c r="N106" s="3">
        <v>1</v>
      </c>
      <c r="O106" s="3">
        <v>1.5</v>
      </c>
      <c r="P106" s="2">
        <v>215350.9138358948</v>
      </c>
      <c r="Q106" s="2">
        <v>534006.9278089497</v>
      </c>
      <c r="R106" s="2">
        <v>316692.5203469041</v>
      </c>
      <c r="S106" s="2">
        <v>354695.6227885326</v>
      </c>
      <c r="T106" s="2">
        <v>3271433.735183519</v>
      </c>
      <c r="U106" s="2">
        <f>M106+P106+Q106+R106+S106+T106</f>
        <v>11832012.591184752</v>
      </c>
      <c r="V106" s="2">
        <f>F106-K106-L106-U106</f>
        <v>5920225.356895259</v>
      </c>
      <c r="W106" s="2">
        <v>54365.52254126954</v>
      </c>
      <c r="X106" s="2">
        <v>333288.1490723998</v>
      </c>
      <c r="Y106" s="2">
        <f>W106+X106</f>
        <v>387653.6716136693</v>
      </c>
      <c r="Z106" s="2">
        <v>5396157.41013333</v>
      </c>
      <c r="AA106" s="2">
        <v>0</v>
      </c>
      <c r="AB106" s="2">
        <v>0</v>
      </c>
      <c r="AC106" s="2">
        <v>0</v>
      </c>
      <c r="AD106" s="2">
        <v>357865.3583054591</v>
      </c>
      <c r="AE106" s="2">
        <v>1789326.791527297</v>
      </c>
      <c r="AF106" s="2">
        <f>F106-H106-L106-U106-AA106-AC106-AD106</f>
        <v>3081754.459828845</v>
      </c>
      <c r="AG106" s="2">
        <f>F106-H106-L106-U106-AA106-AB106-AD106-Y106</f>
        <v>2694100.7882151757</v>
      </c>
      <c r="AH106" s="2">
        <f>AH105+AG106</f>
        <v>-19115689.56883146</v>
      </c>
      <c r="AI106" s="2">
        <v>37783837.58839526</v>
      </c>
      <c r="AJ106" s="2">
        <f>AH106-AI106</f>
        <v>-56899527.15722672</v>
      </c>
      <c r="AK106" s="3">
        <v>0.25</v>
      </c>
    </row>
    <row r="107" spans="1:37">
      <c r="A107" s="2">
        <v>106</v>
      </c>
      <c r="B107" s="2">
        <v>2035</v>
      </c>
      <c r="C107" s="2">
        <v>87</v>
      </c>
      <c r="D107" s="2">
        <v>443356.8607848518</v>
      </c>
      <c r="E107" s="2">
        <v>38572046.88828211</v>
      </c>
      <c r="F107" s="2">
        <f>E107/1.19</f>
        <v>32413484.780069005</v>
      </c>
      <c r="G107" s="2">
        <v>110</v>
      </c>
      <c r="H107" s="2">
        <v>10484670.61005752</v>
      </c>
      <c r="I107" s="2">
        <v>212</v>
      </c>
      <c r="J107" s="2">
        <v>20202454.24090309</v>
      </c>
      <c r="K107" s="2">
        <v>8290629.806408343</v>
      </c>
      <c r="L107" s="2">
        <v>3253106.711411109</v>
      </c>
      <c r="M107" s="2">
        <v>7139832.871220953</v>
      </c>
      <c r="N107" s="3">
        <v>1</v>
      </c>
      <c r="O107" s="3">
        <v>1.5</v>
      </c>
      <c r="P107" s="2">
        <v>215350.9138358948</v>
      </c>
      <c r="Q107" s="2">
        <v>534006.9278089497</v>
      </c>
      <c r="R107" s="2">
        <v>316692.5203469041</v>
      </c>
      <c r="S107" s="2">
        <v>354695.6227885326</v>
      </c>
      <c r="T107" s="2">
        <v>3271433.735183519</v>
      </c>
      <c r="U107" s="2">
        <f>M107+P107+Q107+R107+S107+T107</f>
        <v>11832012.591184752</v>
      </c>
      <c r="V107" s="2">
        <f>F107-K107-L107-U107</f>
        <v>9037735.671064803</v>
      </c>
      <c r="W107" s="2">
        <v>51203.02030717109</v>
      </c>
      <c r="X107" s="2">
        <v>336450.6513064982</v>
      </c>
      <c r="Y107" s="2">
        <f>W107+X107</f>
        <v>387653.6716136693</v>
      </c>
      <c r="Z107" s="2">
        <v>5059706.758826832</v>
      </c>
      <c r="AA107" s="2">
        <v>0</v>
      </c>
      <c r="AB107" s="2">
        <v>0</v>
      </c>
      <c r="AC107" s="2">
        <v>0</v>
      </c>
      <c r="AD107" s="2">
        <v>178932.6791527299</v>
      </c>
      <c r="AE107" s="2">
        <v>1968259.470680027</v>
      </c>
      <c r="AF107" s="2">
        <f>F107-H107-L107-U107-AA107-AC107-AD107</f>
        <v>6664762.188262901</v>
      </c>
      <c r="AG107" s="2">
        <f>F107-H107-L107-U107-AA107-AB107-AD107-Y107</f>
        <v>6277108.516649232</v>
      </c>
      <c r="AH107" s="2">
        <f>AH106+AG107</f>
        <v>-12838581.052182227</v>
      </c>
      <c r="AI107" s="2">
        <v>37783837.58839526</v>
      </c>
      <c r="AJ107" s="2">
        <f>AH107-AI107</f>
        <v>-50622418.64057749</v>
      </c>
      <c r="AK107" s="3">
        <v>0.25</v>
      </c>
    </row>
    <row r="108" spans="1:37">
      <c r="A108" s="2">
        <v>107</v>
      </c>
      <c r="B108" s="2">
        <v>2035</v>
      </c>
      <c r="C108" s="2">
        <v>94</v>
      </c>
      <c r="D108" s="2">
        <v>443356.8607848518</v>
      </c>
      <c r="E108" s="2">
        <v>41675544.91377608</v>
      </c>
      <c r="F108" s="2">
        <f>E108/1.19</f>
        <v>35021466.314097546</v>
      </c>
      <c r="G108" s="2">
        <v>10</v>
      </c>
      <c r="H108" s="2">
        <v>953151.8736415925</v>
      </c>
      <c r="I108" s="2">
        <v>128</v>
      </c>
      <c r="J108" s="2">
        <v>12197826.94892666</v>
      </c>
      <c r="K108" s="2">
        <v>8957779.165618017</v>
      </c>
      <c r="L108" s="2">
        <v>3514857.904840861</v>
      </c>
      <c r="M108" s="2">
        <v>7139832.871220953</v>
      </c>
      <c r="N108" s="3">
        <v>1</v>
      </c>
      <c r="O108" s="3">
        <v>1.5</v>
      </c>
      <c r="P108" s="2">
        <v>215350.9138358948</v>
      </c>
      <c r="Q108" s="2">
        <v>534006.9278089497</v>
      </c>
      <c r="R108" s="2">
        <v>316692.5203469041</v>
      </c>
      <c r="S108" s="2">
        <v>354695.6227885326</v>
      </c>
      <c r="T108" s="2">
        <v>3271433.735183519</v>
      </c>
      <c r="U108" s="2">
        <f>M108+P108+Q108+R108+S108+T108</f>
        <v>11832012.591184752</v>
      </c>
      <c r="V108" s="2">
        <f>F108-K108-L108-U108</f>
        <v>10716816.652453916</v>
      </c>
      <c r="W108" s="2">
        <v>48010.50974421813</v>
      </c>
      <c r="X108" s="2">
        <v>339643.1618694512</v>
      </c>
      <c r="Y108" s="2">
        <f>W108+X108</f>
        <v>387653.6716136693</v>
      </c>
      <c r="Z108" s="2">
        <v>4720063.596957381</v>
      </c>
      <c r="AA108" s="2">
        <v>0</v>
      </c>
      <c r="AB108" s="2">
        <v>0</v>
      </c>
      <c r="AC108" s="2">
        <v>0</v>
      </c>
      <c r="AD108" s="2">
        <v>-1789326.791527297</v>
      </c>
      <c r="AE108" s="2">
        <v>178932.6791527297</v>
      </c>
      <c r="AF108" s="2">
        <f>F108-H108-L108-U108-AA108-AC108-AD108</f>
        <v>20510770.735957634</v>
      </c>
      <c r="AG108" s="2">
        <f>F108-H108-L108-U108-AA108-AB108-AD108-Y108</f>
        <v>20123117.064343963</v>
      </c>
      <c r="AH108" s="2">
        <f>AH107+AG108</f>
        <v>7284536.012161735</v>
      </c>
      <c r="AI108" s="2">
        <v>37783837.58839526</v>
      </c>
      <c r="AJ108" s="2">
        <f>AH108-AI108</f>
        <v>-30499301.576233525</v>
      </c>
      <c r="AK108" s="3">
        <v>0.25</v>
      </c>
    </row>
    <row r="109" spans="1:37">
      <c r="A109" s="2">
        <v>108</v>
      </c>
      <c r="B109" s="2">
        <v>2035</v>
      </c>
      <c r="C109" s="2">
        <v>114</v>
      </c>
      <c r="D109" s="2">
        <v>443356.8607848518</v>
      </c>
      <c r="E109" s="2">
        <v>50542682.12947311</v>
      </c>
      <c r="F109" s="2">
        <f>E109/1.19</f>
        <v>42472842.12560766</v>
      </c>
      <c r="G109" s="2">
        <v>30</v>
      </c>
      <c r="H109" s="2">
        <v>2859455.620924777</v>
      </c>
      <c r="I109" s="2">
        <v>44</v>
      </c>
      <c r="J109" s="2">
        <v>4193167.297933311</v>
      </c>
      <c r="K109" s="2">
        <v>10864115.27191813</v>
      </c>
      <c r="L109" s="2">
        <v>4262734.063896236</v>
      </c>
      <c r="M109" s="2">
        <v>7139832.871220953</v>
      </c>
      <c r="N109" s="3">
        <v>1</v>
      </c>
      <c r="O109" s="3">
        <v>1.5</v>
      </c>
      <c r="P109" s="2">
        <v>215350.9138358948</v>
      </c>
      <c r="Q109" s="2">
        <v>534006.9278089497</v>
      </c>
      <c r="R109" s="2">
        <v>316692.5203469041</v>
      </c>
      <c r="S109" s="2">
        <v>354695.6227885326</v>
      </c>
      <c r="T109" s="2">
        <v>3271433.735183519</v>
      </c>
      <c r="U109" s="2">
        <f>M109+P109+Q109+R109+S109+T109</f>
        <v>11832012.591184752</v>
      </c>
      <c r="V109" s="2">
        <f>F109-K109-L109-U109</f>
        <v>15513980.19860855</v>
      </c>
      <c r="W109" s="2">
        <v>44787.70610959183</v>
      </c>
      <c r="X109" s="2">
        <v>342865.9655040775</v>
      </c>
      <c r="Y109" s="2">
        <f>W109+X109</f>
        <v>387653.6716136693</v>
      </c>
      <c r="Z109" s="2">
        <v>4377197.631453304</v>
      </c>
      <c r="AA109" s="2">
        <v>0</v>
      </c>
      <c r="AB109" s="2">
        <v>4342038.591400021</v>
      </c>
      <c r="AC109" s="2">
        <v>4527946.563505918</v>
      </c>
      <c r="AD109" s="2">
        <v>357865.3583054594</v>
      </c>
      <c r="AE109" s="2">
        <v>536798.0374581892</v>
      </c>
      <c r="AF109" s="2">
        <f>F109-H109-L109-U109-AA109-AC109-AD109</f>
        <v>18632827.92779052</v>
      </c>
      <c r="AG109" s="2">
        <f>F109-H109-L109-U109-AA109-AB109-AD109-Y109</f>
        <v>18431082.228282746</v>
      </c>
      <c r="AH109" s="2">
        <f>AH108+AG109</f>
        <v>25715618.24044448</v>
      </c>
      <c r="AI109" s="2">
        <v>37783837.58839526</v>
      </c>
      <c r="AJ109" s="2">
        <f>AH109-AI109</f>
        <v>-12068219.347950779</v>
      </c>
      <c r="AK109" s="3">
        <v>0.25</v>
      </c>
    </row>
    <row r="110" spans="1:37">
      <c r="A110" s="2">
        <v>109</v>
      </c>
      <c r="B110" s="2">
        <v>2036</v>
      </c>
      <c r="C110" s="2">
        <v>14</v>
      </c>
      <c r="D110" s="2">
        <v>456657.5666083974</v>
      </c>
      <c r="E110" s="2">
        <v>6393205.932517564</v>
      </c>
      <c r="F110" s="2">
        <f>E110/1.19</f>
        <v>5372441.960098794</v>
      </c>
      <c r="G110" s="2">
        <v>20</v>
      </c>
      <c r="H110" s="2">
        <v>1963492.85970168</v>
      </c>
      <c r="I110" s="2">
        <v>50</v>
      </c>
      <c r="J110" s="2">
        <v>4809890.748152337</v>
      </c>
      <c r="K110" s="2">
        <v>1346769.409482655</v>
      </c>
      <c r="L110" s="2">
        <v>537002.7968261471</v>
      </c>
      <c r="M110" s="2">
        <v>7354027.857357581</v>
      </c>
      <c r="N110" s="3">
        <v>1</v>
      </c>
      <c r="O110" s="3">
        <v>1.5</v>
      </c>
      <c r="P110" s="2">
        <v>221811.4412509716</v>
      </c>
      <c r="Q110" s="2">
        <v>567772.0509432959</v>
      </c>
      <c r="R110" s="2">
        <v>326193.2959573112</v>
      </c>
      <c r="S110" s="2">
        <v>365336.4914721886</v>
      </c>
      <c r="T110" s="2">
        <v>3539197.261136827</v>
      </c>
      <c r="U110" s="2">
        <f>M110+P110+Q110+R110+S110+T110</f>
        <v>12374338.398118176</v>
      </c>
      <c r="V110" s="2">
        <f>F110-K110-L110-U110</f>
        <v>-8885668.644328184</v>
      </c>
      <c r="W110" s="2">
        <v>41534.32195860775</v>
      </c>
      <c r="X110" s="2">
        <v>346119.3496550616</v>
      </c>
      <c r="Y110" s="2">
        <f>W110+X110</f>
        <v>387653.6716136693</v>
      </c>
      <c r="Z110" s="2">
        <v>4031078.281798242</v>
      </c>
      <c r="AA110" s="2">
        <v>1957159.775743867</v>
      </c>
      <c r="AB110" s="2">
        <v>0</v>
      </c>
      <c r="AC110" s="2">
        <v>0</v>
      </c>
      <c r="AD110" s="2">
        <v>-168196.7184035659</v>
      </c>
      <c r="AE110" s="2">
        <v>368601.3190546233</v>
      </c>
      <c r="AF110" s="2">
        <f>F110-H110-L110-U110-AA110-AC110-AD110</f>
        <v>-11291355.15188751</v>
      </c>
      <c r="AG110" s="2">
        <f>F110-H110-L110-U110-AA110-AB110-AD110-Y110</f>
        <v>-11679008.823501179</v>
      </c>
      <c r="AH110" s="2">
        <f>AH109+AG110</f>
        <v>14036609.416943302</v>
      </c>
      <c r="AI110" s="2">
        <v>39410815.00919553</v>
      </c>
      <c r="AJ110" s="2">
        <f>AH110-AI110</f>
        <v>-25374205.592252225</v>
      </c>
      <c r="AK110" s="3">
        <v>0.25</v>
      </c>
    </row>
    <row r="111" spans="1:37">
      <c r="A111" s="2">
        <v>110</v>
      </c>
      <c r="B111" s="2">
        <v>2036</v>
      </c>
      <c r="C111" s="2">
        <v>21</v>
      </c>
      <c r="D111" s="2">
        <v>456657.5666083974</v>
      </c>
      <c r="E111" s="2">
        <v>9589808.898776345</v>
      </c>
      <c r="F111" s="2">
        <f>E111/1.19</f>
        <v>8058662.94014819</v>
      </c>
      <c r="G111" s="2">
        <v>40</v>
      </c>
      <c r="H111" s="2">
        <v>3926985.719403361</v>
      </c>
      <c r="I111" s="2">
        <v>69</v>
      </c>
      <c r="J111" s="2">
        <v>6698271.958459368</v>
      </c>
      <c r="K111" s="2">
        <v>2038604.50909633</v>
      </c>
      <c r="L111" s="2">
        <v>806980.2268290085</v>
      </c>
      <c r="M111" s="2">
        <v>7354027.857357581</v>
      </c>
      <c r="N111" s="3">
        <v>1</v>
      </c>
      <c r="O111" s="3">
        <v>1.5</v>
      </c>
      <c r="P111" s="2">
        <v>221811.4412509716</v>
      </c>
      <c r="Q111" s="2">
        <v>567772.0509432959</v>
      </c>
      <c r="R111" s="2">
        <v>326193.2959573112</v>
      </c>
      <c r="S111" s="2">
        <v>365336.4914721886</v>
      </c>
      <c r="T111" s="2">
        <v>3539197.261136827</v>
      </c>
      <c r="U111" s="2">
        <f>M111+P111+Q111+R111+S111+T111</f>
        <v>12374338.398118176</v>
      </c>
      <c r="V111" s="2">
        <f>F111-K111-L111-U111</f>
        <v>-7161260.193895324</v>
      </c>
      <c r="W111" s="2">
        <v>38250.06711907833</v>
      </c>
      <c r="X111" s="2">
        <v>349403.604494591</v>
      </c>
      <c r="Y111" s="2">
        <f>W111+X111</f>
        <v>387653.6716136693</v>
      </c>
      <c r="Z111" s="2">
        <v>3681674.677303651</v>
      </c>
      <c r="AA111" s="2">
        <v>0</v>
      </c>
      <c r="AB111" s="2">
        <v>0</v>
      </c>
      <c r="AC111" s="2">
        <v>0</v>
      </c>
      <c r="AD111" s="2">
        <v>368601.3190546233</v>
      </c>
      <c r="AE111" s="2">
        <v>737202.6381092466</v>
      </c>
      <c r="AF111" s="2">
        <f>F111-H111-L111-U111-AA111-AC111-AD111</f>
        <v>-9418242.72325698</v>
      </c>
      <c r="AG111" s="2">
        <f>F111-H111-L111-U111-AA111-AB111-AD111-Y111</f>
        <v>-9805896.394870648</v>
      </c>
      <c r="AH111" s="2">
        <f>AH110+AG111</f>
        <v>4230713.022072654</v>
      </c>
      <c r="AI111" s="2">
        <v>39410815.00919553</v>
      </c>
      <c r="AJ111" s="2">
        <f>AH111-AI111</f>
        <v>-35180101.98712288</v>
      </c>
      <c r="AK111" s="3">
        <v>0.25</v>
      </c>
    </row>
    <row r="112" spans="1:37">
      <c r="A112" s="2">
        <v>111</v>
      </c>
      <c r="B112" s="2">
        <v>2036</v>
      </c>
      <c r="C112" s="2">
        <v>28</v>
      </c>
      <c r="D112" s="2">
        <v>456657.5666083974</v>
      </c>
      <c r="E112" s="2">
        <v>12786411.86503513</v>
      </c>
      <c r="F112" s="2">
        <f>E112/1.19</f>
        <v>10744883.920197587</v>
      </c>
      <c r="G112" s="2">
        <v>40</v>
      </c>
      <c r="H112" s="2">
        <v>3926985.719403361</v>
      </c>
      <c r="I112" s="2">
        <v>81</v>
      </c>
      <c r="J112" s="2">
        <v>7895833.687219093</v>
      </c>
      <c r="K112" s="2">
        <v>2729423.990643637</v>
      </c>
      <c r="L112" s="2">
        <v>1076876.40738656</v>
      </c>
      <c r="M112" s="2">
        <v>7354027.857357581</v>
      </c>
      <c r="N112" s="3">
        <v>1</v>
      </c>
      <c r="O112" s="3">
        <v>1.5</v>
      </c>
      <c r="P112" s="2">
        <v>221811.4412509716</v>
      </c>
      <c r="Q112" s="2">
        <v>567772.0509432959</v>
      </c>
      <c r="R112" s="2">
        <v>326193.2959573112</v>
      </c>
      <c r="S112" s="2">
        <v>365336.4914721886</v>
      </c>
      <c r="T112" s="2">
        <v>3539197.261136827</v>
      </c>
      <c r="U112" s="2">
        <f>M112+P112+Q112+R112+S112+T112</f>
        <v>12374338.398118176</v>
      </c>
      <c r="V112" s="2">
        <f>F112-K112-L112-U112</f>
        <v>-5435754.875950785</v>
      </c>
      <c r="W112" s="2">
        <v>34934.6486654322</v>
      </c>
      <c r="X112" s="2">
        <v>352719.0229482371</v>
      </c>
      <c r="Y112" s="2">
        <f>W112+X112</f>
        <v>387653.6716136693</v>
      </c>
      <c r="Z112" s="2">
        <v>3328955.654355414</v>
      </c>
      <c r="AA112" s="2">
        <v>0</v>
      </c>
      <c r="AB112" s="2">
        <v>0</v>
      </c>
      <c r="AC112" s="2">
        <v>0</v>
      </c>
      <c r="AD112" s="2">
        <v>0</v>
      </c>
      <c r="AE112" s="2">
        <v>737202.6381092466</v>
      </c>
      <c r="AF112" s="2">
        <f>F112-H112-L112-U112-AA112-AC112-AD112</f>
        <v>-6633316.60471051</v>
      </c>
      <c r="AG112" s="2">
        <f>F112-H112-L112-U112-AA112-AB112-AD112-Y112</f>
        <v>-7020970.276324179</v>
      </c>
      <c r="AH112" s="2">
        <f>AH111+AG112</f>
        <v>-2790257.254251525</v>
      </c>
      <c r="AI112" s="2">
        <v>39410815.00919553</v>
      </c>
      <c r="AJ112" s="2">
        <f>AH112-AI112</f>
        <v>-42201072.263447054</v>
      </c>
      <c r="AK112" s="3">
        <v>0.25</v>
      </c>
    </row>
    <row r="113" spans="1:37">
      <c r="A113" s="2">
        <v>112</v>
      </c>
      <c r="B113" s="2">
        <v>2036</v>
      </c>
      <c r="C113" s="2">
        <v>35</v>
      </c>
      <c r="D113" s="2">
        <v>456657.5666083974</v>
      </c>
      <c r="E113" s="2">
        <v>15983014.83129391</v>
      </c>
      <c r="F113" s="2">
        <f>E113/1.19</f>
        <v>13431104.900246983</v>
      </c>
      <c r="G113" s="2">
        <v>50</v>
      </c>
      <c r="H113" s="2">
        <v>4908732.149254201</v>
      </c>
      <c r="I113" s="2">
        <v>96</v>
      </c>
      <c r="J113" s="2">
        <v>9383498.628255239</v>
      </c>
      <c r="K113" s="2">
        <v>3421067.208218055</v>
      </c>
      <c r="L113" s="2">
        <v>1346838.486826281</v>
      </c>
      <c r="M113" s="2">
        <v>7354027.857357581</v>
      </c>
      <c r="N113" s="3">
        <v>1</v>
      </c>
      <c r="O113" s="3">
        <v>1.5</v>
      </c>
      <c r="P113" s="2">
        <v>221811.4412509716</v>
      </c>
      <c r="Q113" s="2">
        <v>567772.0509432959</v>
      </c>
      <c r="R113" s="2">
        <v>326193.2959573112</v>
      </c>
      <c r="S113" s="2">
        <v>365336.4914721886</v>
      </c>
      <c r="T113" s="2">
        <v>3539197.261136827</v>
      </c>
      <c r="U113" s="2">
        <f>M113+P113+Q113+R113+S113+T113</f>
        <v>12374338.398118176</v>
      </c>
      <c r="V113" s="2">
        <f>F113-K113-L113-U113</f>
        <v>-3711139.192915529</v>
      </c>
      <c r="W113" s="2">
        <v>31587.77089258793</v>
      </c>
      <c r="X113" s="2">
        <v>356065.9007210814</v>
      </c>
      <c r="Y113" s="2">
        <f>W113+X113</f>
        <v>387653.6716136693</v>
      </c>
      <c r="Z113" s="2">
        <v>2972889.753634333</v>
      </c>
      <c r="AA113" s="2">
        <v>0</v>
      </c>
      <c r="AB113" s="2">
        <v>0</v>
      </c>
      <c r="AC113" s="2">
        <v>0</v>
      </c>
      <c r="AD113" s="2">
        <v>184300.6595273116</v>
      </c>
      <c r="AE113" s="2">
        <v>921503.2976365582</v>
      </c>
      <c r="AF113" s="2">
        <f>F113-H113-L113-U113-AA113-AC113-AD113</f>
        <v>-5383104.793478986</v>
      </c>
      <c r="AG113" s="2">
        <f>F113-H113-L113-U113-AA113-AB113-AD113-Y113</f>
        <v>-5770758.465092655</v>
      </c>
      <c r="AH113" s="2">
        <f>AH112+AG113</f>
        <v>-8561015.71934418</v>
      </c>
      <c r="AI113" s="2">
        <v>39410815.00919553</v>
      </c>
      <c r="AJ113" s="2">
        <f>AH113-AI113</f>
        <v>-47971830.728539705</v>
      </c>
      <c r="AK113" s="3">
        <v>0.25</v>
      </c>
    </row>
    <row r="114" spans="1:37">
      <c r="A114" s="2">
        <v>113</v>
      </c>
      <c r="B114" s="2">
        <v>2036</v>
      </c>
      <c r="C114" s="2">
        <v>42</v>
      </c>
      <c r="D114" s="2">
        <v>456657.5666083974</v>
      </c>
      <c r="E114" s="2">
        <v>19179617.79755269</v>
      </c>
      <c r="F114" s="2">
        <f>E114/1.19</f>
        <v>16117325.88029638</v>
      </c>
      <c r="G114" s="2">
        <v>60</v>
      </c>
      <c r="H114" s="2">
        <v>5890478.579105042</v>
      </c>
      <c r="I114" s="2">
        <v>114</v>
      </c>
      <c r="J114" s="2">
        <v>11161752.57460944</v>
      </c>
      <c r="K114" s="2">
        <v>4112224.632750845</v>
      </c>
      <c r="L114" s="2">
        <v>1616761.702822672</v>
      </c>
      <c r="M114" s="2">
        <v>7354027.857357581</v>
      </c>
      <c r="N114" s="3">
        <v>1</v>
      </c>
      <c r="O114" s="3">
        <v>1.5</v>
      </c>
      <c r="P114" s="2">
        <v>221811.4412509716</v>
      </c>
      <c r="Q114" s="2">
        <v>567772.0509432959</v>
      </c>
      <c r="R114" s="2">
        <v>326193.2959573112</v>
      </c>
      <c r="S114" s="2">
        <v>365336.4914721886</v>
      </c>
      <c r="T114" s="2">
        <v>3539197.261136827</v>
      </c>
      <c r="U114" s="2">
        <f>M114+P114+Q114+R114+S114+T114</f>
        <v>12374338.398118176</v>
      </c>
      <c r="V114" s="2">
        <f>F114-K114-L114-U114</f>
        <v>-1985998.853395313</v>
      </c>
      <c r="W114" s="2">
        <v>28209.13528957979</v>
      </c>
      <c r="X114" s="2">
        <v>359444.5363240895</v>
      </c>
      <c r="Y114" s="2">
        <f>W114+X114</f>
        <v>387653.6716136693</v>
      </c>
      <c r="Z114" s="2">
        <v>2613445.217310243</v>
      </c>
      <c r="AA114" s="2">
        <v>0</v>
      </c>
      <c r="AB114" s="2">
        <v>0</v>
      </c>
      <c r="AC114" s="2">
        <v>0</v>
      </c>
      <c r="AD114" s="2">
        <v>184300.6595273117</v>
      </c>
      <c r="AE114" s="2">
        <v>1105803.95716387</v>
      </c>
      <c r="AF114" s="2">
        <f>F114-H114-L114-U114-AA114-AC114-AD114</f>
        <v>-3948553.459276822</v>
      </c>
      <c r="AG114" s="2">
        <f>F114-H114-L114-U114-AA114-AB114-AD114-Y114</f>
        <v>-4336207.130890491</v>
      </c>
      <c r="AH114" s="2">
        <f>AH113+AG114</f>
        <v>-12897222.850234672</v>
      </c>
      <c r="AI114" s="2">
        <v>39410815.00919553</v>
      </c>
      <c r="AJ114" s="2">
        <f>AH114-AI114</f>
        <v>-52308037.8594302</v>
      </c>
      <c r="AK114" s="3">
        <v>0.25</v>
      </c>
    </row>
    <row r="115" spans="1:37">
      <c r="A115" s="2">
        <v>114</v>
      </c>
      <c r="B115" s="2">
        <v>2036</v>
      </c>
      <c r="C115" s="2">
        <v>49</v>
      </c>
      <c r="D115" s="2">
        <v>456657.5666083974</v>
      </c>
      <c r="E115" s="2">
        <v>22376220.76381147</v>
      </c>
      <c r="F115" s="2">
        <f>E115/1.19</f>
        <v>18803546.860345777</v>
      </c>
      <c r="G115" s="2">
        <v>70</v>
      </c>
      <c r="H115" s="2">
        <v>6872225.008955882</v>
      </c>
      <c r="I115" s="2">
        <v>135</v>
      </c>
      <c r="J115" s="2">
        <v>13231450.94446369</v>
      </c>
      <c r="K115" s="2">
        <v>4802526.639101633</v>
      </c>
      <c r="L115" s="2">
        <v>1886616.485364502</v>
      </c>
      <c r="M115" s="2">
        <v>7354027.857357581</v>
      </c>
      <c r="N115" s="3">
        <v>1</v>
      </c>
      <c r="O115" s="3">
        <v>1.5</v>
      </c>
      <c r="P115" s="2">
        <v>221811.4412509716</v>
      </c>
      <c r="Q115" s="2">
        <v>567772.0509432959</v>
      </c>
      <c r="R115" s="2">
        <v>326193.2959573112</v>
      </c>
      <c r="S115" s="2">
        <v>365336.4914721886</v>
      </c>
      <c r="T115" s="2">
        <v>3539197.261136827</v>
      </c>
      <c r="U115" s="2">
        <f>M115+P115+Q115+R115+S115+T115</f>
        <v>12374338.398118176</v>
      </c>
      <c r="V115" s="2">
        <f>F115-K115-L115-U115</f>
        <v>-259934.66223853268</v>
      </c>
      <c r="W115" s="2">
        <v>24798.44051293329</v>
      </c>
      <c r="X115" s="2">
        <v>362855.231100736</v>
      </c>
      <c r="Y115" s="2">
        <f>W115+X115</f>
        <v>387653.6716136693</v>
      </c>
      <c r="Z115" s="2">
        <v>2250589.986209507</v>
      </c>
      <c r="AA115" s="2">
        <v>0</v>
      </c>
      <c r="AB115" s="2">
        <v>0</v>
      </c>
      <c r="AC115" s="2">
        <v>0</v>
      </c>
      <c r="AD115" s="2">
        <v>184300.6595273116</v>
      </c>
      <c r="AE115" s="2">
        <v>1290104.616691181</v>
      </c>
      <c r="AF115" s="2">
        <f>F115-H115-L115-U115-AA115-AC115-AD115</f>
        <v>-2513933.6916200933</v>
      </c>
      <c r="AG115" s="2">
        <f>F115-H115-L115-U115-AA115-AB115-AD115-Y115</f>
        <v>-2901587.363233763</v>
      </c>
      <c r="AH115" s="2">
        <f>AH114+AG115</f>
        <v>-15798810.213468436</v>
      </c>
      <c r="AI115" s="2">
        <v>39410815.00919553</v>
      </c>
      <c r="AJ115" s="2">
        <f>AH115-AI115</f>
        <v>-55209625.22266397</v>
      </c>
      <c r="AK115" s="3">
        <v>0.25</v>
      </c>
    </row>
    <row r="116" spans="1:37">
      <c r="A116" s="2">
        <v>115</v>
      </c>
      <c r="B116" s="2">
        <v>2036</v>
      </c>
      <c r="C116" s="2">
        <v>56</v>
      </c>
      <c r="D116" s="2">
        <v>456657.5666083974</v>
      </c>
      <c r="E116" s="2">
        <v>25572823.73007026</v>
      </c>
      <c r="F116" s="2">
        <f>E116/1.19</f>
        <v>21489767.840395175</v>
      </c>
      <c r="G116" s="2">
        <v>70</v>
      </c>
      <c r="H116" s="2">
        <v>6872225.008955882</v>
      </c>
      <c r="I116" s="2">
        <v>149</v>
      </c>
      <c r="J116" s="2">
        <v>14611940.08321715</v>
      </c>
      <c r="K116" s="2">
        <v>5491735.870202418</v>
      </c>
      <c r="L116" s="2">
        <v>2156383.845886332</v>
      </c>
      <c r="M116" s="2">
        <v>7354027.857357581</v>
      </c>
      <c r="N116" s="3">
        <v>1</v>
      </c>
      <c r="O116" s="3">
        <v>1.5</v>
      </c>
      <c r="P116" s="2">
        <v>221811.4412509716</v>
      </c>
      <c r="Q116" s="2">
        <v>567772.0509432959</v>
      </c>
      <c r="R116" s="2">
        <v>326193.2959573112</v>
      </c>
      <c r="S116" s="2">
        <v>365336.4914721886</v>
      </c>
      <c r="T116" s="2">
        <v>3539197.261136827</v>
      </c>
      <c r="U116" s="2">
        <f>M116+P116+Q116+R116+S116+T116</f>
        <v>12374338.398118176</v>
      </c>
      <c r="V116" s="2">
        <f>F116-K116-L116-U116</f>
        <v>1467309.726188248</v>
      </c>
      <c r="W116" s="2">
        <v>21355.38235978812</v>
      </c>
      <c r="X116" s="2">
        <v>366298.2892538812</v>
      </c>
      <c r="Y116" s="2">
        <f>W116+X116</f>
        <v>387653.6716136693</v>
      </c>
      <c r="Z116" s="2">
        <v>1884291.696955626</v>
      </c>
      <c r="AA116" s="2">
        <v>0</v>
      </c>
      <c r="AB116" s="2">
        <v>0</v>
      </c>
      <c r="AC116" s="2">
        <v>0</v>
      </c>
      <c r="AD116" s="2">
        <v>0</v>
      </c>
      <c r="AE116" s="2">
        <v>1290104.616691181</v>
      </c>
      <c r="AF116" s="2">
        <f>F116-H116-L116-U116-AA116-AC116-AD116</f>
        <v>86820.58743478544</v>
      </c>
      <c r="AG116" s="2">
        <f>F116-H116-L116-U116-AA116-AB116-AD116-Y116</f>
        <v>-300833.0841788839</v>
      </c>
      <c r="AH116" s="2">
        <f>AH115+AG116</f>
        <v>-16099643.29764732</v>
      </c>
      <c r="AI116" s="2">
        <v>39410815.00919553</v>
      </c>
      <c r="AJ116" s="2">
        <f>AH116-AI116</f>
        <v>-55510458.30684285</v>
      </c>
      <c r="AK116" s="3">
        <v>0.25</v>
      </c>
    </row>
    <row r="117" spans="1:37">
      <c r="A117" s="2">
        <v>116</v>
      </c>
      <c r="B117" s="2">
        <v>2036</v>
      </c>
      <c r="C117" s="2">
        <v>71</v>
      </c>
      <c r="D117" s="2">
        <v>456657.5666083974</v>
      </c>
      <c r="E117" s="2">
        <v>32422687.22919622</v>
      </c>
      <c r="F117" s="2">
        <f>E117/1.19</f>
        <v>27245955.65478674</v>
      </c>
      <c r="G117" s="2">
        <v>100</v>
      </c>
      <c r="H117" s="2">
        <v>9817464.298508402</v>
      </c>
      <c r="I117" s="2">
        <v>178</v>
      </c>
      <c r="J117" s="2">
        <v>17463590.28091224</v>
      </c>
      <c r="K117" s="2">
        <v>6965814.100813309</v>
      </c>
      <c r="L117" s="2">
        <v>2734232.865836134</v>
      </c>
      <c r="M117" s="2">
        <v>7354027.857357581</v>
      </c>
      <c r="N117" s="3">
        <v>1</v>
      </c>
      <c r="O117" s="3">
        <v>1.5</v>
      </c>
      <c r="P117" s="2">
        <v>221811.4412509716</v>
      </c>
      <c r="Q117" s="2">
        <v>567772.0509432959</v>
      </c>
      <c r="R117" s="2">
        <v>326193.2959573112</v>
      </c>
      <c r="S117" s="2">
        <v>365336.4914721886</v>
      </c>
      <c r="T117" s="2">
        <v>3539197.261136827</v>
      </c>
      <c r="U117" s="2">
        <f>M117+P117+Q117+R117+S117+T117</f>
        <v>12374338.398118176</v>
      </c>
      <c r="V117" s="2">
        <f>F117-K117-L117-U117</f>
        <v>5171570.290019117</v>
      </c>
      <c r="W117" s="2">
        <v>17879.65374076604</v>
      </c>
      <c r="X117" s="2">
        <v>369774.0178729033</v>
      </c>
      <c r="Y117" s="2">
        <f>W117+X117</f>
        <v>387653.6716136693</v>
      </c>
      <c r="Z117" s="2">
        <v>1514517.679082723</v>
      </c>
      <c r="AA117" s="2">
        <v>0</v>
      </c>
      <c r="AB117" s="2">
        <v>0</v>
      </c>
      <c r="AC117" s="2">
        <v>0</v>
      </c>
      <c r="AD117" s="2">
        <v>552901.9785819349</v>
      </c>
      <c r="AE117" s="2">
        <v>1843006.595273116</v>
      </c>
      <c r="AF117" s="2">
        <f>F117-H117-L117-U117-AA117-AC117-AD117</f>
        <v>1767018.1137420929</v>
      </c>
      <c r="AG117" s="2">
        <f>F117-H117-L117-U117-AA117-AB117-AD117-Y117</f>
        <v>1379364.4421284236</v>
      </c>
      <c r="AH117" s="2">
        <f>AH116+AG117</f>
        <v>-14720278.855518896</v>
      </c>
      <c r="AI117" s="2">
        <v>39410815.00919553</v>
      </c>
      <c r="AJ117" s="2">
        <f>AH117-AI117</f>
        <v>-54131093.86471443</v>
      </c>
      <c r="AK117" s="3">
        <v>0.25</v>
      </c>
    </row>
    <row r="118" spans="1:37">
      <c r="A118" s="2">
        <v>117</v>
      </c>
      <c r="B118" s="2">
        <v>2036</v>
      </c>
      <c r="C118" s="2">
        <v>78</v>
      </c>
      <c r="D118" s="2">
        <v>456657.5666083974</v>
      </c>
      <c r="E118" s="2">
        <v>35619290.195455</v>
      </c>
      <c r="F118" s="2">
        <f>E118/1.19</f>
        <v>29932176.634836137</v>
      </c>
      <c r="G118" s="2">
        <v>100</v>
      </c>
      <c r="H118" s="2">
        <v>9817464.298508402</v>
      </c>
      <c r="I118" s="2">
        <v>200</v>
      </c>
      <c r="J118" s="2">
        <v>19626657.97080622</v>
      </c>
      <c r="K118" s="2">
        <v>7654396.608614426</v>
      </c>
      <c r="L118" s="2">
        <v>3003950.088493991</v>
      </c>
      <c r="M118" s="2">
        <v>7354027.857357581</v>
      </c>
      <c r="N118" s="3">
        <v>1</v>
      </c>
      <c r="O118" s="3">
        <v>1.5</v>
      </c>
      <c r="P118" s="2">
        <v>221811.4412509716</v>
      </c>
      <c r="Q118" s="2">
        <v>567772.0509432959</v>
      </c>
      <c r="R118" s="2">
        <v>326193.2959573112</v>
      </c>
      <c r="S118" s="2">
        <v>365336.4914721886</v>
      </c>
      <c r="T118" s="2">
        <v>3539197.261136827</v>
      </c>
      <c r="U118" s="2">
        <f>M118+P118+Q118+R118+S118+T118</f>
        <v>12374338.398118176</v>
      </c>
      <c r="V118" s="2">
        <f>F118-K118-L118-U118</f>
        <v>6899491.539609544</v>
      </c>
      <c r="W118" s="2">
        <v>14370.94465258125</v>
      </c>
      <c r="X118" s="2">
        <v>373282.7269610881</v>
      </c>
      <c r="Y118" s="2">
        <f>W118+X118</f>
        <v>387653.6716136693</v>
      </c>
      <c r="Z118" s="2">
        <v>1141234.952121635</v>
      </c>
      <c r="AA118" s="2">
        <v>0</v>
      </c>
      <c r="AB118" s="2">
        <v>0</v>
      </c>
      <c r="AC118" s="2">
        <v>0</v>
      </c>
      <c r="AD118" s="2">
        <v>0</v>
      </c>
      <c r="AE118" s="2">
        <v>1843006.595273116</v>
      </c>
      <c r="AF118" s="2">
        <f>F118-H118-L118-U118-AA118-AC118-AD118</f>
        <v>4736423.849715568</v>
      </c>
      <c r="AG118" s="2">
        <f>F118-H118-L118-U118-AA118-AB118-AD118-Y118</f>
        <v>4348770.178101899</v>
      </c>
      <c r="AH118" s="2">
        <f>AH117+AG118</f>
        <v>-10371508.677416997</v>
      </c>
      <c r="AI118" s="2">
        <v>39410815.00919553</v>
      </c>
      <c r="AJ118" s="2">
        <f>AH118-AI118</f>
        <v>-49782323.686612524</v>
      </c>
      <c r="AK118" s="3">
        <v>0.25</v>
      </c>
    </row>
    <row r="119" spans="1:37">
      <c r="A119" s="2">
        <v>118</v>
      </c>
      <c r="B119" s="2">
        <v>2036</v>
      </c>
      <c r="C119" s="2">
        <v>92</v>
      </c>
      <c r="D119" s="2">
        <v>456657.5666083974</v>
      </c>
      <c r="E119" s="2">
        <v>42012496.12797257</v>
      </c>
      <c r="F119" s="2">
        <f>E119/1.19</f>
        <v>35304618.59493493</v>
      </c>
      <c r="G119" s="2">
        <v>120</v>
      </c>
      <c r="H119" s="2">
        <v>11780957.15821008</v>
      </c>
      <c r="I119" s="2">
        <v>228</v>
      </c>
      <c r="J119" s="2">
        <v>22377925.77942412</v>
      </c>
      <c r="K119" s="2">
        <v>9029689.349592187</v>
      </c>
      <c r="L119" s="2">
        <v>3543234.751839746</v>
      </c>
      <c r="M119" s="2">
        <v>7354027.857357581</v>
      </c>
      <c r="N119" s="3">
        <v>1</v>
      </c>
      <c r="O119" s="3">
        <v>1.5</v>
      </c>
      <c r="P119" s="2">
        <v>221811.4412509716</v>
      </c>
      <c r="Q119" s="2">
        <v>567772.0509432959</v>
      </c>
      <c r="R119" s="2">
        <v>326193.2959573112</v>
      </c>
      <c r="S119" s="2">
        <v>365336.4914721886</v>
      </c>
      <c r="T119" s="2">
        <v>3539197.261136827</v>
      </c>
      <c r="U119" s="2">
        <f>M119+P119+Q119+R119+S119+T119</f>
        <v>12374338.398118176</v>
      </c>
      <c r="V119" s="2">
        <f>F119-K119-L119-U119</f>
        <v>10357356.095384825</v>
      </c>
      <c r="W119" s="2">
        <v>10828.94215039099</v>
      </c>
      <c r="X119" s="2">
        <v>376824.7294632783</v>
      </c>
      <c r="Y119" s="2">
        <f>W119+X119</f>
        <v>387653.6716136693</v>
      </c>
      <c r="Z119" s="2">
        <v>764410.2226583562</v>
      </c>
      <c r="AA119" s="2">
        <v>0</v>
      </c>
      <c r="AB119" s="2">
        <v>0</v>
      </c>
      <c r="AC119" s="2">
        <v>0</v>
      </c>
      <c r="AD119" s="2">
        <v>368601.3190546234</v>
      </c>
      <c r="AE119" s="2">
        <v>2211607.91432774</v>
      </c>
      <c r="AF119" s="2">
        <f>F119-H119-L119-U119-AA119-AC119-AD119</f>
        <v>7237486.967712305</v>
      </c>
      <c r="AG119" s="2">
        <f>F119-H119-L119-U119-AA119-AB119-AD119-Y119</f>
        <v>6849833.2960986355</v>
      </c>
      <c r="AH119" s="2">
        <f>AH118+AG119</f>
        <v>-3521675.3813183615</v>
      </c>
      <c r="AI119" s="2">
        <v>39410815.00919553</v>
      </c>
      <c r="AJ119" s="2">
        <f>AH119-AI119</f>
        <v>-42932490.39051389</v>
      </c>
      <c r="AK119" s="3">
        <v>0.25</v>
      </c>
    </row>
    <row r="120" spans="1:37">
      <c r="A120" s="2">
        <v>119</v>
      </c>
      <c r="B120" s="2">
        <v>2036</v>
      </c>
      <c r="C120" s="2">
        <v>99</v>
      </c>
      <c r="D120" s="2">
        <v>456657.5666083974</v>
      </c>
      <c r="E120" s="2">
        <v>45209099.09423134</v>
      </c>
      <c r="F120" s="2">
        <f>E120/1.19</f>
        <v>37990839.57498433</v>
      </c>
      <c r="G120" s="2">
        <v>10</v>
      </c>
      <c r="H120" s="2">
        <v>981746.4298508402</v>
      </c>
      <c r="I120" s="2">
        <v>139</v>
      </c>
      <c r="J120" s="2">
        <v>13642833.76928243</v>
      </c>
      <c r="K120" s="2">
        <v>9716838.439992523</v>
      </c>
      <c r="L120" s="2">
        <v>3812837.30110554</v>
      </c>
      <c r="M120" s="2">
        <v>7354027.857357581</v>
      </c>
      <c r="N120" s="3">
        <v>1</v>
      </c>
      <c r="O120" s="3">
        <v>1.5</v>
      </c>
      <c r="P120" s="2">
        <v>221811.4412509716</v>
      </c>
      <c r="Q120" s="2">
        <v>567772.0509432959</v>
      </c>
      <c r="R120" s="2">
        <v>326193.2959573112</v>
      </c>
      <c r="S120" s="2">
        <v>365336.4914721886</v>
      </c>
      <c r="T120" s="2">
        <v>3539197.261136827</v>
      </c>
      <c r="U120" s="2">
        <f>M120+P120+Q120+R120+S120+T120</f>
        <v>12374338.398118176</v>
      </c>
      <c r="V120" s="2">
        <f>F120-K120-L120-U120</f>
        <v>12086825.435768086</v>
      </c>
      <c r="W120" s="2">
        <v>7253.330319883663</v>
      </c>
      <c r="X120" s="2">
        <v>380400.3412937857</v>
      </c>
      <c r="Y120" s="2">
        <f>W120+X120</f>
        <v>387653.6716136693</v>
      </c>
      <c r="Z120" s="2">
        <v>384009.8813645705</v>
      </c>
      <c r="AA120" s="2">
        <v>0</v>
      </c>
      <c r="AB120" s="2">
        <v>0</v>
      </c>
      <c r="AC120" s="2">
        <v>0</v>
      </c>
      <c r="AD120" s="2">
        <v>-2027307.254800428</v>
      </c>
      <c r="AE120" s="2">
        <v>184300.6595273117</v>
      </c>
      <c r="AF120" s="2">
        <f>F120-H120-L120-U120-AA120-AC120-AD120</f>
        <v>22849224.7007102</v>
      </c>
      <c r="AG120" s="2">
        <f>F120-H120-L120-U120-AA120-AB120-AD120-Y120</f>
        <v>22461571.02909653</v>
      </c>
      <c r="AH120" s="2">
        <f>AH119+AG120</f>
        <v>18939895.64777817</v>
      </c>
      <c r="AI120" s="2">
        <v>39410815.00919553</v>
      </c>
      <c r="AJ120" s="2">
        <f>AH120-AI120</f>
        <v>-20470919.36141736</v>
      </c>
      <c r="AK120" s="3">
        <v>0.25</v>
      </c>
    </row>
    <row r="121" spans="1:37">
      <c r="A121" s="2">
        <v>120</v>
      </c>
      <c r="B121" s="2">
        <v>2036</v>
      </c>
      <c r="C121" s="2">
        <v>120</v>
      </c>
      <c r="D121" s="2">
        <v>456657.5666083974</v>
      </c>
      <c r="E121" s="2">
        <v>54798907.99300769</v>
      </c>
      <c r="F121" s="2">
        <f>E121/1.19</f>
        <v>46049502.51513252</v>
      </c>
      <c r="G121" s="2">
        <v>20</v>
      </c>
      <c r="H121" s="2">
        <v>1963492.85970168</v>
      </c>
      <c r="I121" s="2">
        <v>39</v>
      </c>
      <c r="J121" s="2">
        <v>3827966.908996103</v>
      </c>
      <c r="K121" s="2">
        <v>11778359.71998801</v>
      </c>
      <c r="L121" s="2">
        <v>4621650.869606482</v>
      </c>
      <c r="M121" s="2">
        <v>7354027.857357581</v>
      </c>
      <c r="N121" s="3">
        <v>1</v>
      </c>
      <c r="O121" s="3">
        <v>1.5</v>
      </c>
      <c r="P121" s="2">
        <v>221811.4412509716</v>
      </c>
      <c r="Q121" s="2">
        <v>567772.0509432959</v>
      </c>
      <c r="R121" s="2">
        <v>326193.2959573112</v>
      </c>
      <c r="S121" s="2">
        <v>365336.4914721886</v>
      </c>
      <c r="T121" s="2">
        <v>3539197.261136827</v>
      </c>
      <c r="U121" s="2">
        <f>M121+P121+Q121+R121+S121+T121</f>
        <v>12374338.398118176</v>
      </c>
      <c r="V121" s="2">
        <f>F121-K121-L121-U121</f>
        <v>17275153.52741985</v>
      </c>
      <c r="W121" s="2">
        <v>3643.790249102211</v>
      </c>
      <c r="X121" s="2">
        <v>384009.8813645671</v>
      </c>
      <c r="Y121" s="2">
        <f>W121+X121</f>
        <v>387653.6716136693</v>
      </c>
      <c r="Z121" s="2">
        <v>3.434251993894577E-09</v>
      </c>
      <c r="AA121" s="2">
        <v>0</v>
      </c>
      <c r="AB121" s="2">
        <v>5987836.094237157</v>
      </c>
      <c r="AC121" s="2">
        <v>6056497.701214837</v>
      </c>
      <c r="AD121" s="2">
        <v>184300.6595273117</v>
      </c>
      <c r="AE121" s="2">
        <v>368601.3190546233</v>
      </c>
      <c r="AF121" s="2">
        <f>F121-H121-L121-U121-AA121-AC121-AD121</f>
        <v>20849222.026964035</v>
      </c>
      <c r="AG121" s="2">
        <f>F121-H121-L121-U121-AA121-AB121-AD121-Y121</f>
        <v>20530229.962328043</v>
      </c>
      <c r="AH121" s="2">
        <f>AH120+AG121</f>
        <v>39470125.610106215</v>
      </c>
      <c r="AI121" s="2">
        <v>39410815.00919553</v>
      </c>
      <c r="AJ121" s="2">
        <f>AH121-AI121</f>
        <v>59310.60091068596</v>
      </c>
      <c r="AK121" s="3">
        <v>0.25</v>
      </c>
    </row>
    <row r="122" spans="1:37">
      <c r="A122" s="2">
        <v>121</v>
      </c>
      <c r="B122" s="2">
        <v>2037</v>
      </c>
      <c r="C122" s="2">
        <v>15</v>
      </c>
      <c r="D122" s="2">
        <v>470357.2936066493</v>
      </c>
      <c r="E122" s="2">
        <v>7055359.40409974</v>
      </c>
      <c r="F122" s="2">
        <f>E122/1.19</f>
        <v>5928873.448823311</v>
      </c>
      <c r="G122" s="2">
        <v>30</v>
      </c>
      <c r="H122" s="2">
        <v>3033596.468239096</v>
      </c>
      <c r="I122" s="2">
        <v>54</v>
      </c>
      <c r="J122" s="2">
        <v>5369919.164792765</v>
      </c>
      <c r="K122" s="2">
        <v>1491644.212442435</v>
      </c>
      <c r="L122" s="2">
        <v>593051.9813413528</v>
      </c>
      <c r="M122" s="2">
        <v>7574648.693078309</v>
      </c>
      <c r="N122" s="3">
        <v>1</v>
      </c>
      <c r="O122" s="3">
        <v>1.5</v>
      </c>
      <c r="P122" s="2">
        <v>228465.7844885008</v>
      </c>
      <c r="Q122" s="2">
        <v>603956.0208772485</v>
      </c>
      <c r="R122" s="2">
        <v>335979.0948360306</v>
      </c>
      <c r="S122" s="2">
        <v>376296.5862163542</v>
      </c>
      <c r="T122" s="2">
        <v>3826801.890182388</v>
      </c>
      <c r="U122" s="2">
        <f>M122+P122+Q122+R122+S122+T122</f>
        <v>12946148.069678832</v>
      </c>
      <c r="V122" s="2">
        <f>F122-K122-L122-U122</f>
        <v>-9101970.814639308</v>
      </c>
      <c r="W122" s="2">
        <v>0</v>
      </c>
      <c r="X122" s="2">
        <v>0</v>
      </c>
      <c r="Y122" s="2">
        <f>W122+X122</f>
        <v>0</v>
      </c>
      <c r="Z122" s="2">
        <v>3.434251993894577E-09</v>
      </c>
      <c r="AA122" s="2">
        <v>0</v>
      </c>
      <c r="AB122" s="2">
        <v>0</v>
      </c>
      <c r="AC122" s="2">
        <v>0</v>
      </c>
      <c r="AD122" s="2">
        <v>200887.7188847697</v>
      </c>
      <c r="AE122" s="2">
        <v>569489.037939393</v>
      </c>
      <c r="AF122" s="2">
        <f>F122-H122-L122-U122-AA122-AC122-AD122</f>
        <v>-10844810.789320739</v>
      </c>
      <c r="AG122" s="2">
        <f>F122-H122-L122-U122-AA122-AB122-AD122-Y122</f>
        <v>-10844810.789320739</v>
      </c>
      <c r="AH122" s="2">
        <f>AH121+AG122</f>
        <v>28625314.820785478</v>
      </c>
      <c r="AI122" s="2">
        <v>41126244.0238775</v>
      </c>
      <c r="AJ122" s="2">
        <f>AH122-AI122</f>
        <v>-12500929.203092024</v>
      </c>
      <c r="AK122" s="3">
        <v>0.25</v>
      </c>
    </row>
    <row r="123" spans="1:37">
      <c r="A123" s="2">
        <v>122</v>
      </c>
      <c r="B123" s="2">
        <v>2037</v>
      </c>
      <c r="C123" s="2">
        <v>22</v>
      </c>
      <c r="D123" s="2">
        <v>470357.2936066493</v>
      </c>
      <c r="E123" s="2">
        <v>10347860.45934629</v>
      </c>
      <c r="F123" s="2">
        <f>E123/1.19</f>
        <v>8695681.058274189</v>
      </c>
      <c r="G123" s="2">
        <v>40</v>
      </c>
      <c r="H123" s="2">
        <v>4044795.290985462</v>
      </c>
      <c r="I123" s="2">
        <v>72</v>
      </c>
      <c r="J123" s="2">
        <v>7211270.646979067</v>
      </c>
      <c r="K123" s="2">
        <v>2203443.808799159</v>
      </c>
      <c r="L123" s="2">
        <v>871065.4897446712</v>
      </c>
      <c r="M123" s="2">
        <v>7574648.693078309</v>
      </c>
      <c r="N123" s="3">
        <v>1</v>
      </c>
      <c r="O123" s="3">
        <v>1.5</v>
      </c>
      <c r="P123" s="2">
        <v>228465.7844885008</v>
      </c>
      <c r="Q123" s="2">
        <v>603956.0208772485</v>
      </c>
      <c r="R123" s="2">
        <v>335979.0948360306</v>
      </c>
      <c r="S123" s="2">
        <v>376296.5862163542</v>
      </c>
      <c r="T123" s="2">
        <v>3826801.890182388</v>
      </c>
      <c r="U123" s="2">
        <f>M123+P123+Q123+R123+S123+T123</f>
        <v>12946148.069678832</v>
      </c>
      <c r="V123" s="2">
        <f>F123-K123-L123-U123</f>
        <v>-7324976.309948472</v>
      </c>
      <c r="W123" s="2">
        <v>0</v>
      </c>
      <c r="X123" s="2">
        <v>0</v>
      </c>
      <c r="Y123" s="2">
        <f>W123+X123</f>
        <v>0</v>
      </c>
      <c r="Z123" s="2">
        <v>3.434251993894577E-09</v>
      </c>
      <c r="AA123" s="2">
        <v>0</v>
      </c>
      <c r="AB123" s="2">
        <v>0</v>
      </c>
      <c r="AC123" s="2">
        <v>0</v>
      </c>
      <c r="AD123" s="2">
        <v>189829.679313131</v>
      </c>
      <c r="AE123" s="2">
        <v>759318.717252524</v>
      </c>
      <c r="AF123" s="2">
        <f>F123-H123-L123-U123-AA123-AC123-AD123</f>
        <v>-9356157.471447906</v>
      </c>
      <c r="AG123" s="2">
        <f>F123-H123-L123-U123-AA123-AB123-AD123-Y123</f>
        <v>-9356157.471447906</v>
      </c>
      <c r="AH123" s="2">
        <f>AH122+AG123</f>
        <v>19269157.34933757</v>
      </c>
      <c r="AI123" s="2">
        <v>41126244.0238775</v>
      </c>
      <c r="AJ123" s="2">
        <f>AH123-AI123</f>
        <v>-21857086.67453993</v>
      </c>
      <c r="AK123" s="3">
        <v>0.25</v>
      </c>
    </row>
    <row r="124" spans="1:37">
      <c r="A124" s="2">
        <v>123</v>
      </c>
      <c r="B124" s="2">
        <v>2037</v>
      </c>
      <c r="C124" s="2">
        <v>30</v>
      </c>
      <c r="D124" s="2">
        <v>470357.2936066493</v>
      </c>
      <c r="E124" s="2">
        <v>14110718.80819948</v>
      </c>
      <c r="F124" s="2">
        <f>E124/1.19</f>
        <v>11857746.897646623</v>
      </c>
      <c r="G124" s="2">
        <v>40</v>
      </c>
      <c r="H124" s="2">
        <v>4044795.290985462</v>
      </c>
      <c r="I124" s="2">
        <v>82</v>
      </c>
      <c r="J124" s="2">
        <v>8241048.276009744</v>
      </c>
      <c r="K124" s="2">
        <v>3015017.661954785</v>
      </c>
      <c r="L124" s="2">
        <v>1188642.301648299</v>
      </c>
      <c r="M124" s="2">
        <v>7574648.693078309</v>
      </c>
      <c r="N124" s="3">
        <v>1</v>
      </c>
      <c r="O124" s="3">
        <v>1.5</v>
      </c>
      <c r="P124" s="2">
        <v>228465.7844885008</v>
      </c>
      <c r="Q124" s="2">
        <v>603956.0208772485</v>
      </c>
      <c r="R124" s="2">
        <v>335979.0948360306</v>
      </c>
      <c r="S124" s="2">
        <v>376296.5862163542</v>
      </c>
      <c r="T124" s="2">
        <v>3826801.890182388</v>
      </c>
      <c r="U124" s="2">
        <f>M124+P124+Q124+R124+S124+T124</f>
        <v>12946148.069678832</v>
      </c>
      <c r="V124" s="2">
        <f>F124-K124-L124-U124</f>
        <v>-5292061.135635292</v>
      </c>
      <c r="W124" s="2">
        <v>0</v>
      </c>
      <c r="X124" s="2">
        <v>0</v>
      </c>
      <c r="Y124" s="2">
        <f>W124+X124</f>
        <v>0</v>
      </c>
      <c r="Z124" s="2">
        <v>3.434251993894577E-09</v>
      </c>
      <c r="AA124" s="2">
        <v>0</v>
      </c>
      <c r="AB124" s="2">
        <v>0</v>
      </c>
      <c r="AC124" s="2">
        <v>0</v>
      </c>
      <c r="AD124" s="2">
        <v>0</v>
      </c>
      <c r="AE124" s="2">
        <v>759318.717252524</v>
      </c>
      <c r="AF124" s="2">
        <f>F124-H124-L124-U124-AA124-AC124-AD124</f>
        <v>-6321838.764665969</v>
      </c>
      <c r="AG124" s="2">
        <f>F124-H124-L124-U124-AA124-AB124-AD124-Y124</f>
        <v>-6321838.764665969</v>
      </c>
      <c r="AH124" s="2">
        <f>AH123+AG124</f>
        <v>12947318.584671602</v>
      </c>
      <c r="AI124" s="2">
        <v>41126244.0238775</v>
      </c>
      <c r="AJ124" s="2">
        <f>AH124-AI124</f>
        <v>-28178925.4392059</v>
      </c>
      <c r="AK124" s="3">
        <v>0.25</v>
      </c>
    </row>
    <row r="125" spans="1:37">
      <c r="A125" s="2">
        <v>124</v>
      </c>
      <c r="B125" s="2">
        <v>2037</v>
      </c>
      <c r="C125" s="2">
        <v>37</v>
      </c>
      <c r="D125" s="2">
        <v>470357.2936066493</v>
      </c>
      <c r="E125" s="2">
        <v>17403219.86344603</v>
      </c>
      <c r="F125" s="2">
        <f>E125/1.19</f>
        <v>14624554.507097503</v>
      </c>
      <c r="G125" s="2">
        <v>60</v>
      </c>
      <c r="H125" s="2">
        <v>6067192.936478193</v>
      </c>
      <c r="I125" s="2">
        <v>105</v>
      </c>
      <c r="J125" s="2">
        <v>10580037.51627629</v>
      </c>
      <c r="K125" s="2">
        <v>3728203.696211645</v>
      </c>
      <c r="L125" s="2">
        <v>1466766.725083628</v>
      </c>
      <c r="M125" s="2">
        <v>7574648.693078309</v>
      </c>
      <c r="N125" s="3">
        <v>1</v>
      </c>
      <c r="O125" s="3">
        <v>1.5</v>
      </c>
      <c r="P125" s="2">
        <v>228465.7844885008</v>
      </c>
      <c r="Q125" s="2">
        <v>603956.0208772485</v>
      </c>
      <c r="R125" s="2">
        <v>335979.0948360306</v>
      </c>
      <c r="S125" s="2">
        <v>376296.5862163542</v>
      </c>
      <c r="T125" s="2">
        <v>3826801.890182388</v>
      </c>
      <c r="U125" s="2">
        <f>M125+P125+Q125+R125+S125+T125</f>
        <v>12946148.069678832</v>
      </c>
      <c r="V125" s="2">
        <f>F125-K125-L125-U125</f>
        <v>-3516563.9838766027</v>
      </c>
      <c r="W125" s="2">
        <v>0</v>
      </c>
      <c r="X125" s="2">
        <v>0</v>
      </c>
      <c r="Y125" s="2">
        <f>W125+X125</f>
        <v>0</v>
      </c>
      <c r="Z125" s="2">
        <v>3.434251993894577E-09</v>
      </c>
      <c r="AA125" s="2">
        <v>0</v>
      </c>
      <c r="AB125" s="2">
        <v>0</v>
      </c>
      <c r="AC125" s="2">
        <v>0</v>
      </c>
      <c r="AD125" s="2">
        <v>379659.3586262619</v>
      </c>
      <c r="AE125" s="2">
        <v>1138978.075878786</v>
      </c>
      <c r="AF125" s="2">
        <f>F125-H125-L125-U125-AA125-AC125-AD125</f>
        <v>-6235212.582769412</v>
      </c>
      <c r="AG125" s="2">
        <f>F125-H125-L125-U125-AA125-AB125-AD125-Y125</f>
        <v>-6235212.582769412</v>
      </c>
      <c r="AH125" s="2">
        <f>AH124+AG125</f>
        <v>6712106.00190219</v>
      </c>
      <c r="AI125" s="2">
        <v>41126244.0238775</v>
      </c>
      <c r="AJ125" s="2">
        <f>AH125-AI125</f>
        <v>-34414138.02197531</v>
      </c>
      <c r="AK125" s="3">
        <v>0.25</v>
      </c>
    </row>
    <row r="126" spans="1:37">
      <c r="A126" s="2">
        <v>125</v>
      </c>
      <c r="B126" s="2">
        <v>2037</v>
      </c>
      <c r="C126" s="2">
        <v>44</v>
      </c>
      <c r="D126" s="2">
        <v>470357.2936066493</v>
      </c>
      <c r="E126" s="2">
        <v>20695720.91869257</v>
      </c>
      <c r="F126" s="2">
        <f>E126/1.19</f>
        <v>17391362.116548378</v>
      </c>
      <c r="G126" s="2">
        <v>50</v>
      </c>
      <c r="H126" s="2">
        <v>5055994.113731827</v>
      </c>
      <c r="I126" s="2">
        <v>111</v>
      </c>
      <c r="J126" s="2">
        <v>11197416.1995542</v>
      </c>
      <c r="K126" s="2">
        <v>4438615.430453918</v>
      </c>
      <c r="L126" s="2">
        <v>1744669.20451779</v>
      </c>
      <c r="M126" s="2">
        <v>7574648.693078309</v>
      </c>
      <c r="N126" s="3">
        <v>1</v>
      </c>
      <c r="O126" s="3">
        <v>1.5</v>
      </c>
      <c r="P126" s="2">
        <v>228465.7844885008</v>
      </c>
      <c r="Q126" s="2">
        <v>603956.0208772485</v>
      </c>
      <c r="R126" s="2">
        <v>335979.0948360306</v>
      </c>
      <c r="S126" s="2">
        <v>376296.5862163542</v>
      </c>
      <c r="T126" s="2">
        <v>3826801.890182388</v>
      </c>
      <c r="U126" s="2">
        <f>M126+P126+Q126+R126+S126+T126</f>
        <v>12946148.069678832</v>
      </c>
      <c r="V126" s="2">
        <f>F126-K126-L126-U126</f>
        <v>-1738070.588102162</v>
      </c>
      <c r="W126" s="2">
        <v>0</v>
      </c>
      <c r="X126" s="2">
        <v>0</v>
      </c>
      <c r="Y126" s="2">
        <f>W126+X126</f>
        <v>0</v>
      </c>
      <c r="Z126" s="2">
        <v>3.434251993894577E-09</v>
      </c>
      <c r="AA126" s="2">
        <v>0</v>
      </c>
      <c r="AB126" s="2">
        <v>0</v>
      </c>
      <c r="AC126" s="2">
        <v>0</v>
      </c>
      <c r="AD126" s="2">
        <v>-189829.6793131311</v>
      </c>
      <c r="AE126" s="2">
        <v>949148.3965656548</v>
      </c>
      <c r="AF126" s="2">
        <f>F126-H126-L126-U126-AA126-AC126-AD126</f>
        <v>-2165619.5920669395</v>
      </c>
      <c r="AG126" s="2">
        <f>F126-H126-L126-U126-AA126-AB126-AD126-Y126</f>
        <v>-2165619.5920669395</v>
      </c>
      <c r="AH126" s="2">
        <f>AH125+AG126</f>
        <v>4546486.409835251</v>
      </c>
      <c r="AI126" s="2">
        <v>41126244.0238775</v>
      </c>
      <c r="AJ126" s="2">
        <f>AH126-AI126</f>
        <v>-36579757.61404225</v>
      </c>
      <c r="AK126" s="3">
        <v>0.25</v>
      </c>
    </row>
    <row r="127" spans="1:37">
      <c r="A127" s="2">
        <v>126</v>
      </c>
      <c r="B127" s="2">
        <v>2037</v>
      </c>
      <c r="C127" s="2">
        <v>52</v>
      </c>
      <c r="D127" s="2">
        <v>470357.2936066493</v>
      </c>
      <c r="E127" s="2">
        <v>24458579.26754577</v>
      </c>
      <c r="F127" s="2">
        <f>E127/1.19</f>
        <v>20553427.955920815</v>
      </c>
      <c r="G127" s="2">
        <v>80</v>
      </c>
      <c r="H127" s="2">
        <v>8089590.581970924</v>
      </c>
      <c r="I127" s="2">
        <v>139</v>
      </c>
      <c r="J127" s="2">
        <v>14036093.94048164</v>
      </c>
      <c r="K127" s="2">
        <v>5250912.841043489</v>
      </c>
      <c r="L127" s="2">
        <v>2062303.901016134</v>
      </c>
      <c r="M127" s="2">
        <v>7574648.693078309</v>
      </c>
      <c r="N127" s="3">
        <v>1</v>
      </c>
      <c r="O127" s="3">
        <v>1.5</v>
      </c>
      <c r="P127" s="2">
        <v>228465.7844885008</v>
      </c>
      <c r="Q127" s="2">
        <v>603956.0208772485</v>
      </c>
      <c r="R127" s="2">
        <v>335979.0948360306</v>
      </c>
      <c r="S127" s="2">
        <v>376296.5862163542</v>
      </c>
      <c r="T127" s="2">
        <v>3826801.890182388</v>
      </c>
      <c r="U127" s="2">
        <f>M127+P127+Q127+R127+S127+T127</f>
        <v>12946148.069678832</v>
      </c>
      <c r="V127" s="2">
        <f>F127-K127-L127-U127</f>
        <v>294063.14418236166</v>
      </c>
      <c r="W127" s="2">
        <v>0</v>
      </c>
      <c r="X127" s="2">
        <v>0</v>
      </c>
      <c r="Y127" s="2">
        <f>W127+X127</f>
        <v>0</v>
      </c>
      <c r="Z127" s="2">
        <v>3.434251993894577E-09</v>
      </c>
      <c r="AA127" s="2">
        <v>0</v>
      </c>
      <c r="AB127" s="2">
        <v>0</v>
      </c>
      <c r="AC127" s="2">
        <v>0</v>
      </c>
      <c r="AD127" s="2">
        <v>569489.0379393932</v>
      </c>
      <c r="AE127" s="2">
        <v>1518637.434505048</v>
      </c>
      <c r="AF127" s="2">
        <f>F127-H127-L127-U127-AA127-AC127-AD127</f>
        <v>-3114103.634684465</v>
      </c>
      <c r="AG127" s="2">
        <f>F127-H127-L127-U127-AA127-AB127-AD127-Y127</f>
        <v>-3114103.634684465</v>
      </c>
      <c r="AH127" s="2">
        <f>AH126+AG127</f>
        <v>1432382.7751507862</v>
      </c>
      <c r="AI127" s="2">
        <v>41126244.0238775</v>
      </c>
      <c r="AJ127" s="2">
        <f>AH127-AI127</f>
        <v>-39693861.24872672</v>
      </c>
      <c r="AK127" s="3">
        <v>0.25</v>
      </c>
    </row>
    <row r="128" spans="1:37">
      <c r="A128" s="2">
        <v>127</v>
      </c>
      <c r="B128" s="2">
        <v>2037</v>
      </c>
      <c r="C128" s="2">
        <v>59</v>
      </c>
      <c r="D128" s="2">
        <v>470357.2936066493</v>
      </c>
      <c r="E128" s="2">
        <v>27751080.32279231</v>
      </c>
      <c r="F128" s="2">
        <f>E128/1.19</f>
        <v>23320235.565371692</v>
      </c>
      <c r="G128" s="2">
        <v>80</v>
      </c>
      <c r="H128" s="2">
        <v>8089590.581970924</v>
      </c>
      <c r="I128" s="2">
        <v>160</v>
      </c>
      <c r="J128" s="2">
        <v>16164883.66937173</v>
      </c>
      <c r="K128" s="2">
        <v>5960800.853080827</v>
      </c>
      <c r="L128" s="2">
        <v>2340164.482673901</v>
      </c>
      <c r="M128" s="2">
        <v>7574648.693078309</v>
      </c>
      <c r="N128" s="3">
        <v>1</v>
      </c>
      <c r="O128" s="3">
        <v>1.5</v>
      </c>
      <c r="P128" s="2">
        <v>228465.7844885008</v>
      </c>
      <c r="Q128" s="2">
        <v>603956.0208772485</v>
      </c>
      <c r="R128" s="2">
        <v>335979.0948360306</v>
      </c>
      <c r="S128" s="2">
        <v>376296.5862163542</v>
      </c>
      <c r="T128" s="2">
        <v>3826801.890182388</v>
      </c>
      <c r="U128" s="2">
        <f>M128+P128+Q128+R128+S128+T128</f>
        <v>12946148.069678832</v>
      </c>
      <c r="V128" s="2">
        <f>F128-K128-L128-U128</f>
        <v>2073122.1599381305</v>
      </c>
      <c r="W128" s="2">
        <v>0</v>
      </c>
      <c r="X128" s="2">
        <v>0</v>
      </c>
      <c r="Y128" s="2">
        <f>W128+X128</f>
        <v>0</v>
      </c>
      <c r="Z128" s="2">
        <v>3.434251993894577E-09</v>
      </c>
      <c r="AA128" s="2">
        <v>0</v>
      </c>
      <c r="AB128" s="2">
        <v>0</v>
      </c>
      <c r="AC128" s="2">
        <v>0</v>
      </c>
      <c r="AD128" s="2">
        <v>0</v>
      </c>
      <c r="AE128" s="2">
        <v>1518637.434505048</v>
      </c>
      <c r="AF128" s="2">
        <f>F128-H128-L128-U128-AA128-AC128-AD128</f>
        <v>-55667.56895196438</v>
      </c>
      <c r="AG128" s="2">
        <f>F128-H128-L128-U128-AA128-AB128-AD128-Y128</f>
        <v>-55667.56895196438</v>
      </c>
      <c r="AH128" s="2">
        <f>AH127+AG128</f>
        <v>1376715.2061988218</v>
      </c>
      <c r="AI128" s="2">
        <v>41126244.0238775</v>
      </c>
      <c r="AJ128" s="2">
        <f>AH128-AI128</f>
        <v>-39749528.81767868</v>
      </c>
      <c r="AK128" s="3">
        <v>0.25</v>
      </c>
    </row>
    <row r="129" spans="1:37">
      <c r="A129" s="2">
        <v>128</v>
      </c>
      <c r="B129" s="2">
        <v>2037</v>
      </c>
      <c r="C129" s="2">
        <v>74</v>
      </c>
      <c r="D129" s="2">
        <v>470357.2936066493</v>
      </c>
      <c r="E129" s="2">
        <v>34806439.72689205</v>
      </c>
      <c r="F129" s="2">
        <f>E129/1.19</f>
        <v>29249109.014195006</v>
      </c>
      <c r="G129" s="2">
        <v>100</v>
      </c>
      <c r="H129" s="2">
        <v>10111988.22746365</v>
      </c>
      <c r="I129" s="2">
        <v>186</v>
      </c>
      <c r="J129" s="2">
        <v>18798069.89542839</v>
      </c>
      <c r="K129" s="2">
        <v>7478802.001406995</v>
      </c>
      <c r="L129" s="2">
        <v>2935325.018885953</v>
      </c>
      <c r="M129" s="2">
        <v>7574648.693078309</v>
      </c>
      <c r="N129" s="3">
        <v>1</v>
      </c>
      <c r="O129" s="3">
        <v>1.5</v>
      </c>
      <c r="P129" s="2">
        <v>228465.7844885008</v>
      </c>
      <c r="Q129" s="2">
        <v>603956.0208772485</v>
      </c>
      <c r="R129" s="2">
        <v>335979.0948360306</v>
      </c>
      <c r="S129" s="2">
        <v>376296.5862163542</v>
      </c>
      <c r="T129" s="2">
        <v>3826801.890182388</v>
      </c>
      <c r="U129" s="2">
        <f>M129+P129+Q129+R129+S129+T129</f>
        <v>12946148.069678832</v>
      </c>
      <c r="V129" s="2">
        <f>F129-K129-L129-U129</f>
        <v>5888833.924223229</v>
      </c>
      <c r="W129" s="2">
        <v>0</v>
      </c>
      <c r="X129" s="2">
        <v>0</v>
      </c>
      <c r="Y129" s="2">
        <f>W129+X129</f>
        <v>0</v>
      </c>
      <c r="Z129" s="2">
        <v>3.434251993894577E-09</v>
      </c>
      <c r="AA129" s="2">
        <v>0</v>
      </c>
      <c r="AB129" s="2">
        <v>0</v>
      </c>
      <c r="AC129" s="2">
        <v>0</v>
      </c>
      <c r="AD129" s="2">
        <v>379659.3586262616</v>
      </c>
      <c r="AE129" s="2">
        <v>1898296.79313131</v>
      </c>
      <c r="AF129" s="2">
        <f>F129-H129-L129-U129-AA129-AC129-AD129</f>
        <v>2875988.3395403083</v>
      </c>
      <c r="AG129" s="2">
        <f>F129-H129-L129-U129-AA129-AB129-AD129-Y129</f>
        <v>2875988.3395403083</v>
      </c>
      <c r="AH129" s="2">
        <f>AH128+AG129</f>
        <v>4252703.54573913</v>
      </c>
      <c r="AI129" s="2">
        <v>41126244.0238775</v>
      </c>
      <c r="AJ129" s="2">
        <f>AH129-AI129</f>
        <v>-36873540.47813837</v>
      </c>
      <c r="AK129" s="3">
        <v>0.25</v>
      </c>
    </row>
    <row r="130" spans="1:37">
      <c r="A130" s="2">
        <v>129</v>
      </c>
      <c r="B130" s="2">
        <v>2037</v>
      </c>
      <c r="C130" s="2">
        <v>81</v>
      </c>
      <c r="D130" s="2">
        <v>470357.2936066493</v>
      </c>
      <c r="E130" s="2">
        <v>38098940.78213859</v>
      </c>
      <c r="F130" s="2">
        <f>E130/1.19</f>
        <v>32015916.62364588</v>
      </c>
      <c r="G130" s="2">
        <v>100</v>
      </c>
      <c r="H130" s="2">
        <v>10111988.22746365</v>
      </c>
      <c r="I130" s="2">
        <v>205</v>
      </c>
      <c r="J130" s="2">
        <v>20722244.45871633</v>
      </c>
      <c r="K130" s="2">
        <v>8187813.664175719</v>
      </c>
      <c r="L130" s="2">
        <v>3213115.492602231</v>
      </c>
      <c r="M130" s="2">
        <v>7574648.693078309</v>
      </c>
      <c r="N130" s="3">
        <v>1</v>
      </c>
      <c r="O130" s="3">
        <v>1.5</v>
      </c>
      <c r="P130" s="2">
        <v>228465.7844885008</v>
      </c>
      <c r="Q130" s="2">
        <v>603956.0208772485</v>
      </c>
      <c r="R130" s="2">
        <v>335979.0948360306</v>
      </c>
      <c r="S130" s="2">
        <v>376296.5862163542</v>
      </c>
      <c r="T130" s="2">
        <v>3826801.890182388</v>
      </c>
      <c r="U130" s="2">
        <f>M130+P130+Q130+R130+S130+T130</f>
        <v>12946148.069678832</v>
      </c>
      <c r="V130" s="2">
        <f>F130-K130-L130-U130</f>
        <v>7668839.397189099</v>
      </c>
      <c r="W130" s="2">
        <v>0</v>
      </c>
      <c r="X130" s="2">
        <v>0</v>
      </c>
      <c r="Y130" s="2">
        <f>W130+X130</f>
        <v>0</v>
      </c>
      <c r="Z130" s="2">
        <v>3.434251993894577E-09</v>
      </c>
      <c r="AA130" s="2">
        <v>0</v>
      </c>
      <c r="AB130" s="2">
        <v>0</v>
      </c>
      <c r="AC130" s="2">
        <v>0</v>
      </c>
      <c r="AD130" s="2">
        <v>0</v>
      </c>
      <c r="AE130" s="2">
        <v>1898296.79313131</v>
      </c>
      <c r="AF130" s="2">
        <f>F130-H130-L130-U130-AA130-AC130-AD130</f>
        <v>5744664.833901163</v>
      </c>
      <c r="AG130" s="2">
        <f>F130-H130-L130-U130-AA130-AB130-AD130-Y130</f>
        <v>5744664.833901163</v>
      </c>
      <c r="AH130" s="2">
        <f>AH129+AG130</f>
        <v>9997368.379640292</v>
      </c>
      <c r="AI130" s="2">
        <v>41126244.0238775</v>
      </c>
      <c r="AJ130" s="2">
        <f>AH130-AI130</f>
        <v>-31128875.64423721</v>
      </c>
      <c r="AK130" s="3">
        <v>0.25</v>
      </c>
    </row>
    <row r="131" spans="1:37">
      <c r="A131" s="2">
        <v>130</v>
      </c>
      <c r="B131" s="2">
        <v>2037</v>
      </c>
      <c r="C131" s="2">
        <v>96</v>
      </c>
      <c r="D131" s="2">
        <v>470357.2936066493</v>
      </c>
      <c r="E131" s="2">
        <v>45154300.18623833</v>
      </c>
      <c r="F131" s="2">
        <f>E131/1.19</f>
        <v>37944790.07246919</v>
      </c>
      <c r="G131" s="2">
        <v>130</v>
      </c>
      <c r="H131" s="2">
        <v>13145584.69570275</v>
      </c>
      <c r="I131" s="2">
        <v>239</v>
      </c>
      <c r="J131" s="2">
        <v>24162421.3967348</v>
      </c>
      <c r="K131" s="2">
        <v>9705407.757684274</v>
      </c>
      <c r="L131" s="2">
        <v>3808243.464428873</v>
      </c>
      <c r="M131" s="2">
        <v>7574648.693078309</v>
      </c>
      <c r="N131" s="3">
        <v>1</v>
      </c>
      <c r="O131" s="3">
        <v>1.5</v>
      </c>
      <c r="P131" s="2">
        <v>228465.7844885008</v>
      </c>
      <c r="Q131" s="2">
        <v>603956.0208772485</v>
      </c>
      <c r="R131" s="2">
        <v>335979.0948360306</v>
      </c>
      <c r="S131" s="2">
        <v>376296.5862163542</v>
      </c>
      <c r="T131" s="2">
        <v>3826801.890182388</v>
      </c>
      <c r="U131" s="2">
        <f>M131+P131+Q131+R131+S131+T131</f>
        <v>12946148.069678832</v>
      </c>
      <c r="V131" s="2">
        <f>F131-K131-L131-U131</f>
        <v>11484990.78067721</v>
      </c>
      <c r="W131" s="2">
        <v>0</v>
      </c>
      <c r="X131" s="2">
        <v>0</v>
      </c>
      <c r="Y131" s="2">
        <f>W131+X131</f>
        <v>0</v>
      </c>
      <c r="Z131" s="2">
        <v>3.434251993894577E-09</v>
      </c>
      <c r="AA131" s="2">
        <v>0</v>
      </c>
      <c r="AB131" s="2">
        <v>0</v>
      </c>
      <c r="AC131" s="2">
        <v>0</v>
      </c>
      <c r="AD131" s="2">
        <v>569489.037939393</v>
      </c>
      <c r="AE131" s="2">
        <v>2467785.831070703</v>
      </c>
      <c r="AF131" s="2">
        <f>F131-H131-L131-U131-AA131-AC131-AD131</f>
        <v>7475324.804719343</v>
      </c>
      <c r="AG131" s="2">
        <f>F131-H131-L131-U131-AA131-AB131-AD131-Y131</f>
        <v>7475324.804719343</v>
      </c>
      <c r="AH131" s="2">
        <f>AH130+AG131</f>
        <v>17472693.184359636</v>
      </c>
      <c r="AI131" s="2">
        <v>41126244.0238775</v>
      </c>
      <c r="AJ131" s="2">
        <f>AH131-AI131</f>
        <v>-23653550.839517865</v>
      </c>
      <c r="AK131" s="3">
        <v>0.25</v>
      </c>
    </row>
    <row r="132" spans="1:37">
      <c r="A132" s="2">
        <v>131</v>
      </c>
      <c r="B132" s="2">
        <v>2037</v>
      </c>
      <c r="C132" s="2">
        <v>104</v>
      </c>
      <c r="D132" s="2">
        <v>470357.2936066493</v>
      </c>
      <c r="E132" s="2">
        <v>48917158.53509153</v>
      </c>
      <c r="F132" s="2">
        <f>E132/1.19</f>
        <v>41106855.91184163</v>
      </c>
      <c r="G132" s="2">
        <v>10</v>
      </c>
      <c r="H132" s="2">
        <v>1011198.822746365</v>
      </c>
      <c r="I132" s="2">
        <v>145</v>
      </c>
      <c r="J132" s="2">
        <v>14659337.07560148</v>
      </c>
      <c r="K132" s="2">
        <v>10514283.14387969</v>
      </c>
      <c r="L132" s="2">
        <v>4125604.398975684</v>
      </c>
      <c r="M132" s="2">
        <v>7574648.693078309</v>
      </c>
      <c r="N132" s="3">
        <v>1</v>
      </c>
      <c r="O132" s="3">
        <v>1.5</v>
      </c>
      <c r="P132" s="2">
        <v>228465.7844885008</v>
      </c>
      <c r="Q132" s="2">
        <v>603956.0208772485</v>
      </c>
      <c r="R132" s="2">
        <v>335979.0948360306</v>
      </c>
      <c r="S132" s="2">
        <v>376296.5862163542</v>
      </c>
      <c r="T132" s="2">
        <v>3826801.890182388</v>
      </c>
      <c r="U132" s="2">
        <f>M132+P132+Q132+R132+S132+T132</f>
        <v>12946148.069678832</v>
      </c>
      <c r="V132" s="2">
        <f>F132-K132-L132-U132</f>
        <v>13520820.299307428</v>
      </c>
      <c r="W132" s="2">
        <v>0</v>
      </c>
      <c r="X132" s="2">
        <v>0</v>
      </c>
      <c r="Y132" s="2">
        <f>W132+X132</f>
        <v>0</v>
      </c>
      <c r="Z132" s="2">
        <v>3.434251993894577E-09</v>
      </c>
      <c r="AA132" s="2">
        <v>0</v>
      </c>
      <c r="AB132" s="2">
        <v>0</v>
      </c>
      <c r="AC132" s="2">
        <v>0</v>
      </c>
      <c r="AD132" s="2">
        <v>-2277956.151757571</v>
      </c>
      <c r="AE132" s="2">
        <v>189829.679313131</v>
      </c>
      <c r="AF132" s="2">
        <f>F132-H132-L132-U132-AA132-AC132-AD132</f>
        <v>25301860.77219832</v>
      </c>
      <c r="AG132" s="2">
        <f>F132-H132-L132-U132-AA132-AB132-AD132-Y132</f>
        <v>25301860.77219832</v>
      </c>
      <c r="AH132" s="2">
        <f>AH131+AG132</f>
        <v>42774553.95655796</v>
      </c>
      <c r="AI132" s="2">
        <v>41126244.0238775</v>
      </c>
      <c r="AJ132" s="2">
        <f>AH132-AI132</f>
        <v>1648309.9326804578</v>
      </c>
      <c r="AK132" s="3">
        <v>0.25</v>
      </c>
    </row>
    <row r="133" spans="1:37">
      <c r="A133" s="2">
        <v>132</v>
      </c>
      <c r="B133" s="2">
        <v>2037</v>
      </c>
      <c r="C133" s="2">
        <v>126</v>
      </c>
      <c r="D133" s="2">
        <v>470357.2936066493</v>
      </c>
      <c r="E133" s="2">
        <v>59265018.99443781</v>
      </c>
      <c r="F133" s="2">
        <f>E133/1.19</f>
        <v>49802536.97011581</v>
      </c>
      <c r="G133" s="2">
        <v>20</v>
      </c>
      <c r="H133" s="2">
        <v>2022397.645492731</v>
      </c>
      <c r="I133" s="2">
        <v>39</v>
      </c>
      <c r="J133" s="2">
        <v>3942955.479531361</v>
      </c>
      <c r="K133" s="2">
        <v>12738779.24156285</v>
      </c>
      <c r="L133" s="2">
        <v>4998354.071831075</v>
      </c>
      <c r="M133" s="2">
        <v>7574648.693078309</v>
      </c>
      <c r="N133" s="3">
        <v>1</v>
      </c>
      <c r="O133" s="3">
        <v>1.5</v>
      </c>
      <c r="P133" s="2">
        <v>228465.7844885008</v>
      </c>
      <c r="Q133" s="2">
        <v>603956.0208772485</v>
      </c>
      <c r="R133" s="2">
        <v>335979.0948360306</v>
      </c>
      <c r="S133" s="2">
        <v>376296.5862163542</v>
      </c>
      <c r="T133" s="2">
        <v>3826801.890182388</v>
      </c>
      <c r="U133" s="2">
        <f>M133+P133+Q133+R133+S133+T133</f>
        <v>12946148.069678832</v>
      </c>
      <c r="V133" s="2">
        <f>F133-K133-L133-U133</f>
        <v>19119255.587043043</v>
      </c>
      <c r="W133" s="2">
        <v>0</v>
      </c>
      <c r="X133" s="2">
        <v>0</v>
      </c>
      <c r="Y133" s="2">
        <f>W133+X133</f>
        <v>0</v>
      </c>
      <c r="Z133" s="2">
        <v>3.434251993894577E-09</v>
      </c>
      <c r="AA133" s="2">
        <v>0</v>
      </c>
      <c r="AB133" s="2">
        <v>8240323.472455853</v>
      </c>
      <c r="AC133" s="2">
        <v>8240323.472455853</v>
      </c>
      <c r="AD133" s="2">
        <v>189829.679313131</v>
      </c>
      <c r="AE133" s="2">
        <v>379659.358626262</v>
      </c>
      <c r="AF133" s="2">
        <f>F133-H133-L133-U133-AA133-AC133-AD133</f>
        <v>21405484.031344187</v>
      </c>
      <c r="AG133" s="2">
        <f>F133-H133-L133-U133-AA133-AB133-AD133-Y133</f>
        <v>21405484.031344187</v>
      </c>
      <c r="AH133" s="2">
        <f>AH132+AG133</f>
        <v>64180037.98790215</v>
      </c>
      <c r="AI133" s="2">
        <v>41126244.0238775</v>
      </c>
      <c r="AJ133" s="2">
        <f>AH133-AI133</f>
        <v>23053793.964024648</v>
      </c>
      <c r="AK133" s="3">
        <v>0.25</v>
      </c>
    </row>
    <row r="134" spans="1:37">
      <c r="A134" s="2">
        <v>133</v>
      </c>
      <c r="B134" s="2">
        <v>2038</v>
      </c>
      <c r="C134" s="2">
        <v>16</v>
      </c>
      <c r="D134" s="2">
        <v>484468.0124148488</v>
      </c>
      <c r="E134" s="2">
        <v>7751488.198637581</v>
      </c>
      <c r="F134" s="2">
        <f>E134/1.19</f>
        <v>6513855.629107212</v>
      </c>
      <c r="G134" s="2">
        <v>40</v>
      </c>
      <c r="H134" s="2">
        <v>4166139.149715026</v>
      </c>
      <c r="I134" s="2">
        <v>63</v>
      </c>
      <c r="J134" s="2">
        <v>6466746.349905347</v>
      </c>
      <c r="K134" s="2">
        <v>1642348.27934104</v>
      </c>
      <c r="L134" s="2">
        <v>651848.7238687091</v>
      </c>
      <c r="M134" s="2">
        <v>8502656.550924908</v>
      </c>
      <c r="N134" s="3">
        <v>1</v>
      </c>
      <c r="O134" s="3">
        <v>2</v>
      </c>
      <c r="P134" s="2">
        <v>249162.0967304003</v>
      </c>
      <c r="Q134" s="2">
        <v>642768.9978708965</v>
      </c>
      <c r="R134" s="2">
        <v>346058.4676811115</v>
      </c>
      <c r="S134" s="2">
        <v>387585.4838028449</v>
      </c>
      <c r="T134" s="2">
        <v>4138859.273466093</v>
      </c>
      <c r="U134" s="2">
        <f>M134+P134+Q134+R134+S134+T134</f>
        <v>14267090.870476255</v>
      </c>
      <c r="V134" s="2">
        <f>F134-K134-L134-U134</f>
        <v>-10047432.244578794</v>
      </c>
      <c r="W134" s="2">
        <v>0</v>
      </c>
      <c r="X134" s="2">
        <v>0</v>
      </c>
      <c r="Y134" s="2">
        <f>W134+X134</f>
        <v>0</v>
      </c>
      <c r="Z134" s="2">
        <v>3.434251993894577E-09</v>
      </c>
      <c r="AA134" s="2">
        <v>0</v>
      </c>
      <c r="AB134" s="2">
        <v>0</v>
      </c>
      <c r="AC134" s="2">
        <v>0</v>
      </c>
      <c r="AD134" s="2">
        <v>402438.9201438377</v>
      </c>
      <c r="AE134" s="2">
        <v>782098.2787700997</v>
      </c>
      <c r="AF134" s="2">
        <f>F134-H134-L134-U134-AA134-AC134-AD134</f>
        <v>-12973662.035096616</v>
      </c>
      <c r="AG134" s="2">
        <f>F134-H134-L134-U134-AA134-AB134-AD134-Y134</f>
        <v>-12973662.035096616</v>
      </c>
      <c r="AH134" s="2">
        <f>AH133+AG134</f>
        <v>51206375.952805534</v>
      </c>
      <c r="AI134" s="2">
        <v>45089072.42626977</v>
      </c>
      <c r="AJ134" s="2">
        <f>AH134-AI134</f>
        <v>6117303.526535764</v>
      </c>
      <c r="AK134" s="3">
        <v>0.25</v>
      </c>
    </row>
    <row r="135" spans="1:37">
      <c r="A135" s="2">
        <v>134</v>
      </c>
      <c r="B135" s="2">
        <v>2038</v>
      </c>
      <c r="C135" s="2">
        <v>23</v>
      </c>
      <c r="D135" s="2">
        <v>484468.0124148488</v>
      </c>
      <c r="E135" s="2">
        <v>11142764.28554152</v>
      </c>
      <c r="F135" s="2">
        <f>E135/1.19</f>
        <v>9363667.466841616</v>
      </c>
      <c r="G135" s="2">
        <v>30</v>
      </c>
      <c r="H135" s="2">
        <v>3124604.362286269</v>
      </c>
      <c r="I135" s="2">
        <v>70</v>
      </c>
      <c r="J135" s="2">
        <v>7219296.234982937</v>
      </c>
      <c r="K135" s="2">
        <v>2372054.477208679</v>
      </c>
      <c r="L135" s="2">
        <v>937926.846613744</v>
      </c>
      <c r="M135" s="2">
        <v>8502656.550924908</v>
      </c>
      <c r="N135" s="3">
        <v>1</v>
      </c>
      <c r="O135" s="3">
        <v>2</v>
      </c>
      <c r="P135" s="2">
        <v>249162.0967304003</v>
      </c>
      <c r="Q135" s="2">
        <v>642768.9978708965</v>
      </c>
      <c r="R135" s="2">
        <v>346058.4676811115</v>
      </c>
      <c r="S135" s="2">
        <v>387585.4838028449</v>
      </c>
      <c r="T135" s="2">
        <v>4138859.273466093</v>
      </c>
      <c r="U135" s="2">
        <f>M135+P135+Q135+R135+S135+T135</f>
        <v>14267090.870476255</v>
      </c>
      <c r="V135" s="2">
        <f>F135-K135-L135-U135</f>
        <v>-8213404.727457063</v>
      </c>
      <c r="W135" s="2">
        <v>0</v>
      </c>
      <c r="X135" s="2">
        <v>0</v>
      </c>
      <c r="Y135" s="2">
        <f>W135+X135</f>
        <v>0</v>
      </c>
      <c r="Z135" s="2">
        <v>3.434251993894577E-09</v>
      </c>
      <c r="AA135" s="2">
        <v>0</v>
      </c>
      <c r="AB135" s="2">
        <v>0</v>
      </c>
      <c r="AC135" s="2">
        <v>0</v>
      </c>
      <c r="AD135" s="2">
        <v>-195524.569692525</v>
      </c>
      <c r="AE135" s="2">
        <v>586573.7090775748</v>
      </c>
      <c r="AF135" s="2">
        <f>F135-H135-L135-U135-AA135-AC135-AD135</f>
        <v>-8770430.04284213</v>
      </c>
      <c r="AG135" s="2">
        <f>F135-H135-L135-U135-AA135-AB135-AD135-Y135</f>
        <v>-8770430.04284213</v>
      </c>
      <c r="AH135" s="2">
        <f>AH134+AG135</f>
        <v>42435945.90996341</v>
      </c>
      <c r="AI135" s="2">
        <v>45089072.42626977</v>
      </c>
      <c r="AJ135" s="2">
        <f>AH135-AI135</f>
        <v>-2653126.516306363</v>
      </c>
      <c r="AK135" s="3">
        <v>0.25</v>
      </c>
    </row>
    <row r="136" spans="1:37">
      <c r="A136" s="2">
        <v>135</v>
      </c>
      <c r="B136" s="2">
        <v>2038</v>
      </c>
      <c r="C136" s="2">
        <v>31</v>
      </c>
      <c r="D136" s="2">
        <v>484468.0124148488</v>
      </c>
      <c r="E136" s="2">
        <v>15018508.38486031</v>
      </c>
      <c r="F136" s="2">
        <f>E136/1.19</f>
        <v>12620595.281395223</v>
      </c>
      <c r="G136" s="2">
        <v>50</v>
      </c>
      <c r="H136" s="2">
        <v>5207673.937143781</v>
      </c>
      <c r="I136" s="2">
        <v>89</v>
      </c>
      <c r="J136" s="2">
        <v>9216669.544327315</v>
      </c>
      <c r="K136" s="2">
        <v>3210300.627799402</v>
      </c>
      <c r="L136" s="2">
        <v>1265216.969421715</v>
      </c>
      <c r="M136" s="2">
        <v>8502656.550924908</v>
      </c>
      <c r="N136" s="3">
        <v>1</v>
      </c>
      <c r="O136" s="3">
        <v>2</v>
      </c>
      <c r="P136" s="2">
        <v>249162.0967304003</v>
      </c>
      <c r="Q136" s="2">
        <v>642768.9978708965</v>
      </c>
      <c r="R136" s="2">
        <v>346058.4676811115</v>
      </c>
      <c r="S136" s="2">
        <v>387585.4838028449</v>
      </c>
      <c r="T136" s="2">
        <v>4138859.273466093</v>
      </c>
      <c r="U136" s="2">
        <f>M136+P136+Q136+R136+S136+T136</f>
        <v>14267090.870476255</v>
      </c>
      <c r="V136" s="2">
        <f>F136-K136-L136-U136</f>
        <v>-6122013.18630215</v>
      </c>
      <c r="W136" s="2">
        <v>0</v>
      </c>
      <c r="X136" s="2">
        <v>0</v>
      </c>
      <c r="Y136" s="2">
        <f>W136+X136</f>
        <v>0</v>
      </c>
      <c r="Z136" s="2">
        <v>3.434251993894577E-09</v>
      </c>
      <c r="AA136" s="2">
        <v>0</v>
      </c>
      <c r="AB136" s="2">
        <v>0</v>
      </c>
      <c r="AC136" s="2">
        <v>0</v>
      </c>
      <c r="AD136" s="2">
        <v>391049.1393850497</v>
      </c>
      <c r="AE136" s="2">
        <v>977622.8484626245</v>
      </c>
      <c r="AF136" s="2">
        <f>F136-H136-L136-U136-AA136-AC136-AD136</f>
        <v>-8510435.635031579</v>
      </c>
      <c r="AG136" s="2">
        <f>F136-H136-L136-U136-AA136-AB136-AD136-Y136</f>
        <v>-8510435.635031579</v>
      </c>
      <c r="AH136" s="2">
        <f>AH135+AG136</f>
        <v>33925510.274931826</v>
      </c>
      <c r="AI136" s="2">
        <v>45089072.42626977</v>
      </c>
      <c r="AJ136" s="2">
        <f>AH136-AI136</f>
        <v>-11163562.151337944</v>
      </c>
      <c r="AK136" s="3">
        <v>0.25</v>
      </c>
    </row>
    <row r="137" spans="1:37">
      <c r="A137" s="2">
        <v>136</v>
      </c>
      <c r="B137" s="2">
        <v>2038</v>
      </c>
      <c r="C137" s="2">
        <v>39</v>
      </c>
      <c r="D137" s="2">
        <v>484468.0124148488</v>
      </c>
      <c r="E137" s="2">
        <v>18894252.48417911</v>
      </c>
      <c r="F137" s="2">
        <f>E137/1.19</f>
        <v>15877523.095948828</v>
      </c>
      <c r="G137" s="2">
        <v>60</v>
      </c>
      <c r="H137" s="2">
        <v>6249208.724572538</v>
      </c>
      <c r="I137" s="2">
        <v>110</v>
      </c>
      <c r="J137" s="2">
        <v>11417762.48039586</v>
      </c>
      <c r="K137" s="2">
        <v>4048115.788503989</v>
      </c>
      <c r="L137" s="2">
        <v>1592472.613038795</v>
      </c>
      <c r="M137" s="2">
        <v>8502656.550924908</v>
      </c>
      <c r="N137" s="3">
        <v>1</v>
      </c>
      <c r="O137" s="3">
        <v>2</v>
      </c>
      <c r="P137" s="2">
        <v>249162.0967304003</v>
      </c>
      <c r="Q137" s="2">
        <v>642768.9978708965</v>
      </c>
      <c r="R137" s="2">
        <v>346058.4676811115</v>
      </c>
      <c r="S137" s="2">
        <v>387585.4838028449</v>
      </c>
      <c r="T137" s="2">
        <v>4138859.273466093</v>
      </c>
      <c r="U137" s="2">
        <f>M137+P137+Q137+R137+S137+T137</f>
        <v>14267090.870476255</v>
      </c>
      <c r="V137" s="2">
        <f>F137-K137-L137-U137</f>
        <v>-4030156.1760702115</v>
      </c>
      <c r="W137" s="2">
        <v>0</v>
      </c>
      <c r="X137" s="2">
        <v>0</v>
      </c>
      <c r="Y137" s="2">
        <f>W137+X137</f>
        <v>0</v>
      </c>
      <c r="Z137" s="2">
        <v>3.434251993894577E-09</v>
      </c>
      <c r="AA137" s="2">
        <v>0</v>
      </c>
      <c r="AB137" s="2">
        <v>0</v>
      </c>
      <c r="AC137" s="2">
        <v>0</v>
      </c>
      <c r="AD137" s="2">
        <v>195524.5696925251</v>
      </c>
      <c r="AE137" s="2">
        <v>1173147.41815515</v>
      </c>
      <c r="AF137" s="2">
        <f>F137-H137-L137-U137-AA137-AC137-AD137</f>
        <v>-6426773.681831284</v>
      </c>
      <c r="AG137" s="2">
        <f>F137-H137-L137-U137-AA137-AB137-AD137-Y137</f>
        <v>-6426773.681831284</v>
      </c>
      <c r="AH137" s="2">
        <f>AH136+AG137</f>
        <v>27498736.59310054</v>
      </c>
      <c r="AI137" s="2">
        <v>45089072.42626977</v>
      </c>
      <c r="AJ137" s="2">
        <f>AH137-AI137</f>
        <v>-17590335.83316923</v>
      </c>
      <c r="AK137" s="3">
        <v>0.25</v>
      </c>
    </row>
    <row r="138" spans="1:37">
      <c r="A138" s="2">
        <v>137</v>
      </c>
      <c r="B138" s="2">
        <v>2038</v>
      </c>
      <c r="C138" s="2">
        <v>47</v>
      </c>
      <c r="D138" s="2">
        <v>484468.0124148488</v>
      </c>
      <c r="E138" s="2">
        <v>22769996.5834979</v>
      </c>
      <c r="F138" s="2">
        <f>E138/1.19</f>
        <v>19134450.910502434</v>
      </c>
      <c r="G138" s="2">
        <v>60</v>
      </c>
      <c r="H138" s="2">
        <v>6249208.724572538</v>
      </c>
      <c r="I138" s="2">
        <v>123</v>
      </c>
      <c r="J138" s="2">
        <v>12782573.28359479</v>
      </c>
      <c r="K138" s="2">
        <v>4884397.921373618</v>
      </c>
      <c r="L138" s="2">
        <v>1919605.614429078</v>
      </c>
      <c r="M138" s="2">
        <v>8502656.550924908</v>
      </c>
      <c r="N138" s="3">
        <v>1</v>
      </c>
      <c r="O138" s="3">
        <v>2</v>
      </c>
      <c r="P138" s="2">
        <v>249162.0967304003</v>
      </c>
      <c r="Q138" s="2">
        <v>642768.9978708965</v>
      </c>
      <c r="R138" s="2">
        <v>346058.4676811115</v>
      </c>
      <c r="S138" s="2">
        <v>387585.4838028449</v>
      </c>
      <c r="T138" s="2">
        <v>4138859.273466093</v>
      </c>
      <c r="U138" s="2">
        <f>M138+P138+Q138+R138+S138+T138</f>
        <v>14267090.870476255</v>
      </c>
      <c r="V138" s="2">
        <f>F138-K138-L138-U138</f>
        <v>-1936643.4957765173</v>
      </c>
      <c r="W138" s="2">
        <v>0</v>
      </c>
      <c r="X138" s="2">
        <v>0</v>
      </c>
      <c r="Y138" s="2">
        <f>W138+X138</f>
        <v>0</v>
      </c>
      <c r="Z138" s="2">
        <v>3.434251993894577E-09</v>
      </c>
      <c r="AA138" s="2">
        <v>0</v>
      </c>
      <c r="AB138" s="2">
        <v>0</v>
      </c>
      <c r="AC138" s="2">
        <v>0</v>
      </c>
      <c r="AD138" s="2">
        <v>0</v>
      </c>
      <c r="AE138" s="2">
        <v>1173147.41815515</v>
      </c>
      <c r="AF138" s="2">
        <f>F138-H138-L138-U138-AA138-AC138-AD138</f>
        <v>-3301454.2989754397</v>
      </c>
      <c r="AG138" s="2">
        <f>F138-H138-L138-U138-AA138-AB138-AD138-Y138</f>
        <v>-3301454.2989754397</v>
      </c>
      <c r="AH138" s="2">
        <f>AH137+AG138</f>
        <v>24197282.294125102</v>
      </c>
      <c r="AI138" s="2">
        <v>45089072.42626977</v>
      </c>
      <c r="AJ138" s="2">
        <f>AH138-AI138</f>
        <v>-20891790.132144667</v>
      </c>
      <c r="AK138" s="3">
        <v>0.25</v>
      </c>
    </row>
    <row r="139" spans="1:37">
      <c r="A139" s="2">
        <v>138</v>
      </c>
      <c r="B139" s="2">
        <v>2038</v>
      </c>
      <c r="C139" s="2">
        <v>54</v>
      </c>
      <c r="D139" s="2">
        <v>484468.0124148488</v>
      </c>
      <c r="E139" s="2">
        <v>26161272.67040184</v>
      </c>
      <c r="F139" s="2">
        <f>E139/1.19</f>
        <v>21984262.74823684</v>
      </c>
      <c r="G139" s="2">
        <v>80</v>
      </c>
      <c r="H139" s="2">
        <v>8332278.299430052</v>
      </c>
      <c r="I139" s="2">
        <v>149</v>
      </c>
      <c r="J139" s="2">
        <v>15498093.03384582</v>
      </c>
      <c r="K139" s="2">
        <v>5616758.54917902</v>
      </c>
      <c r="L139" s="2">
        <v>2205896.091569134</v>
      </c>
      <c r="M139" s="2">
        <v>8502656.550924908</v>
      </c>
      <c r="N139" s="3">
        <v>1</v>
      </c>
      <c r="O139" s="3">
        <v>2</v>
      </c>
      <c r="P139" s="2">
        <v>249162.0967304003</v>
      </c>
      <c r="Q139" s="2">
        <v>642768.9978708965</v>
      </c>
      <c r="R139" s="2">
        <v>346058.4676811115</v>
      </c>
      <c r="S139" s="2">
        <v>387585.4838028449</v>
      </c>
      <c r="T139" s="2">
        <v>4138859.273466093</v>
      </c>
      <c r="U139" s="2">
        <f>M139+P139+Q139+R139+S139+T139</f>
        <v>14267090.870476255</v>
      </c>
      <c r="V139" s="2">
        <f>F139-K139-L139-U139</f>
        <v>-105482.76298757084</v>
      </c>
      <c r="W139" s="2">
        <v>0</v>
      </c>
      <c r="X139" s="2">
        <v>0</v>
      </c>
      <c r="Y139" s="2">
        <f>W139+X139</f>
        <v>0</v>
      </c>
      <c r="Z139" s="2">
        <v>3.434251993894577E-09</v>
      </c>
      <c r="AA139" s="2">
        <v>0</v>
      </c>
      <c r="AB139" s="2">
        <v>0</v>
      </c>
      <c r="AC139" s="2">
        <v>0</v>
      </c>
      <c r="AD139" s="2">
        <v>391049.1393850499</v>
      </c>
      <c r="AE139" s="2">
        <v>1564196.557540199</v>
      </c>
      <c r="AF139" s="2">
        <f>F139-H139-L139-U139-AA139-AC139-AD139</f>
        <v>-3212051.6526236534</v>
      </c>
      <c r="AG139" s="2">
        <f>F139-H139-L139-U139-AA139-AB139-AD139-Y139</f>
        <v>-3212051.6526236534</v>
      </c>
      <c r="AH139" s="2">
        <f>AH138+AG139</f>
        <v>20985230.64150145</v>
      </c>
      <c r="AI139" s="2">
        <v>45089072.42626977</v>
      </c>
      <c r="AJ139" s="2">
        <f>AH139-AI139</f>
        <v>-24103841.78476832</v>
      </c>
      <c r="AK139" s="3">
        <v>0.25</v>
      </c>
    </row>
    <row r="140" spans="1:37">
      <c r="A140" s="2">
        <v>139</v>
      </c>
      <c r="B140" s="2">
        <v>2038</v>
      </c>
      <c r="C140" s="2">
        <v>62</v>
      </c>
      <c r="D140" s="2">
        <v>484468.0124148488</v>
      </c>
      <c r="E140" s="2">
        <v>30037016.76972063</v>
      </c>
      <c r="F140" s="2">
        <f>E140/1.19</f>
        <v>25241190.562790446</v>
      </c>
      <c r="G140" s="2">
        <v>80</v>
      </c>
      <c r="H140" s="2">
        <v>8332278.299430052</v>
      </c>
      <c r="I140" s="2">
        <v>167</v>
      </c>
      <c r="J140" s="2">
        <v>17378480.40461602</v>
      </c>
      <c r="K140" s="2">
        <v>6451890.928659842</v>
      </c>
      <c r="L140" s="2">
        <v>2532937.112688313</v>
      </c>
      <c r="M140" s="2">
        <v>8502656.550924908</v>
      </c>
      <c r="N140" s="3">
        <v>1</v>
      </c>
      <c r="O140" s="3">
        <v>2</v>
      </c>
      <c r="P140" s="2">
        <v>249162.0967304003</v>
      </c>
      <c r="Q140" s="2">
        <v>642768.9978708965</v>
      </c>
      <c r="R140" s="2">
        <v>346058.4676811115</v>
      </c>
      <c r="S140" s="2">
        <v>387585.4838028449</v>
      </c>
      <c r="T140" s="2">
        <v>4138859.273466093</v>
      </c>
      <c r="U140" s="2">
        <f>M140+P140+Q140+R140+S140+T140</f>
        <v>14267090.870476255</v>
      </c>
      <c r="V140" s="2">
        <f>F140-K140-L140-U140</f>
        <v>1989271.6509660352</v>
      </c>
      <c r="W140" s="2">
        <v>0</v>
      </c>
      <c r="X140" s="2">
        <v>0</v>
      </c>
      <c r="Y140" s="2">
        <f>W140+X140</f>
        <v>0</v>
      </c>
      <c r="Z140" s="2">
        <v>3.434251993894577E-09</v>
      </c>
      <c r="AA140" s="2">
        <v>0</v>
      </c>
      <c r="AB140" s="2">
        <v>0</v>
      </c>
      <c r="AC140" s="2">
        <v>0</v>
      </c>
      <c r="AD140" s="2">
        <v>0</v>
      </c>
      <c r="AE140" s="2">
        <v>1564196.557540199</v>
      </c>
      <c r="AF140" s="2">
        <f>F140-H140-L140-U140-AA140-AC140-AD140</f>
        <v>108884.28019582666</v>
      </c>
      <c r="AG140" s="2">
        <f>F140-H140-L140-U140-AA140-AB140-AD140-Y140</f>
        <v>108884.28019582666</v>
      </c>
      <c r="AH140" s="2">
        <f>AH139+AG140</f>
        <v>21094114.921697274</v>
      </c>
      <c r="AI140" s="2">
        <v>45089072.42626977</v>
      </c>
      <c r="AJ140" s="2">
        <f>AH140-AI140</f>
        <v>-23994957.504572496</v>
      </c>
      <c r="AK140" s="3">
        <v>0.25</v>
      </c>
    </row>
    <row r="141" spans="1:37">
      <c r="A141" s="2">
        <v>140</v>
      </c>
      <c r="B141" s="2">
        <v>2038</v>
      </c>
      <c r="C141" s="2">
        <v>78</v>
      </c>
      <c r="D141" s="2">
        <v>484468.0124148488</v>
      </c>
      <c r="E141" s="2">
        <v>37788504.96835821</v>
      </c>
      <c r="F141" s="2">
        <f>E141/1.19</f>
        <v>31755046.191897657</v>
      </c>
      <c r="G141" s="2">
        <v>100</v>
      </c>
      <c r="H141" s="2">
        <v>10415347.87428756</v>
      </c>
      <c r="I141" s="2">
        <v>189</v>
      </c>
      <c r="J141" s="2">
        <v>19674282.93899917</v>
      </c>
      <c r="K141" s="2">
        <v>8119545.339904419</v>
      </c>
      <c r="L141" s="2">
        <v>3186810.327109305</v>
      </c>
      <c r="M141" s="2">
        <v>8502656.550924908</v>
      </c>
      <c r="N141" s="3">
        <v>1</v>
      </c>
      <c r="O141" s="3">
        <v>2</v>
      </c>
      <c r="P141" s="2">
        <v>249162.0967304003</v>
      </c>
      <c r="Q141" s="2">
        <v>642768.9978708965</v>
      </c>
      <c r="R141" s="2">
        <v>346058.4676811115</v>
      </c>
      <c r="S141" s="2">
        <v>387585.4838028449</v>
      </c>
      <c r="T141" s="2">
        <v>4138859.273466093</v>
      </c>
      <c r="U141" s="2">
        <f>M141+P141+Q141+R141+S141+T141</f>
        <v>14267090.870476255</v>
      </c>
      <c r="V141" s="2">
        <f>F141-K141-L141-U141</f>
        <v>6181599.654407678</v>
      </c>
      <c r="W141" s="2">
        <v>0</v>
      </c>
      <c r="X141" s="2">
        <v>0</v>
      </c>
      <c r="Y141" s="2">
        <f>W141+X141</f>
        <v>0</v>
      </c>
      <c r="Z141" s="2">
        <v>3.434251993894577E-09</v>
      </c>
      <c r="AA141" s="2">
        <v>0</v>
      </c>
      <c r="AB141" s="2">
        <v>0</v>
      </c>
      <c r="AC141" s="2">
        <v>0</v>
      </c>
      <c r="AD141" s="2">
        <v>391049.1393850495</v>
      </c>
      <c r="AE141" s="2">
        <v>1955245.696925249</v>
      </c>
      <c r="AF141" s="2">
        <f>F141-H141-L141-U141-AA141-AC141-AD141</f>
        <v>3494747.980639481</v>
      </c>
      <c r="AG141" s="2">
        <f>F141-H141-L141-U141-AA141-AB141-AD141-Y141</f>
        <v>3494747.980639481</v>
      </c>
      <c r="AH141" s="2">
        <f>AH140+AG141</f>
        <v>24588862.902336754</v>
      </c>
      <c r="AI141" s="2">
        <v>45089072.42626977</v>
      </c>
      <c r="AJ141" s="2">
        <f>AH141-AI141</f>
        <v>-20500209.523933016</v>
      </c>
      <c r="AK141" s="3">
        <v>0.25</v>
      </c>
    </row>
    <row r="142" spans="1:37">
      <c r="A142" s="2">
        <v>141</v>
      </c>
      <c r="B142" s="2">
        <v>2038</v>
      </c>
      <c r="C142" s="2">
        <v>85</v>
      </c>
      <c r="D142" s="2">
        <v>484468.0124148488</v>
      </c>
      <c r="E142" s="2">
        <v>41179781.05526215</v>
      </c>
      <c r="F142" s="2">
        <f>E142/1.19</f>
        <v>34604858.02963206</v>
      </c>
      <c r="G142" s="2">
        <v>110</v>
      </c>
      <c r="H142" s="2">
        <v>11456882.66171632</v>
      </c>
      <c r="I142" s="2">
        <v>214</v>
      </c>
      <c r="J142" s="2">
        <v>22281168.69081309</v>
      </c>
      <c r="K142" s="2">
        <v>8849996.909902396</v>
      </c>
      <c r="L142" s="2">
        <v>3472948.079624766</v>
      </c>
      <c r="M142" s="2">
        <v>8502656.550924908</v>
      </c>
      <c r="N142" s="3">
        <v>1</v>
      </c>
      <c r="O142" s="3">
        <v>2</v>
      </c>
      <c r="P142" s="2">
        <v>249162.0967304003</v>
      </c>
      <c r="Q142" s="2">
        <v>642768.9978708965</v>
      </c>
      <c r="R142" s="2">
        <v>346058.4676811115</v>
      </c>
      <c r="S142" s="2">
        <v>387585.4838028449</v>
      </c>
      <c r="T142" s="2">
        <v>4138859.273466093</v>
      </c>
      <c r="U142" s="2">
        <f>M142+P142+Q142+R142+S142+T142</f>
        <v>14267090.870476255</v>
      </c>
      <c r="V142" s="2">
        <f>F142-K142-L142-U142</f>
        <v>8014822.169628648</v>
      </c>
      <c r="W142" s="2">
        <v>0</v>
      </c>
      <c r="X142" s="2">
        <v>0</v>
      </c>
      <c r="Y142" s="2">
        <f>W142+X142</f>
        <v>0</v>
      </c>
      <c r="Z142" s="2">
        <v>3.434251993894577E-09</v>
      </c>
      <c r="AA142" s="2">
        <v>0</v>
      </c>
      <c r="AB142" s="2">
        <v>0</v>
      </c>
      <c r="AC142" s="2">
        <v>0</v>
      </c>
      <c r="AD142" s="2">
        <v>195524.5696925246</v>
      </c>
      <c r="AE142" s="2">
        <v>2150770.266617774</v>
      </c>
      <c r="AF142" s="2">
        <f>F142-H142-L142-U142-AA142-AC142-AD142</f>
        <v>5212411.848122198</v>
      </c>
      <c r="AG142" s="2">
        <f>F142-H142-L142-U142-AA142-AB142-AD142-Y142</f>
        <v>5212411.848122198</v>
      </c>
      <c r="AH142" s="2">
        <f>AH141+AG142</f>
        <v>29801274.750458952</v>
      </c>
      <c r="AI142" s="2">
        <v>45089072.42626977</v>
      </c>
      <c r="AJ142" s="2">
        <f>AH142-AI142</f>
        <v>-15287797.675810818</v>
      </c>
      <c r="AK142" s="3">
        <v>0.25</v>
      </c>
    </row>
    <row r="143" spans="1:37">
      <c r="A143" s="2">
        <v>142</v>
      </c>
      <c r="B143" s="2">
        <v>2038</v>
      </c>
      <c r="C143" s="2">
        <v>101</v>
      </c>
      <c r="D143" s="2">
        <v>484468.0124148488</v>
      </c>
      <c r="E143" s="2">
        <v>48931269.25389973</v>
      </c>
      <c r="F143" s="2">
        <f>E143/1.19</f>
        <v>41118713.65873927</v>
      </c>
      <c r="G143" s="2">
        <v>130</v>
      </c>
      <c r="H143" s="2">
        <v>13539952.23657383</v>
      </c>
      <c r="I143" s="2">
        <v>243</v>
      </c>
      <c r="J143" s="2">
        <v>25303873.21324135</v>
      </c>
      <c r="K143" s="2">
        <v>10517247.71414558</v>
      </c>
      <c r="L143" s="2">
        <v>4126789.005485647</v>
      </c>
      <c r="M143" s="2">
        <v>8502656.550924908</v>
      </c>
      <c r="N143" s="3">
        <v>1</v>
      </c>
      <c r="O143" s="3">
        <v>2</v>
      </c>
      <c r="P143" s="2">
        <v>249162.0967304003</v>
      </c>
      <c r="Q143" s="2">
        <v>642768.9978708965</v>
      </c>
      <c r="R143" s="2">
        <v>346058.4676811115</v>
      </c>
      <c r="S143" s="2">
        <v>387585.4838028449</v>
      </c>
      <c r="T143" s="2">
        <v>4138859.273466093</v>
      </c>
      <c r="U143" s="2">
        <f>M143+P143+Q143+R143+S143+T143</f>
        <v>14267090.870476255</v>
      </c>
      <c r="V143" s="2">
        <f>F143-K143-L143-U143</f>
        <v>12207586.068631789</v>
      </c>
      <c r="W143" s="2">
        <v>0</v>
      </c>
      <c r="X143" s="2">
        <v>0</v>
      </c>
      <c r="Y143" s="2">
        <f>W143+X143</f>
        <v>0</v>
      </c>
      <c r="Z143" s="2">
        <v>3.434251993894577E-09</v>
      </c>
      <c r="AA143" s="2">
        <v>0</v>
      </c>
      <c r="AB143" s="2">
        <v>0</v>
      </c>
      <c r="AC143" s="2">
        <v>0</v>
      </c>
      <c r="AD143" s="2">
        <v>391049.1393850502</v>
      </c>
      <c r="AE143" s="2">
        <v>2541819.406002824</v>
      </c>
      <c r="AF143" s="2">
        <f>F143-H143-L143-U143-AA143-AC143-AD143</f>
        <v>8793832.406818487</v>
      </c>
      <c r="AG143" s="2">
        <f>F143-H143-L143-U143-AA143-AB143-AD143-Y143</f>
        <v>8793832.406818487</v>
      </c>
      <c r="AH143" s="2">
        <f>AH142+AG143</f>
        <v>38595107.157277435</v>
      </c>
      <c r="AI143" s="2">
        <v>45089072.42626977</v>
      </c>
      <c r="AJ143" s="2">
        <f>AH143-AI143</f>
        <v>-6493965.268992335</v>
      </c>
      <c r="AK143" s="3">
        <v>0.25</v>
      </c>
    </row>
    <row r="144" spans="1:37">
      <c r="A144" s="2">
        <v>143</v>
      </c>
      <c r="B144" s="2">
        <v>2038</v>
      </c>
      <c r="C144" s="2">
        <v>109</v>
      </c>
      <c r="D144" s="2">
        <v>484468.0124148488</v>
      </c>
      <c r="E144" s="2">
        <v>52807013.35321853</v>
      </c>
      <c r="F144" s="2">
        <f>E144/1.19</f>
        <v>44375641.47329288</v>
      </c>
      <c r="G144" s="2">
        <v>20</v>
      </c>
      <c r="H144" s="2">
        <v>2083069.574857513</v>
      </c>
      <c r="I144" s="2">
        <v>154</v>
      </c>
      <c r="J144" s="2">
        <v>16036460.7960731</v>
      </c>
      <c r="K144" s="2">
        <v>11350481.99202576</v>
      </c>
      <c r="L144" s="2">
        <v>4453678.178476775</v>
      </c>
      <c r="M144" s="2">
        <v>8502656.550924908</v>
      </c>
      <c r="N144" s="3">
        <v>1</v>
      </c>
      <c r="O144" s="3">
        <v>2</v>
      </c>
      <c r="P144" s="2">
        <v>249162.0967304003</v>
      </c>
      <c r="Q144" s="2">
        <v>642768.9978708965</v>
      </c>
      <c r="R144" s="2">
        <v>346058.4676811115</v>
      </c>
      <c r="S144" s="2">
        <v>387585.4838028449</v>
      </c>
      <c r="T144" s="2">
        <v>4138859.273466093</v>
      </c>
      <c r="U144" s="2">
        <f>M144+P144+Q144+R144+S144+T144</f>
        <v>14267090.870476255</v>
      </c>
      <c r="V144" s="2">
        <f>F144-K144-L144-U144</f>
        <v>14304390.432314089</v>
      </c>
      <c r="W144" s="2">
        <v>0</v>
      </c>
      <c r="X144" s="2">
        <v>0</v>
      </c>
      <c r="Y144" s="2">
        <f>W144+X144</f>
        <v>0</v>
      </c>
      <c r="Z144" s="2">
        <v>3.434251993894577E-09</v>
      </c>
      <c r="AA144" s="2">
        <v>0</v>
      </c>
      <c r="AB144" s="2">
        <v>0</v>
      </c>
      <c r="AC144" s="2">
        <v>0</v>
      </c>
      <c r="AD144" s="2">
        <v>-2150770.266617774</v>
      </c>
      <c r="AE144" s="2">
        <v>391049.1393850499</v>
      </c>
      <c r="AF144" s="2">
        <f>F144-H144-L144-U144-AA144-AC144-AD144</f>
        <v>25722573.116100118</v>
      </c>
      <c r="AG144" s="2">
        <f>F144-H144-L144-U144-AA144-AB144-AD144-Y144</f>
        <v>25722573.116100118</v>
      </c>
      <c r="AH144" s="2">
        <f>AH143+AG144</f>
        <v>64317680.27337755</v>
      </c>
      <c r="AI144" s="2">
        <v>45089072.42626977</v>
      </c>
      <c r="AJ144" s="2">
        <f>AH144-AI144</f>
        <v>19228607.847107783</v>
      </c>
      <c r="AK144" s="3">
        <v>0.25</v>
      </c>
    </row>
    <row r="145" spans="1:37">
      <c r="A145" s="2">
        <v>144</v>
      </c>
      <c r="B145" s="2">
        <v>2038</v>
      </c>
      <c r="C145" s="2">
        <v>132</v>
      </c>
      <c r="D145" s="2">
        <v>484468.0124148488</v>
      </c>
      <c r="E145" s="2">
        <v>63949777.63876005</v>
      </c>
      <c r="F145" s="2">
        <f>E145/1.19</f>
        <v>53739308.940134495</v>
      </c>
      <c r="G145" s="2">
        <v>20</v>
      </c>
      <c r="H145" s="2">
        <v>2083069.574857513</v>
      </c>
      <c r="I145" s="2">
        <v>42</v>
      </c>
      <c r="J145" s="2">
        <v>4373679.744707387</v>
      </c>
      <c r="K145" s="2">
        <v>13745850.62622322</v>
      </c>
      <c r="L145" s="2">
        <v>5393470.157649621</v>
      </c>
      <c r="M145" s="2">
        <v>8502656.550924908</v>
      </c>
      <c r="N145" s="3">
        <v>1</v>
      </c>
      <c r="O145" s="3">
        <v>2</v>
      </c>
      <c r="P145" s="2">
        <v>249162.0967304003</v>
      </c>
      <c r="Q145" s="2">
        <v>642768.9978708965</v>
      </c>
      <c r="R145" s="2">
        <v>346058.4676811115</v>
      </c>
      <c r="S145" s="2">
        <v>387585.4838028449</v>
      </c>
      <c r="T145" s="2">
        <v>4138859.273466093</v>
      </c>
      <c r="U145" s="2">
        <f>M145+P145+Q145+R145+S145+T145</f>
        <v>14267090.870476255</v>
      </c>
      <c r="V145" s="2">
        <f>F145-K145-L145-U145</f>
        <v>20332897.2857854</v>
      </c>
      <c r="W145" s="2">
        <v>0</v>
      </c>
      <c r="X145" s="2">
        <v>0</v>
      </c>
      <c r="Y145" s="2">
        <f>W145+X145</f>
        <v>0</v>
      </c>
      <c r="Z145" s="2">
        <v>3.434251993894577E-09</v>
      </c>
      <c r="AA145" s="2">
        <v>0</v>
      </c>
      <c r="AB145" s="2">
        <v>8036177.60084633</v>
      </c>
      <c r="AC145" s="2">
        <v>8036177.60084633</v>
      </c>
      <c r="AD145" s="2">
        <v>0</v>
      </c>
      <c r="AE145" s="2">
        <v>391049.1393850499</v>
      </c>
      <c r="AF145" s="2">
        <f>F145-H145-L145-U145-AA145-AC145-AD145</f>
        <v>23959500.736304782</v>
      </c>
      <c r="AG145" s="2">
        <f>F145-H145-L145-U145-AA145-AB145-AD145-Y145</f>
        <v>23959500.736304782</v>
      </c>
      <c r="AH145" s="2">
        <f>AH144+AG145</f>
        <v>88277181.00968233</v>
      </c>
      <c r="AI145" s="2">
        <v>45089072.42626977</v>
      </c>
      <c r="AJ145" s="2">
        <f>AH145-AI145</f>
        <v>43188108.58341256</v>
      </c>
      <c r="AK145" s="3">
        <v>0.25</v>
      </c>
    </row>
    <row r="146" spans="1:37">
      <c r="A146" s="2">
        <v>145</v>
      </c>
      <c r="B146" s="2">
        <v>2039</v>
      </c>
      <c r="C146" s="2">
        <v>16</v>
      </c>
      <c r="D146" s="2">
        <v>499002.0527872943</v>
      </c>
      <c r="E146" s="2">
        <v>7984032.844596709</v>
      </c>
      <c r="F146" s="2">
        <f>E146/1.19</f>
        <v>6709271.297980428</v>
      </c>
      <c r="G146" s="2">
        <v>40</v>
      </c>
      <c r="H146" s="2">
        <v>4291123.324206476</v>
      </c>
      <c r="I146" s="2">
        <v>66</v>
      </c>
      <c r="J146" s="2">
        <v>6974109.787174573</v>
      </c>
      <c r="K146" s="2">
        <v>1690693.28173929</v>
      </c>
      <c r="L146" s="2">
        <v>671330.149906212</v>
      </c>
      <c r="M146" s="2">
        <v>8757736.247452656</v>
      </c>
      <c r="N146" s="3">
        <v>1</v>
      </c>
      <c r="O146" s="3">
        <v>2</v>
      </c>
      <c r="P146" s="2">
        <v>256636.9596323123</v>
      </c>
      <c r="Q146" s="2">
        <v>684507.8017748507</v>
      </c>
      <c r="R146" s="2">
        <v>356440.2217115448</v>
      </c>
      <c r="S146" s="2">
        <v>399213.0483169302</v>
      </c>
      <c r="T146" s="2">
        <v>4476889.184697003</v>
      </c>
      <c r="U146" s="2">
        <f>M146+P146+Q146+R146+S146+T146</f>
        <v>14931423.463585295</v>
      </c>
      <c r="V146" s="2">
        <f>F146-K146-L146-U146</f>
        <v>-10584175.597250368</v>
      </c>
      <c r="W146" s="2">
        <v>0</v>
      </c>
      <c r="X146" s="2">
        <v>0</v>
      </c>
      <c r="Y146" s="2">
        <f>W146+X146</f>
        <v>0</v>
      </c>
      <c r="Z146" s="2">
        <v>3.434251993894577E-09</v>
      </c>
      <c r="AA146" s="2">
        <v>2138641.330269269</v>
      </c>
      <c r="AB146" s="2">
        <v>0</v>
      </c>
      <c r="AC146" s="2">
        <v>0</v>
      </c>
      <c r="AD146" s="2">
        <v>414512.0877481527</v>
      </c>
      <c r="AE146" s="2">
        <v>805561.2271332026</v>
      </c>
      <c r="AF146" s="2">
        <f>F146-H146-L146-U146-AA146-AC146-AD146</f>
        <v>-15737759.057734977</v>
      </c>
      <c r="AG146" s="2">
        <f>F146-H146-L146-U146-AA146-AB146-AD146-Y146</f>
        <v>-15737759.057734977</v>
      </c>
      <c r="AH146" s="2">
        <f>AH145+AG146</f>
        <v>72539421.95194735</v>
      </c>
      <c r="AI146" s="2">
        <v>47082070.20559689</v>
      </c>
      <c r="AJ146" s="2">
        <f>AH146-AI146</f>
        <v>25457351.74635046</v>
      </c>
      <c r="AK146" s="3">
        <v>0.25</v>
      </c>
    </row>
    <row r="147" spans="1:37">
      <c r="A147" s="2">
        <v>146</v>
      </c>
      <c r="B147" s="2">
        <v>2039</v>
      </c>
      <c r="C147" s="2">
        <v>24</v>
      </c>
      <c r="D147" s="2">
        <v>499002.0527872943</v>
      </c>
      <c r="E147" s="2">
        <v>11976049.26689506</v>
      </c>
      <c r="F147" s="2">
        <f>E147/1.19</f>
        <v>10063906.946970642</v>
      </c>
      <c r="G147" s="2">
        <v>40</v>
      </c>
      <c r="H147" s="2">
        <v>4291123.324206476</v>
      </c>
      <c r="I147" s="2">
        <v>82</v>
      </c>
      <c r="J147" s="2">
        <v>8714614.293709869</v>
      </c>
      <c r="K147" s="2">
        <v>2550618.817671181</v>
      </c>
      <c r="L147" s="2">
        <v>1008161.536464297</v>
      </c>
      <c r="M147" s="2">
        <v>8757736.247452656</v>
      </c>
      <c r="N147" s="3">
        <v>1</v>
      </c>
      <c r="O147" s="3">
        <v>2</v>
      </c>
      <c r="P147" s="2">
        <v>256636.9596323123</v>
      </c>
      <c r="Q147" s="2">
        <v>684507.8017748507</v>
      </c>
      <c r="R147" s="2">
        <v>356440.2217115448</v>
      </c>
      <c r="S147" s="2">
        <v>399213.0483169302</v>
      </c>
      <c r="T147" s="2">
        <v>4476889.184697003</v>
      </c>
      <c r="U147" s="2">
        <f>M147+P147+Q147+R147+S147+T147</f>
        <v>14931423.463585295</v>
      </c>
      <c r="V147" s="2">
        <f>F147-K147-L147-U147</f>
        <v>-8426296.870750133</v>
      </c>
      <c r="W147" s="2">
        <v>0</v>
      </c>
      <c r="X147" s="2">
        <v>0</v>
      </c>
      <c r="Y147" s="2">
        <f>W147+X147</f>
        <v>0</v>
      </c>
      <c r="Z147" s="2">
        <v>3.434251993894577E-09</v>
      </c>
      <c r="AA147" s="2">
        <v>0</v>
      </c>
      <c r="AB147" s="2">
        <v>0</v>
      </c>
      <c r="AC147" s="2">
        <v>0</v>
      </c>
      <c r="AD147" s="2">
        <v>0</v>
      </c>
      <c r="AE147" s="2">
        <v>805561.2271332026</v>
      </c>
      <c r="AF147" s="2">
        <f>F147-H147-L147-U147-AA147-AC147-AD147</f>
        <v>-10166801.377285426</v>
      </c>
      <c r="AG147" s="2">
        <f>F147-H147-L147-U147-AA147-AB147-AD147-Y147</f>
        <v>-10166801.377285426</v>
      </c>
      <c r="AH147" s="2">
        <f>AH146+AG147</f>
        <v>62372620.57466192</v>
      </c>
      <c r="AI147" s="2">
        <v>47082070.20559689</v>
      </c>
      <c r="AJ147" s="2">
        <f>AH147-AI147</f>
        <v>15290550.369065031</v>
      </c>
      <c r="AK147" s="3">
        <v>0.25</v>
      </c>
    </row>
    <row r="148" spans="1:37">
      <c r="A148" s="2">
        <v>147</v>
      </c>
      <c r="B148" s="2">
        <v>2039</v>
      </c>
      <c r="C148" s="2">
        <v>33</v>
      </c>
      <c r="D148" s="2">
        <v>499002.0527872943</v>
      </c>
      <c r="E148" s="2">
        <v>16467067.74198071</v>
      </c>
      <c r="F148" s="2">
        <f>E148/1.19</f>
        <v>13837872.052084632</v>
      </c>
      <c r="G148" s="2">
        <v>50</v>
      </c>
      <c r="H148" s="2">
        <v>5363904.155258095</v>
      </c>
      <c r="I148" s="2">
        <v>99</v>
      </c>
      <c r="J148" s="2">
        <v>10558888.83672597</v>
      </c>
      <c r="K148" s="2">
        <v>3519629.612241991</v>
      </c>
      <c r="L148" s="2">
        <v>1387224.411673938</v>
      </c>
      <c r="M148" s="2">
        <v>8757736.247452656</v>
      </c>
      <c r="N148" s="3">
        <v>1</v>
      </c>
      <c r="O148" s="3">
        <v>2</v>
      </c>
      <c r="P148" s="2">
        <v>256636.9596323123</v>
      </c>
      <c r="Q148" s="2">
        <v>684507.8017748507</v>
      </c>
      <c r="R148" s="2">
        <v>356440.2217115448</v>
      </c>
      <c r="S148" s="2">
        <v>399213.0483169302</v>
      </c>
      <c r="T148" s="2">
        <v>4476889.184697003</v>
      </c>
      <c r="U148" s="2">
        <f>M148+P148+Q148+R148+S148+T148</f>
        <v>14931423.463585295</v>
      </c>
      <c r="V148" s="2">
        <f>F148-K148-L148-U148</f>
        <v>-6000405.435416592</v>
      </c>
      <c r="W148" s="2">
        <v>0</v>
      </c>
      <c r="X148" s="2">
        <v>0</v>
      </c>
      <c r="Y148" s="2">
        <f>W148+X148</f>
        <v>0</v>
      </c>
      <c r="Z148" s="2">
        <v>3.434251993894577E-09</v>
      </c>
      <c r="AA148" s="2">
        <v>0</v>
      </c>
      <c r="AB148" s="2">
        <v>0</v>
      </c>
      <c r="AC148" s="2">
        <v>0</v>
      </c>
      <c r="AD148" s="2">
        <v>201390.3067833006</v>
      </c>
      <c r="AE148" s="2">
        <v>1006951.533916503</v>
      </c>
      <c r="AF148" s="2">
        <f>F148-H148-L148-U148-AA148-AC148-AD148</f>
        <v>-8046070.285215997</v>
      </c>
      <c r="AG148" s="2">
        <f>F148-H148-L148-U148-AA148-AB148-AD148-Y148</f>
        <v>-8046070.285215997</v>
      </c>
      <c r="AH148" s="2">
        <f>AH147+AG148</f>
        <v>54326550.28944592</v>
      </c>
      <c r="AI148" s="2">
        <v>47082070.20559689</v>
      </c>
      <c r="AJ148" s="2">
        <f>AH148-AI148</f>
        <v>7244480.083849035</v>
      </c>
      <c r="AK148" s="3">
        <v>0.25</v>
      </c>
    </row>
    <row r="149" spans="1:37">
      <c r="A149" s="2">
        <v>148</v>
      </c>
      <c r="B149" s="2">
        <v>2039</v>
      </c>
      <c r="C149" s="2">
        <v>41</v>
      </c>
      <c r="D149" s="2">
        <v>499002.0527872943</v>
      </c>
      <c r="E149" s="2">
        <v>20459084.16427907</v>
      </c>
      <c r="F149" s="2">
        <f>E149/1.19</f>
        <v>17192507.701074846</v>
      </c>
      <c r="G149" s="2">
        <v>50</v>
      </c>
      <c r="H149" s="2">
        <v>5363904.155258095</v>
      </c>
      <c r="I149" s="2">
        <v>108</v>
      </c>
      <c r="J149" s="2">
        <v>11541353.30962604</v>
      </c>
      <c r="K149" s="2">
        <v>4381439.682358032</v>
      </c>
      <c r="L149" s="2">
        <v>1724206.560966756</v>
      </c>
      <c r="M149" s="2">
        <v>8757736.247452656</v>
      </c>
      <c r="N149" s="3">
        <v>1</v>
      </c>
      <c r="O149" s="3">
        <v>2</v>
      </c>
      <c r="P149" s="2">
        <v>256636.9596323123</v>
      </c>
      <c r="Q149" s="2">
        <v>684507.8017748507</v>
      </c>
      <c r="R149" s="2">
        <v>356440.2217115448</v>
      </c>
      <c r="S149" s="2">
        <v>399213.0483169302</v>
      </c>
      <c r="T149" s="2">
        <v>4476889.184697003</v>
      </c>
      <c r="U149" s="2">
        <f>M149+P149+Q149+R149+S149+T149</f>
        <v>14931423.463585295</v>
      </c>
      <c r="V149" s="2">
        <f>F149-K149-L149-U149</f>
        <v>-3844562.005835237</v>
      </c>
      <c r="W149" s="2">
        <v>0</v>
      </c>
      <c r="X149" s="2">
        <v>0</v>
      </c>
      <c r="Y149" s="2">
        <f>W149+X149</f>
        <v>0</v>
      </c>
      <c r="Z149" s="2">
        <v>3.434251993894577E-09</v>
      </c>
      <c r="AA149" s="2">
        <v>0</v>
      </c>
      <c r="AB149" s="2">
        <v>0</v>
      </c>
      <c r="AC149" s="2">
        <v>0</v>
      </c>
      <c r="AD149" s="2">
        <v>0</v>
      </c>
      <c r="AE149" s="2">
        <v>1006951.533916503</v>
      </c>
      <c r="AF149" s="2">
        <f>F149-H149-L149-U149-AA149-AC149-AD149</f>
        <v>-4827026.4787353</v>
      </c>
      <c r="AG149" s="2">
        <f>F149-H149-L149-U149-AA149-AB149-AD149-Y149</f>
        <v>-4827026.4787353</v>
      </c>
      <c r="AH149" s="2">
        <f>AH148+AG149</f>
        <v>49499523.810710624</v>
      </c>
      <c r="AI149" s="2">
        <v>47082070.20559689</v>
      </c>
      <c r="AJ149" s="2">
        <f>AH149-AI149</f>
        <v>2417453.6051137373</v>
      </c>
      <c r="AK149" s="3">
        <v>0.25</v>
      </c>
    </row>
    <row r="150" spans="1:37">
      <c r="A150" s="2">
        <v>149</v>
      </c>
      <c r="B150" s="2">
        <v>2039</v>
      </c>
      <c r="C150" s="2">
        <v>49</v>
      </c>
      <c r="D150" s="2">
        <v>499002.0527872943</v>
      </c>
      <c r="E150" s="2">
        <v>24451100.58657742</v>
      </c>
      <c r="F150" s="2">
        <f>E150/1.19</f>
        <v>20547143.35006506</v>
      </c>
      <c r="G150" s="2">
        <v>70</v>
      </c>
      <c r="H150" s="2">
        <v>7509465.817361334</v>
      </c>
      <c r="I150" s="2">
        <v>129</v>
      </c>
      <c r="J150" s="2">
        <v>13806492.51337849</v>
      </c>
      <c r="K150" s="2">
        <v>5244326.613608882</v>
      </c>
      <c r="L150" s="2">
        <v>2061274.859150358</v>
      </c>
      <c r="M150" s="2">
        <v>8757736.247452656</v>
      </c>
      <c r="N150" s="3">
        <v>1</v>
      </c>
      <c r="O150" s="3">
        <v>2</v>
      </c>
      <c r="P150" s="2">
        <v>256636.9596323123</v>
      </c>
      <c r="Q150" s="2">
        <v>684507.8017748507</v>
      </c>
      <c r="R150" s="2">
        <v>356440.2217115448</v>
      </c>
      <c r="S150" s="2">
        <v>399213.0483169302</v>
      </c>
      <c r="T150" s="2">
        <v>4476889.184697003</v>
      </c>
      <c r="U150" s="2">
        <f>M150+P150+Q150+R150+S150+T150</f>
        <v>14931423.463585295</v>
      </c>
      <c r="V150" s="2">
        <f>F150-K150-L150-U150</f>
        <v>-1689881.5862794742</v>
      </c>
      <c r="W150" s="2">
        <v>0</v>
      </c>
      <c r="X150" s="2">
        <v>0</v>
      </c>
      <c r="Y150" s="2">
        <f>W150+X150</f>
        <v>0</v>
      </c>
      <c r="Z150" s="2">
        <v>3.434251993894577E-09</v>
      </c>
      <c r="AA150" s="2">
        <v>0</v>
      </c>
      <c r="AB150" s="2">
        <v>0</v>
      </c>
      <c r="AC150" s="2">
        <v>0</v>
      </c>
      <c r="AD150" s="2">
        <v>402780.6135666016</v>
      </c>
      <c r="AE150" s="2">
        <v>1409732.147483105</v>
      </c>
      <c r="AF150" s="2">
        <f>F150-H150-L150-U150-AA150-AC150-AD150</f>
        <v>-4357801.403598528</v>
      </c>
      <c r="AG150" s="2">
        <f>F150-H150-L150-U150-AA150-AB150-AD150-Y150</f>
        <v>-4357801.403598528</v>
      </c>
      <c r="AH150" s="2">
        <f>AH149+AG150</f>
        <v>45141722.40711209</v>
      </c>
      <c r="AI150" s="2">
        <v>47082070.20559689</v>
      </c>
      <c r="AJ150" s="2">
        <f>AH150-AI150</f>
        <v>-1940347.7984847948</v>
      </c>
      <c r="AK150" s="3">
        <v>0.25</v>
      </c>
    </row>
    <row r="151" spans="1:37">
      <c r="A151" s="2">
        <v>150</v>
      </c>
      <c r="B151" s="2">
        <v>2039</v>
      </c>
      <c r="C151" s="2">
        <v>57</v>
      </c>
      <c r="D151" s="2">
        <v>499002.0527872943</v>
      </c>
      <c r="E151" s="2">
        <v>28443117.00887578</v>
      </c>
      <c r="F151" s="2">
        <f>E151/1.19</f>
        <v>23901778.999055274</v>
      </c>
      <c r="G151" s="2">
        <v>80</v>
      </c>
      <c r="H151" s="2">
        <v>8582246.648412952</v>
      </c>
      <c r="I151" s="2">
        <v>152</v>
      </c>
      <c r="J151" s="2">
        <v>16282719.39039377</v>
      </c>
      <c r="K151" s="2">
        <v>6106019.771397666</v>
      </c>
      <c r="L151" s="2">
        <v>2398247.655456996</v>
      </c>
      <c r="M151" s="2">
        <v>8757736.247452656</v>
      </c>
      <c r="N151" s="3">
        <v>1</v>
      </c>
      <c r="O151" s="3">
        <v>2</v>
      </c>
      <c r="P151" s="2">
        <v>256636.9596323123</v>
      </c>
      <c r="Q151" s="2">
        <v>684507.8017748507</v>
      </c>
      <c r="R151" s="2">
        <v>356440.2217115448</v>
      </c>
      <c r="S151" s="2">
        <v>399213.0483169302</v>
      </c>
      <c r="T151" s="2">
        <v>4476889.184697003</v>
      </c>
      <c r="U151" s="2">
        <f>M151+P151+Q151+R151+S151+T151</f>
        <v>14931423.463585295</v>
      </c>
      <c r="V151" s="2">
        <f>F151-K151-L151-U151</f>
        <v>466088.1086153183</v>
      </c>
      <c r="W151" s="2">
        <v>0</v>
      </c>
      <c r="X151" s="2">
        <v>0</v>
      </c>
      <c r="Y151" s="2">
        <f>W151+X151</f>
        <v>0</v>
      </c>
      <c r="Z151" s="2">
        <v>3.434251993894577E-09</v>
      </c>
      <c r="AA151" s="2">
        <v>0</v>
      </c>
      <c r="AB151" s="2">
        <v>0</v>
      </c>
      <c r="AC151" s="2">
        <v>0</v>
      </c>
      <c r="AD151" s="2">
        <v>201390.3067833004</v>
      </c>
      <c r="AE151" s="2">
        <v>1611122.454266405</v>
      </c>
      <c r="AF151" s="2">
        <f>F151-H151-L151-U151-AA151-AC151-AD151</f>
        <v>-2211529.075183269</v>
      </c>
      <c r="AG151" s="2">
        <f>F151-H151-L151-U151-AA151-AB151-AD151-Y151</f>
        <v>-2211529.075183269</v>
      </c>
      <c r="AH151" s="2">
        <f>AH150+AG151</f>
        <v>42930193.33192882</v>
      </c>
      <c r="AI151" s="2">
        <v>47082070.20559689</v>
      </c>
      <c r="AJ151" s="2">
        <f>AH151-AI151</f>
        <v>-4151876.873668067</v>
      </c>
      <c r="AK151" s="3">
        <v>0.25</v>
      </c>
    </row>
    <row r="152" spans="1:37">
      <c r="A152" s="2">
        <v>151</v>
      </c>
      <c r="B152" s="2">
        <v>2039</v>
      </c>
      <c r="C152" s="2">
        <v>65</v>
      </c>
      <c r="D152" s="2">
        <v>499002.0527872943</v>
      </c>
      <c r="E152" s="2">
        <v>32435133.43117413</v>
      </c>
      <c r="F152" s="2">
        <f>E152/1.19</f>
        <v>27256414.648045488</v>
      </c>
      <c r="G152" s="2">
        <v>90</v>
      </c>
      <c r="H152" s="2">
        <v>9655027.47946457</v>
      </c>
      <c r="I152" s="2">
        <v>177</v>
      </c>
      <c r="J152" s="2">
        <v>18970996.67754102</v>
      </c>
      <c r="K152" s="2">
        <v>6966750.192317325</v>
      </c>
      <c r="L152" s="2">
        <v>2735143.432814103</v>
      </c>
      <c r="M152" s="2">
        <v>8757736.247452656</v>
      </c>
      <c r="N152" s="3">
        <v>1</v>
      </c>
      <c r="O152" s="3">
        <v>2</v>
      </c>
      <c r="P152" s="2">
        <v>256636.9596323123</v>
      </c>
      <c r="Q152" s="2">
        <v>684507.8017748507</v>
      </c>
      <c r="R152" s="2">
        <v>356440.2217115448</v>
      </c>
      <c r="S152" s="2">
        <v>399213.0483169302</v>
      </c>
      <c r="T152" s="2">
        <v>4476889.184697003</v>
      </c>
      <c r="U152" s="2">
        <f>M152+P152+Q152+R152+S152+T152</f>
        <v>14931423.463585295</v>
      </c>
      <c r="V152" s="2">
        <f>F152-K152-L152-U152</f>
        <v>2623097.5593287647</v>
      </c>
      <c r="W152" s="2">
        <v>0</v>
      </c>
      <c r="X152" s="2">
        <v>0</v>
      </c>
      <c r="Y152" s="2">
        <f>W152+X152</f>
        <v>0</v>
      </c>
      <c r="Z152" s="2">
        <v>3.434251993894577E-09</v>
      </c>
      <c r="AA152" s="2">
        <v>0</v>
      </c>
      <c r="AB152" s="2">
        <v>0</v>
      </c>
      <c r="AC152" s="2">
        <v>0</v>
      </c>
      <c r="AD152" s="2">
        <v>201390.3067833006</v>
      </c>
      <c r="AE152" s="2">
        <v>1812512.761049706</v>
      </c>
      <c r="AF152" s="2">
        <f>F152-H152-L152-U152-AA152-AC152-AD152</f>
        <v>-266570.0346017785</v>
      </c>
      <c r="AG152" s="2">
        <f>F152-H152-L152-U152-AA152-AB152-AD152-Y152</f>
        <v>-266570.0346017785</v>
      </c>
      <c r="AH152" s="2">
        <f>AH151+AG152</f>
        <v>42663623.29732704</v>
      </c>
      <c r="AI152" s="2">
        <v>47082070.20559689</v>
      </c>
      <c r="AJ152" s="2">
        <f>AH152-AI152</f>
        <v>-4418446.908269845</v>
      </c>
      <c r="AK152" s="3">
        <v>0.25</v>
      </c>
    </row>
    <row r="153" spans="1:37">
      <c r="A153" s="2">
        <v>152</v>
      </c>
      <c r="B153" s="2">
        <v>2039</v>
      </c>
      <c r="C153" s="2">
        <v>82</v>
      </c>
      <c r="D153" s="2">
        <v>499002.0527872943</v>
      </c>
      <c r="E153" s="2">
        <v>40918168.32855813</v>
      </c>
      <c r="F153" s="2">
        <f>E153/1.19</f>
        <v>34385015.40214969</v>
      </c>
      <c r="G153" s="2">
        <v>110</v>
      </c>
      <c r="H153" s="2">
        <v>11800589.14156781</v>
      </c>
      <c r="I153" s="2">
        <v>205</v>
      </c>
      <c r="J153" s="2">
        <v>21979704.15650631</v>
      </c>
      <c r="K153" s="2">
        <v>8791881.662602523</v>
      </c>
      <c r="L153" s="2">
        <v>3450733.305764429</v>
      </c>
      <c r="M153" s="2">
        <v>8757736.247452656</v>
      </c>
      <c r="N153" s="3">
        <v>1</v>
      </c>
      <c r="O153" s="3">
        <v>2</v>
      </c>
      <c r="P153" s="2">
        <v>256636.9596323123</v>
      </c>
      <c r="Q153" s="2">
        <v>684507.8017748507</v>
      </c>
      <c r="R153" s="2">
        <v>356440.2217115448</v>
      </c>
      <c r="S153" s="2">
        <v>399213.0483169302</v>
      </c>
      <c r="T153" s="2">
        <v>4476889.184697003</v>
      </c>
      <c r="U153" s="2">
        <f>M153+P153+Q153+R153+S153+T153</f>
        <v>14931423.463585295</v>
      </c>
      <c r="V153" s="2">
        <f>F153-K153-L153-U153</f>
        <v>7210976.970197447</v>
      </c>
      <c r="W153" s="2">
        <v>0</v>
      </c>
      <c r="X153" s="2">
        <v>0</v>
      </c>
      <c r="Y153" s="2">
        <f>W153+X153</f>
        <v>0</v>
      </c>
      <c r="Z153" s="2">
        <v>3.434251993894577E-09</v>
      </c>
      <c r="AA153" s="2">
        <v>0</v>
      </c>
      <c r="AB153" s="2">
        <v>0</v>
      </c>
      <c r="AC153" s="2">
        <v>0</v>
      </c>
      <c r="AD153" s="2">
        <v>402780.6135666014</v>
      </c>
      <c r="AE153" s="2">
        <v>2215293.374616307</v>
      </c>
      <c r="AF153" s="2">
        <f>F153-H153-L153-U153-AA153-AC153-AD153</f>
        <v>3799488.877665555</v>
      </c>
      <c r="AG153" s="2">
        <f>F153-H153-L153-U153-AA153-AB153-AD153-Y153</f>
        <v>3799488.877665555</v>
      </c>
      <c r="AH153" s="2">
        <f>AH152+AG153</f>
        <v>46463112.1749926</v>
      </c>
      <c r="AI153" s="2">
        <v>47082070.20559689</v>
      </c>
      <c r="AJ153" s="2">
        <f>AH153-AI153</f>
        <v>-618958.030604288</v>
      </c>
      <c r="AK153" s="3">
        <v>0.25</v>
      </c>
    </row>
    <row r="154" spans="1:37">
      <c r="A154" s="2">
        <v>153</v>
      </c>
      <c r="B154" s="2">
        <v>2039</v>
      </c>
      <c r="C154" s="2">
        <v>90</v>
      </c>
      <c r="D154" s="2">
        <v>499002.0527872943</v>
      </c>
      <c r="E154" s="2">
        <v>44910184.75085649</v>
      </c>
      <c r="F154" s="2">
        <f>E154/1.19</f>
        <v>37739651.051139906</v>
      </c>
      <c r="G154" s="2">
        <v>110</v>
      </c>
      <c r="H154" s="2">
        <v>11800589.14156781</v>
      </c>
      <c r="I154" s="2">
        <v>225</v>
      </c>
      <c r="J154" s="2">
        <v>24128780.92719579</v>
      </c>
      <c r="K154" s="2">
        <v>9651512.37087832</v>
      </c>
      <c r="L154" s="2">
        <v>3787541.106110027</v>
      </c>
      <c r="M154" s="2">
        <v>8757736.247452656</v>
      </c>
      <c r="N154" s="3">
        <v>1</v>
      </c>
      <c r="O154" s="3">
        <v>2</v>
      </c>
      <c r="P154" s="2">
        <v>256636.9596323123</v>
      </c>
      <c r="Q154" s="2">
        <v>684507.8017748507</v>
      </c>
      <c r="R154" s="2">
        <v>356440.2217115448</v>
      </c>
      <c r="S154" s="2">
        <v>399213.0483169302</v>
      </c>
      <c r="T154" s="2">
        <v>4476889.184697003</v>
      </c>
      <c r="U154" s="2">
        <f>M154+P154+Q154+R154+S154+T154</f>
        <v>14931423.463585295</v>
      </c>
      <c r="V154" s="2">
        <f>F154-K154-L154-U154</f>
        <v>9369174.110566266</v>
      </c>
      <c r="W154" s="2">
        <v>0</v>
      </c>
      <c r="X154" s="2">
        <v>0</v>
      </c>
      <c r="Y154" s="2">
        <f>W154+X154</f>
        <v>0</v>
      </c>
      <c r="Z154" s="2">
        <v>3.434251993894577E-09</v>
      </c>
      <c r="AA154" s="2">
        <v>0</v>
      </c>
      <c r="AB154" s="2">
        <v>0</v>
      </c>
      <c r="AC154" s="2">
        <v>0</v>
      </c>
      <c r="AD154" s="2">
        <v>0</v>
      </c>
      <c r="AE154" s="2">
        <v>2215293.374616307</v>
      </c>
      <c r="AF154" s="2">
        <f>F154-H154-L154-U154-AA154-AC154-AD154</f>
        <v>7220097.339876775</v>
      </c>
      <c r="AG154" s="2">
        <f>F154-H154-L154-U154-AA154-AB154-AD154-Y154</f>
        <v>7220097.339876775</v>
      </c>
      <c r="AH154" s="2">
        <f>AH153+AG154</f>
        <v>53683209.51486938</v>
      </c>
      <c r="AI154" s="2">
        <v>47082070.20559689</v>
      </c>
      <c r="AJ154" s="2">
        <f>AH154-AI154</f>
        <v>6601139.30927249</v>
      </c>
      <c r="AK154" s="3">
        <v>0.25</v>
      </c>
    </row>
    <row r="155" spans="1:37">
      <c r="A155" s="2">
        <v>154</v>
      </c>
      <c r="B155" s="2">
        <v>2039</v>
      </c>
      <c r="C155" s="2">
        <v>106</v>
      </c>
      <c r="D155" s="2">
        <v>499002.0527872943</v>
      </c>
      <c r="E155" s="2">
        <v>52894217.5954532</v>
      </c>
      <c r="F155" s="2">
        <f>E155/1.19</f>
        <v>44448922.349120334</v>
      </c>
      <c r="G155" s="2">
        <v>140</v>
      </c>
      <c r="H155" s="2">
        <v>15018931.63472267</v>
      </c>
      <c r="I155" s="2">
        <v>259</v>
      </c>
      <c r="J155" s="2">
        <v>27778787.81790926</v>
      </c>
      <c r="K155" s="2">
        <v>11368924.7440092</v>
      </c>
      <c r="L155" s="2">
        <v>4461008.783327566</v>
      </c>
      <c r="M155" s="2">
        <v>8757736.247452656</v>
      </c>
      <c r="N155" s="3">
        <v>1</v>
      </c>
      <c r="O155" s="3">
        <v>2</v>
      </c>
      <c r="P155" s="2">
        <v>256636.9596323123</v>
      </c>
      <c r="Q155" s="2">
        <v>684507.8017748507</v>
      </c>
      <c r="R155" s="2">
        <v>356440.2217115448</v>
      </c>
      <c r="S155" s="2">
        <v>399213.0483169302</v>
      </c>
      <c r="T155" s="2">
        <v>4476889.184697003</v>
      </c>
      <c r="U155" s="2">
        <f>M155+P155+Q155+R155+S155+T155</f>
        <v>14931423.463585295</v>
      </c>
      <c r="V155" s="2">
        <f>F155-K155-L155-U155</f>
        <v>13687565.358198278</v>
      </c>
      <c r="W155" s="2">
        <v>0</v>
      </c>
      <c r="X155" s="2">
        <v>0</v>
      </c>
      <c r="Y155" s="2">
        <f>W155+X155</f>
        <v>0</v>
      </c>
      <c r="Z155" s="2">
        <v>3.434251993894577E-09</v>
      </c>
      <c r="AA155" s="2">
        <v>0</v>
      </c>
      <c r="AB155" s="2">
        <v>0</v>
      </c>
      <c r="AC155" s="2">
        <v>0</v>
      </c>
      <c r="AD155" s="2">
        <v>604170.9203499025</v>
      </c>
      <c r="AE155" s="2">
        <v>2819464.29496621</v>
      </c>
      <c r="AF155" s="2">
        <f>F155-H155-L155-U155-AA155-AC155-AD155</f>
        <v>9433387.547134902</v>
      </c>
      <c r="AG155" s="2">
        <f>F155-H155-L155-U155-AA155-AB155-AD155-Y155</f>
        <v>9433387.547134902</v>
      </c>
      <c r="AH155" s="2">
        <f>AH154+AG155</f>
        <v>63116597.06200428</v>
      </c>
      <c r="AI155" s="2">
        <v>47082070.20559689</v>
      </c>
      <c r="AJ155" s="2">
        <f>AH155-AI155</f>
        <v>16034526.856407396</v>
      </c>
      <c r="AK155" s="3">
        <v>0.25</v>
      </c>
    </row>
    <row r="156" spans="1:37">
      <c r="A156" s="2">
        <v>155</v>
      </c>
      <c r="B156" s="2">
        <v>2039</v>
      </c>
      <c r="C156" s="2">
        <v>114</v>
      </c>
      <c r="D156" s="2">
        <v>499002.0527872943</v>
      </c>
      <c r="E156" s="2">
        <v>56886234.01775155</v>
      </c>
      <c r="F156" s="2">
        <f>E156/1.19</f>
        <v>47803557.99811055</v>
      </c>
      <c r="G156" s="2">
        <v>20</v>
      </c>
      <c r="H156" s="2">
        <v>2145561.662103238</v>
      </c>
      <c r="I156" s="2">
        <v>165</v>
      </c>
      <c r="J156" s="2">
        <v>17697195.92903965</v>
      </c>
      <c r="K156" s="2">
        <v>12227153.55097285</v>
      </c>
      <c r="L156" s="2">
        <v>4797704.431568192</v>
      </c>
      <c r="M156" s="2">
        <v>8757736.247452656</v>
      </c>
      <c r="N156" s="3">
        <v>1</v>
      </c>
      <c r="O156" s="3">
        <v>2</v>
      </c>
      <c r="P156" s="2">
        <v>256636.9596323123</v>
      </c>
      <c r="Q156" s="2">
        <v>684507.8017748507</v>
      </c>
      <c r="R156" s="2">
        <v>356440.2217115448</v>
      </c>
      <c r="S156" s="2">
        <v>399213.0483169302</v>
      </c>
      <c r="T156" s="2">
        <v>4476889.184697003</v>
      </c>
      <c r="U156" s="2">
        <f>M156+P156+Q156+R156+S156+T156</f>
        <v>14931423.463585295</v>
      </c>
      <c r="V156" s="2">
        <f>F156-K156-L156-U156</f>
        <v>15847276.551984213</v>
      </c>
      <c r="W156" s="2">
        <v>0</v>
      </c>
      <c r="X156" s="2">
        <v>0</v>
      </c>
      <c r="Y156" s="2">
        <f>W156+X156</f>
        <v>0</v>
      </c>
      <c r="Z156" s="2">
        <v>3.434251993894577E-09</v>
      </c>
      <c r="AA156" s="2">
        <v>0</v>
      </c>
      <c r="AB156" s="2">
        <v>0</v>
      </c>
      <c r="AC156" s="2">
        <v>0</v>
      </c>
      <c r="AD156" s="2">
        <v>-2416683.681399608</v>
      </c>
      <c r="AE156" s="2">
        <v>402780.6135666013</v>
      </c>
      <c r="AF156" s="2">
        <f>F156-H156-L156-U156-AA156-AC156-AD156</f>
        <v>28345552.122253437</v>
      </c>
      <c r="AG156" s="2">
        <f>F156-H156-L156-U156-AA156-AB156-AD156-Y156</f>
        <v>28345552.122253437</v>
      </c>
      <c r="AH156" s="2">
        <f>AH155+AG156</f>
        <v>91462149.18425772</v>
      </c>
      <c r="AI156" s="2">
        <v>47082070.20559689</v>
      </c>
      <c r="AJ156" s="2">
        <f>AH156-AI156</f>
        <v>44380078.97866083</v>
      </c>
      <c r="AK156" s="3">
        <v>0.25</v>
      </c>
    </row>
    <row r="157" spans="1:37">
      <c r="A157" s="2">
        <v>156</v>
      </c>
      <c r="B157" s="2">
        <v>2039</v>
      </c>
      <c r="C157" s="2">
        <v>139</v>
      </c>
      <c r="D157" s="2">
        <v>499002.0527872943</v>
      </c>
      <c r="E157" s="2">
        <v>69361285.3374339</v>
      </c>
      <c r="F157" s="2">
        <f>E157/1.19</f>
        <v>58286794.401204966</v>
      </c>
      <c r="G157" s="2">
        <v>20</v>
      </c>
      <c r="H157" s="2">
        <v>2145561.662103238</v>
      </c>
      <c r="I157" s="2">
        <v>46</v>
      </c>
      <c r="J157" s="2">
        <v>4933874.860500393</v>
      </c>
      <c r="K157" s="2">
        <v>14908882.73064249</v>
      </c>
      <c r="L157" s="2">
        <v>5849859.464952808</v>
      </c>
      <c r="M157" s="2">
        <v>8757736.247452656</v>
      </c>
      <c r="N157" s="3">
        <v>1</v>
      </c>
      <c r="O157" s="3">
        <v>2</v>
      </c>
      <c r="P157" s="2">
        <v>256636.9596323123</v>
      </c>
      <c r="Q157" s="2">
        <v>684507.8017748507</v>
      </c>
      <c r="R157" s="2">
        <v>356440.2217115448</v>
      </c>
      <c r="S157" s="2">
        <v>399213.0483169302</v>
      </c>
      <c r="T157" s="2">
        <v>4476889.184697003</v>
      </c>
      <c r="U157" s="2">
        <f>M157+P157+Q157+R157+S157+T157</f>
        <v>14931423.463585295</v>
      </c>
      <c r="V157" s="2">
        <f>F157-K157-L157-U157</f>
        <v>22596628.74202437</v>
      </c>
      <c r="W157" s="2">
        <v>0</v>
      </c>
      <c r="X157" s="2">
        <v>0</v>
      </c>
      <c r="Y157" s="2">
        <f>W157+X157</f>
        <v>0</v>
      </c>
      <c r="Z157" s="2">
        <v>3.434251993894577E-09</v>
      </c>
      <c r="AA157" s="2">
        <v>0</v>
      </c>
      <c r="AB157" s="2">
        <v>9639162.364830146</v>
      </c>
      <c r="AC157" s="2">
        <v>9639162.364830146</v>
      </c>
      <c r="AD157" s="2">
        <v>0</v>
      </c>
      <c r="AE157" s="2">
        <v>402780.6135666013</v>
      </c>
      <c r="AF157" s="2">
        <f>F157-H157-L157-U157-AA157-AC157-AD157</f>
        <v>25720787.445733488</v>
      </c>
      <c r="AG157" s="2">
        <f>F157-H157-L157-U157-AA157-AB157-AD157-Y157</f>
        <v>25720787.445733488</v>
      </c>
      <c r="AH157" s="2">
        <f>AH156+AG157</f>
        <v>117182936.6299912</v>
      </c>
      <c r="AI157" s="2">
        <v>47082070.20559689</v>
      </c>
      <c r="AJ157" s="2">
        <f>AH157-AI157</f>
        <v>70100866.42439431</v>
      </c>
      <c r="AK157" s="3">
        <v>0.25</v>
      </c>
    </row>
    <row r="158" spans="1:37">
      <c r="A158" s="2">
        <v>157</v>
      </c>
      <c r="B158" s="2">
        <v>2040</v>
      </c>
      <c r="C158" s="2">
        <v>17</v>
      </c>
      <c r="D158" s="2">
        <v>513972.1143709132</v>
      </c>
      <c r="E158" s="2">
        <v>8737525.944305524</v>
      </c>
      <c r="F158" s="2">
        <f>E158/1.19</f>
        <v>7342458.776727332</v>
      </c>
      <c r="G158" s="2">
        <v>40</v>
      </c>
      <c r="H158" s="2">
        <v>4419857.023932671</v>
      </c>
      <c r="I158" s="2">
        <v>69</v>
      </c>
      <c r="J158" s="2">
        <v>7504738.37239397</v>
      </c>
      <c r="K158" s="2">
        <v>1848993.512039094</v>
      </c>
      <c r="L158" s="2">
        <v>734586.2169504634</v>
      </c>
      <c r="M158" s="2">
        <v>9664787.501653111</v>
      </c>
      <c r="N158" s="3">
        <v>1.5</v>
      </c>
      <c r="O158" s="3">
        <v>2</v>
      </c>
      <c r="P158" s="2">
        <v>279021.4055557973</v>
      </c>
      <c r="Q158" s="2">
        <v>729347.2687857196</v>
      </c>
      <c r="R158" s="2">
        <v>367133.4283628912</v>
      </c>
      <c r="S158" s="2">
        <v>411189.4397664382</v>
      </c>
      <c r="T158" s="2">
        <v>4842489.920106535</v>
      </c>
      <c r="U158" s="2">
        <f>M158+P158+Q158+R158+S158+T158</f>
        <v>16293968.964230493</v>
      </c>
      <c r="V158" s="2">
        <f>F158-K158-L158-U158</f>
        <v>-11535089.91649272</v>
      </c>
      <c r="W158" s="2">
        <v>0</v>
      </c>
      <c r="X158" s="2">
        <v>0</v>
      </c>
      <c r="Y158" s="2">
        <f>W158+X158</f>
        <v>0</v>
      </c>
      <c r="Z158" s="2">
        <v>3.434251993894577E-09</v>
      </c>
      <c r="AA158" s="2">
        <v>0</v>
      </c>
      <c r="AB158" s="2">
        <v>0</v>
      </c>
      <c r="AC158" s="2">
        <v>0</v>
      </c>
      <c r="AD158" s="2">
        <v>426947.4503805976</v>
      </c>
      <c r="AE158" s="2">
        <v>829728.0639471989</v>
      </c>
      <c r="AF158" s="2">
        <f>F158-H158-L158-U158-AA158-AC158-AD158</f>
        <v>-14532900.878766892</v>
      </c>
      <c r="AG158" s="2">
        <f>F158-H158-L158-U158-AA158-AB158-AD158-Y158</f>
        <v>-14532900.878766892</v>
      </c>
      <c r="AH158" s="2">
        <f>AH157+AG158</f>
        <v>102650035.75122431</v>
      </c>
      <c r="AI158" s="2">
        <v>51169706.70753248</v>
      </c>
      <c r="AJ158" s="2">
        <f>AH158-AI158</f>
        <v>51480329.04369183</v>
      </c>
      <c r="AK158" s="3">
        <v>0.25</v>
      </c>
    </row>
    <row r="159" spans="1:37">
      <c r="A159" s="2">
        <v>158</v>
      </c>
      <c r="B159" s="2">
        <v>2040</v>
      </c>
      <c r="C159" s="2">
        <v>26</v>
      </c>
      <c r="D159" s="2">
        <v>513972.1143709132</v>
      </c>
      <c r="E159" s="2">
        <v>13363274.97364374</v>
      </c>
      <c r="F159" s="2">
        <f>E159/1.19</f>
        <v>11229642.834994743</v>
      </c>
      <c r="G159" s="2">
        <v>40</v>
      </c>
      <c r="H159" s="2">
        <v>4419857.023932671</v>
      </c>
      <c r="I159" s="2">
        <v>83</v>
      </c>
      <c r="J159" s="2">
        <v>9080196.494450562</v>
      </c>
      <c r="K159" s="2">
        <v>2844398.90187608</v>
      </c>
      <c r="L159" s="2">
        <v>1124806.920130718</v>
      </c>
      <c r="M159" s="2">
        <v>9664787.501653111</v>
      </c>
      <c r="N159" s="3">
        <v>1.5</v>
      </c>
      <c r="O159" s="3">
        <v>2</v>
      </c>
      <c r="P159" s="2">
        <v>279021.4055557973</v>
      </c>
      <c r="Q159" s="2">
        <v>729347.2687857196</v>
      </c>
      <c r="R159" s="2">
        <v>367133.4283628912</v>
      </c>
      <c r="S159" s="2">
        <v>411189.4397664382</v>
      </c>
      <c r="T159" s="2">
        <v>4842489.920106535</v>
      </c>
      <c r="U159" s="2">
        <f>M159+P159+Q159+R159+S159+T159</f>
        <v>16293968.964230493</v>
      </c>
      <c r="V159" s="2">
        <f>F159-K159-L159-U159</f>
        <v>-9033531.951242547</v>
      </c>
      <c r="W159" s="2">
        <v>0</v>
      </c>
      <c r="X159" s="2">
        <v>0</v>
      </c>
      <c r="Y159" s="2">
        <f>W159+X159</f>
        <v>0</v>
      </c>
      <c r="Z159" s="2">
        <v>3.434251993894577E-09</v>
      </c>
      <c r="AA159" s="2">
        <v>0</v>
      </c>
      <c r="AB159" s="2">
        <v>0</v>
      </c>
      <c r="AC159" s="2">
        <v>0</v>
      </c>
      <c r="AD159" s="2">
        <v>0</v>
      </c>
      <c r="AE159" s="2">
        <v>829728.0639471989</v>
      </c>
      <c r="AF159" s="2">
        <f>F159-H159-L159-U159-AA159-AC159-AD159</f>
        <v>-10608990.07329914</v>
      </c>
      <c r="AG159" s="2">
        <f>F159-H159-L159-U159-AA159-AB159-AD159-Y159</f>
        <v>-10608990.07329914</v>
      </c>
      <c r="AH159" s="2">
        <f>AH158+AG159</f>
        <v>92041045.67792517</v>
      </c>
      <c r="AI159" s="2">
        <v>51169706.70753248</v>
      </c>
      <c r="AJ159" s="2">
        <f>AH159-AI159</f>
        <v>40871338.97039269</v>
      </c>
      <c r="AK159" s="3">
        <v>0.25</v>
      </c>
    </row>
    <row r="160" spans="1:37">
      <c r="A160" s="2">
        <v>159</v>
      </c>
      <c r="B160" s="2">
        <v>2040</v>
      </c>
      <c r="C160" s="2">
        <v>34</v>
      </c>
      <c r="D160" s="2">
        <v>513972.1143709132</v>
      </c>
      <c r="E160" s="2">
        <v>17475051.88861105</v>
      </c>
      <c r="F160" s="2">
        <f>E160/1.19</f>
        <v>14684917.553454664</v>
      </c>
      <c r="G160" s="2">
        <v>50</v>
      </c>
      <c r="H160" s="2">
        <v>5524821.279915839</v>
      </c>
      <c r="I160" s="2">
        <v>99</v>
      </c>
      <c r="J160" s="2">
        <v>10871404.20798702</v>
      </c>
      <c r="K160" s="2">
        <v>3733613.56637938</v>
      </c>
      <c r="L160" s="2">
        <v>1472022.557285022</v>
      </c>
      <c r="M160" s="2">
        <v>9664787.501653111</v>
      </c>
      <c r="N160" s="3">
        <v>1.5</v>
      </c>
      <c r="O160" s="3">
        <v>2</v>
      </c>
      <c r="P160" s="2">
        <v>279021.4055557973</v>
      </c>
      <c r="Q160" s="2">
        <v>729347.2687857196</v>
      </c>
      <c r="R160" s="2">
        <v>367133.4283628912</v>
      </c>
      <c r="S160" s="2">
        <v>411189.4397664382</v>
      </c>
      <c r="T160" s="2">
        <v>4842489.920106535</v>
      </c>
      <c r="U160" s="2">
        <f>M160+P160+Q160+R160+S160+T160</f>
        <v>16293968.964230493</v>
      </c>
      <c r="V160" s="2">
        <f>F160-K160-L160-U160</f>
        <v>-6814687.534440231</v>
      </c>
      <c r="W160" s="2">
        <v>0</v>
      </c>
      <c r="X160" s="2">
        <v>0</v>
      </c>
      <c r="Y160" s="2">
        <f>W160+X160</f>
        <v>0</v>
      </c>
      <c r="Z160" s="2">
        <v>3.434251993894577E-09</v>
      </c>
      <c r="AA160" s="2">
        <v>0</v>
      </c>
      <c r="AB160" s="2">
        <v>0</v>
      </c>
      <c r="AC160" s="2">
        <v>0</v>
      </c>
      <c r="AD160" s="2">
        <v>207432.0159867996</v>
      </c>
      <c r="AE160" s="2">
        <v>1037160.079933999</v>
      </c>
      <c r="AF160" s="2">
        <f>F160-H160-L160-U160-AA160-AC160-AD160</f>
        <v>-8813327.26396349</v>
      </c>
      <c r="AG160" s="2">
        <f>F160-H160-L160-U160-AA160-AB160-AD160-Y160</f>
        <v>-8813327.26396349</v>
      </c>
      <c r="AH160" s="2">
        <f>AH159+AG160</f>
        <v>83227718.41396168</v>
      </c>
      <c r="AI160" s="2">
        <v>51169706.70753248</v>
      </c>
      <c r="AJ160" s="2">
        <f>AH160-AI160</f>
        <v>32058011.7064292</v>
      </c>
      <c r="AK160" s="3">
        <v>0.25</v>
      </c>
    </row>
    <row r="161" spans="1:37">
      <c r="A161" s="2">
        <v>160</v>
      </c>
      <c r="B161" s="2">
        <v>2040</v>
      </c>
      <c r="C161" s="2">
        <v>43</v>
      </c>
      <c r="D161" s="2">
        <v>513972.1143709132</v>
      </c>
      <c r="E161" s="2">
        <v>22100800.91794927</v>
      </c>
      <c r="F161" s="2">
        <f>E161/1.19</f>
        <v>18572101.611722074</v>
      </c>
      <c r="G161" s="2">
        <v>60</v>
      </c>
      <c r="H161" s="2">
        <v>6629785.535899007</v>
      </c>
      <c r="I161" s="2">
        <v>116</v>
      </c>
      <c r="J161" s="2">
        <v>12768163.58673446</v>
      </c>
      <c r="K161" s="2">
        <v>4733026.157151567</v>
      </c>
      <c r="L161" s="2">
        <v>1862563.836540092</v>
      </c>
      <c r="M161" s="2">
        <v>9664787.501653111</v>
      </c>
      <c r="N161" s="3">
        <v>1.5</v>
      </c>
      <c r="O161" s="3">
        <v>2</v>
      </c>
      <c r="P161" s="2">
        <v>279021.4055557973</v>
      </c>
      <c r="Q161" s="2">
        <v>729347.2687857196</v>
      </c>
      <c r="R161" s="2">
        <v>367133.4283628912</v>
      </c>
      <c r="S161" s="2">
        <v>411189.4397664382</v>
      </c>
      <c r="T161" s="2">
        <v>4842489.920106535</v>
      </c>
      <c r="U161" s="2">
        <f>M161+P161+Q161+R161+S161+T161</f>
        <v>16293968.964230493</v>
      </c>
      <c r="V161" s="2">
        <f>F161-K161-L161-U161</f>
        <v>-4317457.346200077</v>
      </c>
      <c r="W161" s="2">
        <v>0</v>
      </c>
      <c r="X161" s="2">
        <v>0</v>
      </c>
      <c r="Y161" s="2">
        <f>W161+X161</f>
        <v>0</v>
      </c>
      <c r="Z161" s="2">
        <v>3.434251993894577E-09</v>
      </c>
      <c r="AA161" s="2">
        <v>0</v>
      </c>
      <c r="AB161" s="2">
        <v>0</v>
      </c>
      <c r="AC161" s="2">
        <v>0</v>
      </c>
      <c r="AD161" s="2">
        <v>207432.0159867996</v>
      </c>
      <c r="AE161" s="2">
        <v>1244592.095920798</v>
      </c>
      <c r="AF161" s="2">
        <f>F161-H161-L161-U161-AA161-AC161-AD161</f>
        <v>-6421648.740934315</v>
      </c>
      <c r="AG161" s="2">
        <f>F161-H161-L161-U161-AA161-AB161-AD161-Y161</f>
        <v>-6421648.740934315</v>
      </c>
      <c r="AH161" s="2">
        <f>AH160+AG161</f>
        <v>76806069.67302737</v>
      </c>
      <c r="AI161" s="2">
        <v>51169706.70753248</v>
      </c>
      <c r="AJ161" s="2">
        <f>AH161-AI161</f>
        <v>25636362.965494886</v>
      </c>
      <c r="AK161" s="3">
        <v>0.25</v>
      </c>
    </row>
    <row r="162" spans="1:37">
      <c r="A162" s="2">
        <v>161</v>
      </c>
      <c r="B162" s="2">
        <v>2040</v>
      </c>
      <c r="C162" s="2">
        <v>51</v>
      </c>
      <c r="D162" s="2">
        <v>513972.1143709132</v>
      </c>
      <c r="E162" s="2">
        <v>26212577.83291657</v>
      </c>
      <c r="F162" s="2">
        <f>E162/1.19</f>
        <v>22027376.330181994</v>
      </c>
      <c r="G162" s="2">
        <v>70</v>
      </c>
      <c r="H162" s="2">
        <v>7734749.791882175</v>
      </c>
      <c r="I162" s="2">
        <v>135</v>
      </c>
      <c r="J162" s="2">
        <v>14881146.80706046</v>
      </c>
      <c r="K162" s="2">
        <v>5621766.571556174</v>
      </c>
      <c r="L162" s="2">
        <v>2209741.533686501</v>
      </c>
      <c r="M162" s="2">
        <v>9664787.501653111</v>
      </c>
      <c r="N162" s="3">
        <v>1.5</v>
      </c>
      <c r="O162" s="3">
        <v>2</v>
      </c>
      <c r="P162" s="2">
        <v>279021.4055557973</v>
      </c>
      <c r="Q162" s="2">
        <v>729347.2687857196</v>
      </c>
      <c r="R162" s="2">
        <v>367133.4283628912</v>
      </c>
      <c r="S162" s="2">
        <v>411189.4397664382</v>
      </c>
      <c r="T162" s="2">
        <v>4842489.920106535</v>
      </c>
      <c r="U162" s="2">
        <f>M162+P162+Q162+R162+S162+T162</f>
        <v>16293968.964230493</v>
      </c>
      <c r="V162" s="2">
        <f>F162-K162-L162-U162</f>
        <v>-2098100.7392911743</v>
      </c>
      <c r="W162" s="2">
        <v>0</v>
      </c>
      <c r="X162" s="2">
        <v>0</v>
      </c>
      <c r="Y162" s="2">
        <f>W162+X162</f>
        <v>0</v>
      </c>
      <c r="Z162" s="2">
        <v>3.434251993894577E-09</v>
      </c>
      <c r="AA162" s="2">
        <v>0</v>
      </c>
      <c r="AB162" s="2">
        <v>0</v>
      </c>
      <c r="AC162" s="2">
        <v>0</v>
      </c>
      <c r="AD162" s="2">
        <v>207432.0159868</v>
      </c>
      <c r="AE162" s="2">
        <v>1452024.111907598</v>
      </c>
      <c r="AF162" s="2">
        <f>F162-H162-L162-U162-AA162-AC162-AD162</f>
        <v>-4418515.975603977</v>
      </c>
      <c r="AG162" s="2">
        <f>F162-H162-L162-U162-AA162-AB162-AD162-Y162</f>
        <v>-4418515.975603977</v>
      </c>
      <c r="AH162" s="2">
        <f>AH161+AG162</f>
        <v>72387553.69742338</v>
      </c>
      <c r="AI162" s="2">
        <v>51169706.70753248</v>
      </c>
      <c r="AJ162" s="2">
        <f>AH162-AI162</f>
        <v>21217846.989890903</v>
      </c>
      <c r="AK162" s="3">
        <v>0.25</v>
      </c>
    </row>
    <row r="163" spans="1:37">
      <c r="A163" s="2">
        <v>162</v>
      </c>
      <c r="B163" s="2">
        <v>2040</v>
      </c>
      <c r="C163" s="2">
        <v>60</v>
      </c>
      <c r="D163" s="2">
        <v>513972.1143709132</v>
      </c>
      <c r="E163" s="2">
        <v>30838326.86225479</v>
      </c>
      <c r="F163" s="2">
        <f>E163/1.19</f>
        <v>25914560.388449404</v>
      </c>
      <c r="G163" s="2">
        <v>80</v>
      </c>
      <c r="H163" s="2">
        <v>8839714.047865342</v>
      </c>
      <c r="I163" s="2">
        <v>155</v>
      </c>
      <c r="J163" s="2">
        <v>17101085.73262092</v>
      </c>
      <c r="K163" s="2">
        <v>6619775.122304875</v>
      </c>
      <c r="L163" s="2">
        <v>2600170.489739693</v>
      </c>
      <c r="M163" s="2">
        <v>9664787.501653111</v>
      </c>
      <c r="N163" s="3">
        <v>1.5</v>
      </c>
      <c r="O163" s="3">
        <v>2</v>
      </c>
      <c r="P163" s="2">
        <v>279021.4055557973</v>
      </c>
      <c r="Q163" s="2">
        <v>729347.2687857196</v>
      </c>
      <c r="R163" s="2">
        <v>367133.4283628912</v>
      </c>
      <c r="S163" s="2">
        <v>411189.4397664382</v>
      </c>
      <c r="T163" s="2">
        <v>4842489.920106535</v>
      </c>
      <c r="U163" s="2">
        <f>M163+P163+Q163+R163+S163+T163</f>
        <v>16293968.964230493</v>
      </c>
      <c r="V163" s="2">
        <f>F163-K163-L163-U163</f>
        <v>400645.8121743426</v>
      </c>
      <c r="W163" s="2">
        <v>0</v>
      </c>
      <c r="X163" s="2">
        <v>0</v>
      </c>
      <c r="Y163" s="2">
        <f>W163+X163</f>
        <v>0</v>
      </c>
      <c r="Z163" s="2">
        <v>3.434251993894577E-09</v>
      </c>
      <c r="AA163" s="2">
        <v>0</v>
      </c>
      <c r="AB163" s="2">
        <v>0</v>
      </c>
      <c r="AC163" s="2">
        <v>0</v>
      </c>
      <c r="AD163" s="2">
        <v>207432.0159867997</v>
      </c>
      <c r="AE163" s="2">
        <v>1659456.127894398</v>
      </c>
      <c r="AF163" s="2">
        <f>F163-H163-L163-U163-AA163-AC163-AD163</f>
        <v>-2026725.129372924</v>
      </c>
      <c r="AG163" s="2">
        <f>F163-H163-L163-U163-AA163-AB163-AD163-Y163</f>
        <v>-2026725.129372924</v>
      </c>
      <c r="AH163" s="2">
        <f>AH162+AG163</f>
        <v>70360828.56805046</v>
      </c>
      <c r="AI163" s="2">
        <v>51169706.70753248</v>
      </c>
      <c r="AJ163" s="2">
        <f>AH163-AI163</f>
        <v>19191121.86051798</v>
      </c>
      <c r="AK163" s="3">
        <v>0.25</v>
      </c>
    </row>
    <row r="164" spans="1:37">
      <c r="A164" s="2">
        <v>163</v>
      </c>
      <c r="B164" s="2">
        <v>2040</v>
      </c>
      <c r="C164" s="2">
        <v>69</v>
      </c>
      <c r="D164" s="2">
        <v>513972.1143709132</v>
      </c>
      <c r="E164" s="2">
        <v>35464075.89159301</v>
      </c>
      <c r="F164" s="2">
        <f>E164/1.19</f>
        <v>29801744.446716815</v>
      </c>
      <c r="G164" s="2">
        <v>100</v>
      </c>
      <c r="H164" s="2">
        <v>11049642.55983168</v>
      </c>
      <c r="I164" s="2">
        <v>186</v>
      </c>
      <c r="J164" s="2">
        <v>20533472.40155366</v>
      </c>
      <c r="K164" s="2">
        <v>7617255.89089894</v>
      </c>
      <c r="L164" s="2">
        <v>2990557.223220513</v>
      </c>
      <c r="M164" s="2">
        <v>9664787.501653111</v>
      </c>
      <c r="N164" s="3">
        <v>1.5</v>
      </c>
      <c r="O164" s="3">
        <v>2</v>
      </c>
      <c r="P164" s="2">
        <v>279021.4055557973</v>
      </c>
      <c r="Q164" s="2">
        <v>729347.2687857196</v>
      </c>
      <c r="R164" s="2">
        <v>367133.4283628912</v>
      </c>
      <c r="S164" s="2">
        <v>411189.4397664382</v>
      </c>
      <c r="T164" s="2">
        <v>4842489.920106535</v>
      </c>
      <c r="U164" s="2">
        <f>M164+P164+Q164+R164+S164+T164</f>
        <v>16293968.964230493</v>
      </c>
      <c r="V164" s="2">
        <f>F164-K164-L164-U164</f>
        <v>2899962.368366871</v>
      </c>
      <c r="W164" s="2">
        <v>0</v>
      </c>
      <c r="X164" s="2">
        <v>0</v>
      </c>
      <c r="Y164" s="2">
        <f>W164+X164</f>
        <v>0</v>
      </c>
      <c r="Z164" s="2">
        <v>3.434251993894577E-09</v>
      </c>
      <c r="AA164" s="2">
        <v>0</v>
      </c>
      <c r="AB164" s="2">
        <v>0</v>
      </c>
      <c r="AC164" s="2">
        <v>0</v>
      </c>
      <c r="AD164" s="2">
        <v>414864.0319735992</v>
      </c>
      <c r="AE164" s="2">
        <v>2074320.159867997</v>
      </c>
      <c r="AF164" s="2">
        <f>F164-H164-L164-U164-AA164-AC164-AD164</f>
        <v>-947288.3325394678</v>
      </c>
      <c r="AG164" s="2">
        <f>F164-H164-L164-U164-AA164-AB164-AD164-Y164</f>
        <v>-947288.3325394678</v>
      </c>
      <c r="AH164" s="2">
        <f>AH163+AG164</f>
        <v>69413540.23551099</v>
      </c>
      <c r="AI164" s="2">
        <v>51169706.70753248</v>
      </c>
      <c r="AJ164" s="2">
        <f>AH164-AI164</f>
        <v>18243833.52797851</v>
      </c>
      <c r="AK164" s="3">
        <v>0.25</v>
      </c>
    </row>
    <row r="165" spans="1:37">
      <c r="A165" s="2">
        <v>164</v>
      </c>
      <c r="B165" s="2">
        <v>2040</v>
      </c>
      <c r="C165" s="2">
        <v>86</v>
      </c>
      <c r="D165" s="2">
        <v>513972.1143709132</v>
      </c>
      <c r="E165" s="2">
        <v>44201601.83589853</v>
      </c>
      <c r="F165" s="2">
        <f>E165/1.19</f>
        <v>37144203.22344415</v>
      </c>
      <c r="G165" s="2">
        <v>110</v>
      </c>
      <c r="H165" s="2">
        <v>12154606.81581485</v>
      </c>
      <c r="I165" s="2">
        <v>210</v>
      </c>
      <c r="J165" s="2">
        <v>23190867.01232225</v>
      </c>
      <c r="K165" s="2">
        <v>9497212.205046255</v>
      </c>
      <c r="L165" s="2">
        <v>3727620.464339634</v>
      </c>
      <c r="M165" s="2">
        <v>9664787.501653111</v>
      </c>
      <c r="N165" s="3">
        <v>1.5</v>
      </c>
      <c r="O165" s="3">
        <v>2</v>
      </c>
      <c r="P165" s="2">
        <v>279021.4055557973</v>
      </c>
      <c r="Q165" s="2">
        <v>729347.2687857196</v>
      </c>
      <c r="R165" s="2">
        <v>367133.4283628912</v>
      </c>
      <c r="S165" s="2">
        <v>411189.4397664382</v>
      </c>
      <c r="T165" s="2">
        <v>4842489.920106535</v>
      </c>
      <c r="U165" s="2">
        <f>M165+P165+Q165+R165+S165+T165</f>
        <v>16293968.964230493</v>
      </c>
      <c r="V165" s="2">
        <f>F165-K165-L165-U165</f>
        <v>7625401.5898277685</v>
      </c>
      <c r="W165" s="2">
        <v>0</v>
      </c>
      <c r="X165" s="2">
        <v>0</v>
      </c>
      <c r="Y165" s="2">
        <f>W165+X165</f>
        <v>0</v>
      </c>
      <c r="Z165" s="2">
        <v>3.434251993894577E-09</v>
      </c>
      <c r="AA165" s="2">
        <v>0</v>
      </c>
      <c r="AB165" s="2">
        <v>0</v>
      </c>
      <c r="AC165" s="2">
        <v>0</v>
      </c>
      <c r="AD165" s="2">
        <v>207432.0159867995</v>
      </c>
      <c r="AE165" s="2">
        <v>2281752.175854797</v>
      </c>
      <c r="AF165" s="2">
        <f>F165-H165-L165-U165-AA165-AC165-AD165</f>
        <v>4760574.963072375</v>
      </c>
      <c r="AG165" s="2">
        <f>F165-H165-L165-U165-AA165-AB165-AD165-Y165</f>
        <v>4760574.963072375</v>
      </c>
      <c r="AH165" s="2">
        <f>AH164+AG165</f>
        <v>74174115.19858336</v>
      </c>
      <c r="AI165" s="2">
        <v>51169706.70753248</v>
      </c>
      <c r="AJ165" s="2">
        <f>AH165-AI165</f>
        <v>23004408.491050884</v>
      </c>
      <c r="AK165" s="3">
        <v>0.25</v>
      </c>
    </row>
    <row r="166" spans="1:37">
      <c r="A166" s="2">
        <v>165</v>
      </c>
      <c r="B166" s="2">
        <v>2040</v>
      </c>
      <c r="C166" s="2">
        <v>94</v>
      </c>
      <c r="D166" s="2">
        <v>513972.1143709132</v>
      </c>
      <c r="E166" s="2">
        <v>48313378.75086584</v>
      </c>
      <c r="F166" s="2">
        <f>E166/1.19</f>
        <v>40599477.94190407</v>
      </c>
      <c r="G166" s="2">
        <v>120</v>
      </c>
      <c r="H166" s="2">
        <v>13259571.07179801</v>
      </c>
      <c r="I166" s="2">
        <v>236</v>
      </c>
      <c r="J166" s="2">
        <v>26067586.0237951</v>
      </c>
      <c r="K166" s="2">
        <v>10382852.06032517</v>
      </c>
      <c r="L166" s="2">
        <v>4074550.116755988</v>
      </c>
      <c r="M166" s="2">
        <v>9664787.501653111</v>
      </c>
      <c r="N166" s="3">
        <v>1.5</v>
      </c>
      <c r="O166" s="3">
        <v>2</v>
      </c>
      <c r="P166" s="2">
        <v>279021.4055557973</v>
      </c>
      <c r="Q166" s="2">
        <v>729347.2687857196</v>
      </c>
      <c r="R166" s="2">
        <v>367133.4283628912</v>
      </c>
      <c r="S166" s="2">
        <v>411189.4397664382</v>
      </c>
      <c r="T166" s="2">
        <v>4842489.920106535</v>
      </c>
      <c r="U166" s="2">
        <f>M166+P166+Q166+R166+S166+T166</f>
        <v>16293968.964230493</v>
      </c>
      <c r="V166" s="2">
        <f>F166-K166-L166-U166</f>
        <v>9848106.800592419</v>
      </c>
      <c r="W166" s="2">
        <v>0</v>
      </c>
      <c r="X166" s="2">
        <v>0</v>
      </c>
      <c r="Y166" s="2">
        <f>W166+X166</f>
        <v>0</v>
      </c>
      <c r="Z166" s="2">
        <v>3.434251993894577E-09</v>
      </c>
      <c r="AA166" s="2">
        <v>0</v>
      </c>
      <c r="AB166" s="2">
        <v>0</v>
      </c>
      <c r="AC166" s="2">
        <v>0</v>
      </c>
      <c r="AD166" s="2">
        <v>207432.0159867997</v>
      </c>
      <c r="AE166" s="2">
        <v>2489184.191841596</v>
      </c>
      <c r="AF166" s="2">
        <f>F166-H166-L166-U166-AA166-AC166-AD166</f>
        <v>6763955.773132775</v>
      </c>
      <c r="AG166" s="2">
        <f>F166-H166-L166-U166-AA166-AB166-AD166-Y166</f>
        <v>6763955.773132775</v>
      </c>
      <c r="AH166" s="2">
        <f>AH165+AG166</f>
        <v>80938070.97171614</v>
      </c>
      <c r="AI166" s="2">
        <v>51169706.70753248</v>
      </c>
      <c r="AJ166" s="2">
        <f>AH166-AI166</f>
        <v>29768364.264183655</v>
      </c>
      <c r="AK166" s="3">
        <v>0.25</v>
      </c>
    </row>
    <row r="167" spans="1:37">
      <c r="A167" s="2">
        <v>166</v>
      </c>
      <c r="B167" s="2">
        <v>2040</v>
      </c>
      <c r="C167" s="2">
        <v>111</v>
      </c>
      <c r="D167" s="2">
        <v>513972.1143709132</v>
      </c>
      <c r="E167" s="2">
        <v>57050904.69517136</v>
      </c>
      <c r="F167" s="2">
        <f>E167/1.19</f>
        <v>47941936.7186314</v>
      </c>
      <c r="G167" s="2">
        <v>150</v>
      </c>
      <c r="H167" s="2">
        <v>16574463.83974752</v>
      </c>
      <c r="I167" s="2">
        <v>275</v>
      </c>
      <c r="J167" s="2">
        <v>30379698.73697984</v>
      </c>
      <c r="K167" s="2">
        <v>12262351.12656277</v>
      </c>
      <c r="L167" s="2">
        <v>4811576.778042333</v>
      </c>
      <c r="M167" s="2">
        <v>9664787.501653111</v>
      </c>
      <c r="N167" s="3">
        <v>1.5</v>
      </c>
      <c r="O167" s="3">
        <v>2</v>
      </c>
      <c r="P167" s="2">
        <v>279021.4055557973</v>
      </c>
      <c r="Q167" s="2">
        <v>729347.2687857196</v>
      </c>
      <c r="R167" s="2">
        <v>367133.4283628912</v>
      </c>
      <c r="S167" s="2">
        <v>411189.4397664382</v>
      </c>
      <c r="T167" s="2">
        <v>4842489.920106535</v>
      </c>
      <c r="U167" s="2">
        <f>M167+P167+Q167+R167+S167+T167</f>
        <v>16293968.964230493</v>
      </c>
      <c r="V167" s="2">
        <f>F167-K167-L167-U167</f>
        <v>14574039.849795803</v>
      </c>
      <c r="W167" s="2">
        <v>0</v>
      </c>
      <c r="X167" s="2">
        <v>0</v>
      </c>
      <c r="Y167" s="2">
        <f>W167+X167</f>
        <v>0</v>
      </c>
      <c r="Z167" s="2">
        <v>3.434251993894577E-09</v>
      </c>
      <c r="AA167" s="2">
        <v>0</v>
      </c>
      <c r="AB167" s="2">
        <v>0</v>
      </c>
      <c r="AC167" s="2">
        <v>0</v>
      </c>
      <c r="AD167" s="2">
        <v>622296.0479603992</v>
      </c>
      <c r="AE167" s="2">
        <v>3111480.239801995</v>
      </c>
      <c r="AF167" s="2">
        <f>F167-H167-L167-U167-AA167-AC167-AD167</f>
        <v>9639631.08865066</v>
      </c>
      <c r="AG167" s="2">
        <f>F167-H167-L167-U167-AA167-AB167-AD167-Y167</f>
        <v>9639631.08865066</v>
      </c>
      <c r="AH167" s="2">
        <f>AH166+AG167</f>
        <v>90577702.0603668</v>
      </c>
      <c r="AI167" s="2">
        <v>51169706.70753248</v>
      </c>
      <c r="AJ167" s="2">
        <f>AH167-AI167</f>
        <v>39407995.352834314</v>
      </c>
      <c r="AK167" s="3">
        <v>0.25</v>
      </c>
    </row>
    <row r="168" spans="1:37">
      <c r="A168" s="2">
        <v>167</v>
      </c>
      <c r="B168" s="2">
        <v>2040</v>
      </c>
      <c r="C168" s="2">
        <v>120</v>
      </c>
      <c r="D168" s="2">
        <v>513972.1143709132</v>
      </c>
      <c r="E168" s="2">
        <v>61676653.72450958</v>
      </c>
      <c r="F168" s="2">
        <f>E168/1.19</f>
        <v>51829120.77689881</v>
      </c>
      <c r="G168" s="2">
        <v>10</v>
      </c>
      <c r="H168" s="2">
        <v>1104964.255983168</v>
      </c>
      <c r="I168" s="2">
        <v>165</v>
      </c>
      <c r="J168" s="2">
        <v>18227962.78539964</v>
      </c>
      <c r="K168" s="2">
        <v>13256700.20756337</v>
      </c>
      <c r="L168" s="2">
        <v>5201712.976515676</v>
      </c>
      <c r="M168" s="2">
        <v>9664787.501653111</v>
      </c>
      <c r="N168" s="3">
        <v>1.5</v>
      </c>
      <c r="O168" s="3">
        <v>2</v>
      </c>
      <c r="P168" s="2">
        <v>279021.4055557973</v>
      </c>
      <c r="Q168" s="2">
        <v>729347.2687857196</v>
      </c>
      <c r="R168" s="2">
        <v>367133.4283628912</v>
      </c>
      <c r="S168" s="2">
        <v>411189.4397664382</v>
      </c>
      <c r="T168" s="2">
        <v>4842489.920106535</v>
      </c>
      <c r="U168" s="2">
        <f>M168+P168+Q168+R168+S168+T168</f>
        <v>16293968.964230493</v>
      </c>
      <c r="V168" s="2">
        <f>F168-K168-L168-U168</f>
        <v>17076738.62858927</v>
      </c>
      <c r="W168" s="2">
        <v>0</v>
      </c>
      <c r="X168" s="2">
        <v>0</v>
      </c>
      <c r="Y168" s="2">
        <f>W168+X168</f>
        <v>0</v>
      </c>
      <c r="Z168" s="2">
        <v>3.434251993894577E-09</v>
      </c>
      <c r="AA168" s="2">
        <v>0</v>
      </c>
      <c r="AB168" s="2">
        <v>0</v>
      </c>
      <c r="AC168" s="2">
        <v>0</v>
      </c>
      <c r="AD168" s="2">
        <v>-2904048.223815196</v>
      </c>
      <c r="AE168" s="2">
        <v>207432.0159867997</v>
      </c>
      <c r="AF168" s="2">
        <f>F168-H168-L168-U168-AA168-AC168-AD168</f>
        <v>32132522.80398467</v>
      </c>
      <c r="AG168" s="2">
        <f>F168-H168-L168-U168-AA168-AB168-AD168-Y168</f>
        <v>32132522.80398467</v>
      </c>
      <c r="AH168" s="2">
        <f>AH167+AG168</f>
        <v>122710224.86435147</v>
      </c>
      <c r="AI168" s="2">
        <v>51169706.70753248</v>
      </c>
      <c r="AJ168" s="2">
        <f>AH168-AI168</f>
        <v>71540518.15681899</v>
      </c>
      <c r="AK168" s="3">
        <v>0.25</v>
      </c>
    </row>
    <row r="169" spans="1:37">
      <c r="A169" s="2">
        <v>168</v>
      </c>
      <c r="B169" s="2">
        <v>2040</v>
      </c>
      <c r="C169" s="2">
        <v>146</v>
      </c>
      <c r="D169" s="2">
        <v>513972.1143709132</v>
      </c>
      <c r="E169" s="2">
        <v>75039928.69815332</v>
      </c>
      <c r="F169" s="2">
        <f>E169/1.19</f>
        <v>63058763.61189355</v>
      </c>
      <c r="G169" s="2">
        <v>30</v>
      </c>
      <c r="H169" s="2">
        <v>3314892.767949503</v>
      </c>
      <c r="I169" s="2">
        <v>49</v>
      </c>
      <c r="J169" s="2">
        <v>5413332.933918502</v>
      </c>
      <c r="K169" s="2">
        <v>16129522.61943064</v>
      </c>
      <c r="L169" s="2">
        <v>6328793.777445688</v>
      </c>
      <c r="M169" s="2">
        <v>9664787.501653111</v>
      </c>
      <c r="N169" s="3">
        <v>1.5</v>
      </c>
      <c r="O169" s="3">
        <v>2</v>
      </c>
      <c r="P169" s="2">
        <v>279021.4055557973</v>
      </c>
      <c r="Q169" s="2">
        <v>729347.2687857196</v>
      </c>
      <c r="R169" s="2">
        <v>367133.4283628912</v>
      </c>
      <c r="S169" s="2">
        <v>411189.4397664382</v>
      </c>
      <c r="T169" s="2">
        <v>4842489.920106535</v>
      </c>
      <c r="U169" s="2">
        <f>M169+P169+Q169+R169+S169+T169</f>
        <v>16293968.964230493</v>
      </c>
      <c r="V169" s="2">
        <f>F169-K169-L169-U169</f>
        <v>24306478.25078673</v>
      </c>
      <c r="W169" s="2">
        <v>0</v>
      </c>
      <c r="X169" s="2">
        <v>0</v>
      </c>
      <c r="Y169" s="2">
        <f>W169+X169</f>
        <v>0</v>
      </c>
      <c r="Z169" s="2">
        <v>3.434251993894577E-09</v>
      </c>
      <c r="AA169" s="2">
        <v>0</v>
      </c>
      <c r="AB169" s="2">
        <v>10613261.93476208</v>
      </c>
      <c r="AC169" s="2">
        <v>10613261.93476208</v>
      </c>
      <c r="AD169" s="2">
        <v>414864.0319735993</v>
      </c>
      <c r="AE169" s="2">
        <v>622296.0479603991</v>
      </c>
      <c r="AF169" s="2">
        <f>F169-H169-L169-U169-AA169-AC169-AD169</f>
        <v>26092982.135532178</v>
      </c>
      <c r="AG169" s="2">
        <f>F169-H169-L169-U169-AA169-AB169-AD169-Y169</f>
        <v>26092982.135532178</v>
      </c>
      <c r="AH169" s="2">
        <f>AH168+AG169</f>
        <v>148803206.99988365</v>
      </c>
      <c r="AI169" s="2">
        <v>51169706.70753248</v>
      </c>
      <c r="AJ169" s="2">
        <f>AH169-AI169</f>
        <v>97633500.29235117</v>
      </c>
      <c r="AK169" s="3">
        <v>0.25</v>
      </c>
    </row>
    <row r="170" spans="1:37">
      <c r="A170" s="2">
        <v>169</v>
      </c>
      <c r="B170" s="2">
        <v>2041</v>
      </c>
      <c r="C170" s="2">
        <v>18</v>
      </c>
      <c r="D170" s="2">
        <v>529391.2778020406</v>
      </c>
      <c r="E170" s="2">
        <v>9529043.000436731</v>
      </c>
      <c r="F170" s="2">
        <f>E170/1.19</f>
        <v>8007599.160030866</v>
      </c>
      <c r="G170" s="2">
        <v>40</v>
      </c>
      <c r="H170" s="2">
        <v>4552452.734650652</v>
      </c>
      <c r="I170" s="2">
        <v>71</v>
      </c>
      <c r="J170" s="2">
        <v>7950233.51088101</v>
      </c>
      <c r="K170" s="2">
        <v>2015552.157688144</v>
      </c>
      <c r="L170" s="2">
        <v>801056.0129212402</v>
      </c>
      <c r="M170" s="2">
        <v>9954731.126702705</v>
      </c>
      <c r="N170" s="3">
        <v>1.5</v>
      </c>
      <c r="O170" s="3">
        <v>2</v>
      </c>
      <c r="P170" s="2">
        <v>287392.0477224712</v>
      </c>
      <c r="Q170" s="2">
        <v>777471.1185755276</v>
      </c>
      <c r="R170" s="2">
        <v>378147.431213778</v>
      </c>
      <c r="S170" s="2">
        <v>423525.1229594313</v>
      </c>
      <c r="T170" s="2">
        <v>5237341.922310825</v>
      </c>
      <c r="U170" s="2">
        <f>M170+P170+Q170+R170+S170+T170</f>
        <v>17058608.76948474</v>
      </c>
      <c r="V170" s="2">
        <f>F170-K170-L170-U170</f>
        <v>-11867617.780063257</v>
      </c>
      <c r="W170" s="2">
        <v>0</v>
      </c>
      <c r="X170" s="2">
        <v>0</v>
      </c>
      <c r="Y170" s="2">
        <f>W170+X170</f>
        <v>0</v>
      </c>
      <c r="Z170" s="2">
        <v>3.434251993894577E-09</v>
      </c>
      <c r="AA170" s="2">
        <v>0</v>
      </c>
      <c r="AB170" s="2">
        <v>0</v>
      </c>
      <c r="AC170" s="2">
        <v>0</v>
      </c>
      <c r="AD170" s="2">
        <v>232323.8579052158</v>
      </c>
      <c r="AE170" s="2">
        <v>854619.9058656149</v>
      </c>
      <c r="AF170" s="2">
        <f>F170-H170-L170-U170-AA170-AC170-AD170</f>
        <v>-14636842.214930981</v>
      </c>
      <c r="AG170" s="2">
        <f>F170-H170-L170-U170-AA170-AB170-AD170-Y170</f>
        <v>-14636842.214930981</v>
      </c>
      <c r="AH170" s="2">
        <f>AH169+AG170</f>
        <v>134166364.78495267</v>
      </c>
      <c r="AI170" s="2">
        <v>53463626.12329523</v>
      </c>
      <c r="AJ170" s="2">
        <f>AH170-AI170</f>
        <v>80702738.66165744</v>
      </c>
      <c r="AK170" s="3">
        <v>0.25</v>
      </c>
    </row>
    <row r="171" spans="1:37">
      <c r="A171" s="2">
        <v>170</v>
      </c>
      <c r="B171" s="2">
        <v>2041</v>
      </c>
      <c r="C171" s="2">
        <v>27</v>
      </c>
      <c r="D171" s="2">
        <v>529391.2778020406</v>
      </c>
      <c r="E171" s="2">
        <v>14293564.5006551</v>
      </c>
      <c r="F171" s="2">
        <f>E171/1.19</f>
        <v>12011398.7400463</v>
      </c>
      <c r="G171" s="2">
        <v>40</v>
      </c>
      <c r="H171" s="2">
        <v>4552452.734650652</v>
      </c>
      <c r="I171" s="2">
        <v>84</v>
      </c>
      <c r="J171" s="2">
        <v>9461492.293915853</v>
      </c>
      <c r="K171" s="2">
        <v>3041193.95161581</v>
      </c>
      <c r="L171" s="2">
        <v>1203013.276588548</v>
      </c>
      <c r="M171" s="2">
        <v>9954731.126702705</v>
      </c>
      <c r="N171" s="3">
        <v>1.5</v>
      </c>
      <c r="O171" s="3">
        <v>2</v>
      </c>
      <c r="P171" s="2">
        <v>287392.0477224712</v>
      </c>
      <c r="Q171" s="2">
        <v>777471.1185755276</v>
      </c>
      <c r="R171" s="2">
        <v>378147.431213778</v>
      </c>
      <c r="S171" s="2">
        <v>423525.1229594313</v>
      </c>
      <c r="T171" s="2">
        <v>5237341.922310825</v>
      </c>
      <c r="U171" s="2">
        <f>M171+P171+Q171+R171+S171+T171</f>
        <v>17058608.76948474</v>
      </c>
      <c r="V171" s="2">
        <f>F171-K171-L171-U171</f>
        <v>-9291417.257642798</v>
      </c>
      <c r="W171" s="2">
        <v>0</v>
      </c>
      <c r="X171" s="2">
        <v>0</v>
      </c>
      <c r="Y171" s="2">
        <f>W171+X171</f>
        <v>0</v>
      </c>
      <c r="Z171" s="2">
        <v>3.434251993894577E-09</v>
      </c>
      <c r="AA171" s="2">
        <v>0</v>
      </c>
      <c r="AB171" s="2">
        <v>0</v>
      </c>
      <c r="AC171" s="2">
        <v>0</v>
      </c>
      <c r="AD171" s="2">
        <v>0</v>
      </c>
      <c r="AE171" s="2">
        <v>854619.9058656149</v>
      </c>
      <c r="AF171" s="2">
        <f>F171-H171-L171-U171-AA171-AC171-AD171</f>
        <v>-10802676.04067764</v>
      </c>
      <c r="AG171" s="2">
        <f>F171-H171-L171-U171-AA171-AB171-AD171-Y171</f>
        <v>-10802676.04067764</v>
      </c>
      <c r="AH171" s="2">
        <f>AH170+AG171</f>
        <v>123363688.74427503</v>
      </c>
      <c r="AI171" s="2">
        <v>53463626.12329523</v>
      </c>
      <c r="AJ171" s="2">
        <f>AH171-AI171</f>
        <v>69900062.6209798</v>
      </c>
      <c r="AK171" s="3">
        <v>0.25</v>
      </c>
    </row>
    <row r="172" spans="1:37">
      <c r="A172" s="2">
        <v>171</v>
      </c>
      <c r="B172" s="2">
        <v>2041</v>
      </c>
      <c r="C172" s="2">
        <v>36</v>
      </c>
      <c r="D172" s="2">
        <v>529391.2778020406</v>
      </c>
      <c r="E172" s="2">
        <v>19058086.00087346</v>
      </c>
      <c r="F172" s="2">
        <f>E172/1.19</f>
        <v>16015198.320061732</v>
      </c>
      <c r="G172" s="2">
        <v>60</v>
      </c>
      <c r="H172" s="2">
        <v>6828679.101975977</v>
      </c>
      <c r="I172" s="2">
        <v>108</v>
      </c>
      <c r="J172" s="2">
        <v>12217628.54691887</v>
      </c>
      <c r="K172" s="2">
        <v>4072542.848972958</v>
      </c>
      <c r="L172" s="2">
        <v>1605427.108530214</v>
      </c>
      <c r="M172" s="2">
        <v>9954731.126702705</v>
      </c>
      <c r="N172" s="3">
        <v>1.5</v>
      </c>
      <c r="O172" s="3">
        <v>2</v>
      </c>
      <c r="P172" s="2">
        <v>287392.0477224712</v>
      </c>
      <c r="Q172" s="2">
        <v>777471.1185755276</v>
      </c>
      <c r="R172" s="2">
        <v>378147.431213778</v>
      </c>
      <c r="S172" s="2">
        <v>423525.1229594313</v>
      </c>
      <c r="T172" s="2">
        <v>5237341.922310825</v>
      </c>
      <c r="U172" s="2">
        <f>M172+P172+Q172+R172+S172+T172</f>
        <v>17058608.76948474</v>
      </c>
      <c r="V172" s="2">
        <f>F172-K172-L172-U172</f>
        <v>-6721380.406926179</v>
      </c>
      <c r="W172" s="2">
        <v>0</v>
      </c>
      <c r="X172" s="2">
        <v>0</v>
      </c>
      <c r="Y172" s="2">
        <f>W172+X172</f>
        <v>0</v>
      </c>
      <c r="Z172" s="2">
        <v>3.434251993894577E-09</v>
      </c>
      <c r="AA172" s="2">
        <v>0</v>
      </c>
      <c r="AB172" s="2">
        <v>0</v>
      </c>
      <c r="AC172" s="2">
        <v>0</v>
      </c>
      <c r="AD172" s="2">
        <v>427309.9529328075</v>
      </c>
      <c r="AE172" s="2">
        <v>1281929.858798422</v>
      </c>
      <c r="AF172" s="2">
        <f>F172-H172-L172-U172-AA172-AC172-AD172</f>
        <v>-9904826.612862006</v>
      </c>
      <c r="AG172" s="2">
        <f>F172-H172-L172-U172-AA172-AB172-AD172-Y172</f>
        <v>-9904826.612862006</v>
      </c>
      <c r="AH172" s="2">
        <f>AH171+AG172</f>
        <v>113458862.13141303</v>
      </c>
      <c r="AI172" s="2">
        <v>53463626.12329523</v>
      </c>
      <c r="AJ172" s="2">
        <f>AH172-AI172</f>
        <v>59995236.008117795</v>
      </c>
      <c r="AK172" s="3">
        <v>0.25</v>
      </c>
    </row>
    <row r="173" spans="1:37">
      <c r="A173" s="2">
        <v>172</v>
      </c>
      <c r="B173" s="2">
        <v>2041</v>
      </c>
      <c r="C173" s="2">
        <v>45</v>
      </c>
      <c r="D173" s="2">
        <v>529391.2778020406</v>
      </c>
      <c r="E173" s="2">
        <v>23822607.50109183</v>
      </c>
      <c r="F173" s="2">
        <f>E173/1.19</f>
        <v>20018997.900077168</v>
      </c>
      <c r="G173" s="2">
        <v>60</v>
      </c>
      <c r="H173" s="2">
        <v>6828679.101975977</v>
      </c>
      <c r="I173" s="2">
        <v>123</v>
      </c>
      <c r="J173" s="2">
        <v>13944618.10008373</v>
      </c>
      <c r="K173" s="2">
        <v>5101689.54881112</v>
      </c>
      <c r="L173" s="2">
        <v>2007664.764670361</v>
      </c>
      <c r="M173" s="2">
        <v>9954731.126702705</v>
      </c>
      <c r="N173" s="3">
        <v>1.5</v>
      </c>
      <c r="O173" s="3">
        <v>2</v>
      </c>
      <c r="P173" s="2">
        <v>287392.0477224712</v>
      </c>
      <c r="Q173" s="2">
        <v>777471.1185755276</v>
      </c>
      <c r="R173" s="2">
        <v>378147.431213778</v>
      </c>
      <c r="S173" s="2">
        <v>423525.1229594313</v>
      </c>
      <c r="T173" s="2">
        <v>5237341.922310825</v>
      </c>
      <c r="U173" s="2">
        <f>M173+P173+Q173+R173+S173+T173</f>
        <v>17058608.76948474</v>
      </c>
      <c r="V173" s="2">
        <f>F173-K173-L173-U173</f>
        <v>-4148965.1828890517</v>
      </c>
      <c r="W173" s="2">
        <v>0</v>
      </c>
      <c r="X173" s="2">
        <v>0</v>
      </c>
      <c r="Y173" s="2">
        <f>W173+X173</f>
        <v>0</v>
      </c>
      <c r="Z173" s="2">
        <v>3.434251993894577E-09</v>
      </c>
      <c r="AA173" s="2">
        <v>0</v>
      </c>
      <c r="AB173" s="2">
        <v>0</v>
      </c>
      <c r="AC173" s="2">
        <v>0</v>
      </c>
      <c r="AD173" s="2">
        <v>0</v>
      </c>
      <c r="AE173" s="2">
        <v>1281929.858798422</v>
      </c>
      <c r="AF173" s="2">
        <f>F173-H173-L173-U173-AA173-AC173-AD173</f>
        <v>-5875954.73605391</v>
      </c>
      <c r="AG173" s="2">
        <f>F173-H173-L173-U173-AA173-AB173-AD173-Y173</f>
        <v>-5875954.73605391</v>
      </c>
      <c r="AH173" s="2">
        <f>AH172+AG173</f>
        <v>107582907.39535911</v>
      </c>
      <c r="AI173" s="2">
        <v>53463626.12329523</v>
      </c>
      <c r="AJ173" s="2">
        <f>AH173-AI173</f>
        <v>54119281.27206388</v>
      </c>
      <c r="AK173" s="3">
        <v>0.25</v>
      </c>
    </row>
    <row r="174" spans="1:37">
      <c r="A174" s="2">
        <v>173</v>
      </c>
      <c r="B174" s="2">
        <v>2041</v>
      </c>
      <c r="C174" s="2">
        <v>54</v>
      </c>
      <c r="D174" s="2">
        <v>529391.2778020406</v>
      </c>
      <c r="E174" s="2">
        <v>28587129.00131019</v>
      </c>
      <c r="F174" s="2">
        <f>E174/1.19</f>
        <v>24022797.4800926</v>
      </c>
      <c r="G174" s="2">
        <v>70</v>
      </c>
      <c r="H174" s="2">
        <v>7966792.285638641</v>
      </c>
      <c r="I174" s="2">
        <v>139</v>
      </c>
      <c r="J174" s="2">
        <v>15780756.70267052</v>
      </c>
      <c r="K174" s="2">
        <v>6130653.683051855</v>
      </c>
      <c r="L174" s="2">
        <v>2409887.815562714</v>
      </c>
      <c r="M174" s="2">
        <v>9954731.126702705</v>
      </c>
      <c r="N174" s="3">
        <v>1.5</v>
      </c>
      <c r="O174" s="3">
        <v>2</v>
      </c>
      <c r="P174" s="2">
        <v>287392.0477224712</v>
      </c>
      <c r="Q174" s="2">
        <v>777471.1185755276</v>
      </c>
      <c r="R174" s="2">
        <v>378147.431213778</v>
      </c>
      <c r="S174" s="2">
        <v>423525.1229594313</v>
      </c>
      <c r="T174" s="2">
        <v>5237341.922310825</v>
      </c>
      <c r="U174" s="2">
        <f>M174+P174+Q174+R174+S174+T174</f>
        <v>17058608.76948474</v>
      </c>
      <c r="V174" s="2">
        <f>F174-K174-L174-U174</f>
        <v>-1576352.788006708</v>
      </c>
      <c r="W174" s="2">
        <v>0</v>
      </c>
      <c r="X174" s="2">
        <v>0</v>
      </c>
      <c r="Y174" s="2">
        <f>W174+X174</f>
        <v>0</v>
      </c>
      <c r="Z174" s="2">
        <v>3.434251993894577E-09</v>
      </c>
      <c r="AA174" s="2">
        <v>0</v>
      </c>
      <c r="AB174" s="2">
        <v>0</v>
      </c>
      <c r="AC174" s="2">
        <v>0</v>
      </c>
      <c r="AD174" s="2">
        <v>213654.9764664036</v>
      </c>
      <c r="AE174" s="2">
        <v>1495584.835264826</v>
      </c>
      <c r="AF174" s="2">
        <f>F174-H174-L174-U174-AA174-AC174-AD174</f>
        <v>-3626146.3670598986</v>
      </c>
      <c r="AG174" s="2">
        <f>F174-H174-L174-U174-AA174-AB174-AD174-Y174</f>
        <v>-3626146.3670598986</v>
      </c>
      <c r="AH174" s="2">
        <f>AH173+AG174</f>
        <v>103956761.02829921</v>
      </c>
      <c r="AI174" s="2">
        <v>53463626.12329523</v>
      </c>
      <c r="AJ174" s="2">
        <f>AH174-AI174</f>
        <v>50493134.90500398</v>
      </c>
      <c r="AK174" s="3">
        <v>0.25</v>
      </c>
    </row>
    <row r="175" spans="1:37">
      <c r="A175" s="2">
        <v>174</v>
      </c>
      <c r="B175" s="2">
        <v>2041</v>
      </c>
      <c r="C175" s="2">
        <v>63</v>
      </c>
      <c r="D175" s="2">
        <v>529391.2778020406</v>
      </c>
      <c r="E175" s="2">
        <v>33351650.50152856</v>
      </c>
      <c r="F175" s="2">
        <f>E175/1.19</f>
        <v>28026597.060108032</v>
      </c>
      <c r="G175" s="2">
        <v>90</v>
      </c>
      <c r="H175" s="2">
        <v>10243018.65296396</v>
      </c>
      <c r="I175" s="2">
        <v>166</v>
      </c>
      <c r="J175" s="2">
        <v>18864396.10932456</v>
      </c>
      <c r="K175" s="2">
        <v>7159379.246309923</v>
      </c>
      <c r="L175" s="2">
        <v>2812091.780776454</v>
      </c>
      <c r="M175" s="2">
        <v>9954731.126702705</v>
      </c>
      <c r="N175" s="3">
        <v>1.5</v>
      </c>
      <c r="O175" s="3">
        <v>2</v>
      </c>
      <c r="P175" s="2">
        <v>287392.0477224712</v>
      </c>
      <c r="Q175" s="2">
        <v>777471.1185755276</v>
      </c>
      <c r="R175" s="2">
        <v>378147.431213778</v>
      </c>
      <c r="S175" s="2">
        <v>423525.1229594313</v>
      </c>
      <c r="T175" s="2">
        <v>5237341.922310825</v>
      </c>
      <c r="U175" s="2">
        <f>M175+P175+Q175+R175+S175+T175</f>
        <v>17058608.76948474</v>
      </c>
      <c r="V175" s="2">
        <f>F175-K175-L175-U175</f>
        <v>996517.2635369115</v>
      </c>
      <c r="W175" s="2">
        <v>0</v>
      </c>
      <c r="X175" s="2">
        <v>0</v>
      </c>
      <c r="Y175" s="2">
        <f>W175+X175</f>
        <v>0</v>
      </c>
      <c r="Z175" s="2">
        <v>3.434251993894577E-09</v>
      </c>
      <c r="AA175" s="2">
        <v>0</v>
      </c>
      <c r="AB175" s="2">
        <v>0</v>
      </c>
      <c r="AC175" s="2">
        <v>0</v>
      </c>
      <c r="AD175" s="2">
        <v>427309.9529328072</v>
      </c>
      <c r="AE175" s="2">
        <v>1922894.788197633</v>
      </c>
      <c r="AF175" s="2">
        <f>F175-H175-L175-U175-AA175-AC175-AD175</f>
        <v>-2514432.0960499314</v>
      </c>
      <c r="AG175" s="2">
        <f>F175-H175-L175-U175-AA175-AB175-AD175-Y175</f>
        <v>-2514432.0960499314</v>
      </c>
      <c r="AH175" s="2">
        <f>AH174+AG175</f>
        <v>101442328.93224928</v>
      </c>
      <c r="AI175" s="2">
        <v>53463626.12329523</v>
      </c>
      <c r="AJ175" s="2">
        <f>AH175-AI175</f>
        <v>47978702.808954045</v>
      </c>
      <c r="AK175" s="3">
        <v>0.25</v>
      </c>
    </row>
    <row r="176" spans="1:37">
      <c r="A176" s="2">
        <v>175</v>
      </c>
      <c r="B176" s="2">
        <v>2041</v>
      </c>
      <c r="C176" s="2">
        <v>72</v>
      </c>
      <c r="D176" s="2">
        <v>529391.2778020406</v>
      </c>
      <c r="E176" s="2">
        <v>38116172.00174692</v>
      </c>
      <c r="F176" s="2">
        <f>E176/1.19</f>
        <v>32030396.640123464</v>
      </c>
      <c r="G176" s="2">
        <v>100</v>
      </c>
      <c r="H176" s="2">
        <v>11381131.83662663</v>
      </c>
      <c r="I176" s="2">
        <v>194</v>
      </c>
      <c r="J176" s="2">
        <v>22058768.50193433</v>
      </c>
      <c r="K176" s="2">
        <v>8186759.444016863</v>
      </c>
      <c r="L176" s="2">
        <v>3214188.116746103</v>
      </c>
      <c r="M176" s="2">
        <v>9954731.126702705</v>
      </c>
      <c r="N176" s="3">
        <v>1.5</v>
      </c>
      <c r="O176" s="3">
        <v>2</v>
      </c>
      <c r="P176" s="2">
        <v>287392.0477224712</v>
      </c>
      <c r="Q176" s="2">
        <v>777471.1185755276</v>
      </c>
      <c r="R176" s="2">
        <v>378147.431213778</v>
      </c>
      <c r="S176" s="2">
        <v>423525.1229594313</v>
      </c>
      <c r="T176" s="2">
        <v>5237341.922310825</v>
      </c>
      <c r="U176" s="2">
        <f>M176+P176+Q176+R176+S176+T176</f>
        <v>17058608.76948474</v>
      </c>
      <c r="V176" s="2">
        <f>F176-K176-L176-U176</f>
        <v>3570840.30987576</v>
      </c>
      <c r="W176" s="2">
        <v>0</v>
      </c>
      <c r="X176" s="2">
        <v>0</v>
      </c>
      <c r="Y176" s="2">
        <f>W176+X176</f>
        <v>0</v>
      </c>
      <c r="Z176" s="2">
        <v>3.434251993894577E-09</v>
      </c>
      <c r="AA176" s="2">
        <v>0</v>
      </c>
      <c r="AB176" s="2">
        <v>0</v>
      </c>
      <c r="AC176" s="2">
        <v>0</v>
      </c>
      <c r="AD176" s="2">
        <v>213654.976466404</v>
      </c>
      <c r="AE176" s="2">
        <v>2136549.764664037</v>
      </c>
      <c r="AF176" s="2">
        <f>F176-H176-L176-U176-AA176-AC176-AD176</f>
        <v>162812.94079958857</v>
      </c>
      <c r="AG176" s="2">
        <f>F176-H176-L176-U176-AA176-AB176-AD176-Y176</f>
        <v>162812.94079958857</v>
      </c>
      <c r="AH176" s="2">
        <f>AH175+AG176</f>
        <v>101605141.87304887</v>
      </c>
      <c r="AI176" s="2">
        <v>53463626.12329523</v>
      </c>
      <c r="AJ176" s="2">
        <f>AH176-AI176</f>
        <v>48141515.74975364</v>
      </c>
      <c r="AK176" s="3">
        <v>0.25</v>
      </c>
    </row>
    <row r="177" spans="1:37">
      <c r="A177" s="2">
        <v>176</v>
      </c>
      <c r="B177" s="2">
        <v>2041</v>
      </c>
      <c r="C177" s="2">
        <v>90</v>
      </c>
      <c r="D177" s="2">
        <v>529391.2778020406</v>
      </c>
      <c r="E177" s="2">
        <v>47645215.00218365</v>
      </c>
      <c r="F177" s="2">
        <f>E177/1.19</f>
        <v>40037995.800154336</v>
      </c>
      <c r="G177" s="2">
        <v>120</v>
      </c>
      <c r="H177" s="2">
        <v>13657358.20395195</v>
      </c>
      <c r="I177" s="2">
        <v>224</v>
      </c>
      <c r="J177" s="2">
        <v>25479020.32521824</v>
      </c>
      <c r="K177" s="2">
        <v>10237106.38066804</v>
      </c>
      <c r="L177" s="2">
        <v>4018027.711984387</v>
      </c>
      <c r="M177" s="2">
        <v>9954731.126702705</v>
      </c>
      <c r="N177" s="3">
        <v>1.5</v>
      </c>
      <c r="O177" s="3">
        <v>2</v>
      </c>
      <c r="P177" s="2">
        <v>287392.0477224712</v>
      </c>
      <c r="Q177" s="2">
        <v>777471.1185755276</v>
      </c>
      <c r="R177" s="2">
        <v>378147.431213778</v>
      </c>
      <c r="S177" s="2">
        <v>423525.1229594313</v>
      </c>
      <c r="T177" s="2">
        <v>5237341.922310825</v>
      </c>
      <c r="U177" s="2">
        <f>M177+P177+Q177+R177+S177+T177</f>
        <v>17058608.76948474</v>
      </c>
      <c r="V177" s="2">
        <f>F177-K177-L177-U177</f>
        <v>8724252.938017163</v>
      </c>
      <c r="W177" s="2">
        <v>0</v>
      </c>
      <c r="X177" s="2">
        <v>0</v>
      </c>
      <c r="Y177" s="2">
        <f>W177+X177</f>
        <v>0</v>
      </c>
      <c r="Z177" s="2">
        <v>3.434251993894577E-09</v>
      </c>
      <c r="AA177" s="2">
        <v>0</v>
      </c>
      <c r="AB177" s="2">
        <v>0</v>
      </c>
      <c r="AC177" s="2">
        <v>0</v>
      </c>
      <c r="AD177" s="2">
        <v>427309.9529328076</v>
      </c>
      <c r="AE177" s="2">
        <v>2563859.717596845</v>
      </c>
      <c r="AF177" s="2">
        <f>F177-H177-L177-U177-AA177-AC177-AD177</f>
        <v>4876691.161800445</v>
      </c>
      <c r="AG177" s="2">
        <f>F177-H177-L177-U177-AA177-AB177-AD177-Y177</f>
        <v>4876691.161800445</v>
      </c>
      <c r="AH177" s="2">
        <f>AH176+AG177</f>
        <v>106481833.03484932</v>
      </c>
      <c r="AI177" s="2">
        <v>53463626.12329523</v>
      </c>
      <c r="AJ177" s="2">
        <f>AH177-AI177</f>
        <v>53018206.91155408</v>
      </c>
      <c r="AK177" s="3">
        <v>0.25</v>
      </c>
    </row>
    <row r="178" spans="1:37">
      <c r="A178" s="2">
        <v>177</v>
      </c>
      <c r="B178" s="2">
        <v>2041</v>
      </c>
      <c r="C178" s="2">
        <v>99</v>
      </c>
      <c r="D178" s="2">
        <v>529391.2778020406</v>
      </c>
      <c r="E178" s="2">
        <v>52409736.50240202</v>
      </c>
      <c r="F178" s="2">
        <f>E178/1.19</f>
        <v>44041795.38016977</v>
      </c>
      <c r="G178" s="2">
        <v>120</v>
      </c>
      <c r="H178" s="2">
        <v>13657358.20395195</v>
      </c>
      <c r="I178" s="2">
        <v>245</v>
      </c>
      <c r="J178" s="2">
        <v>27873292.84781016</v>
      </c>
      <c r="K178" s="2">
        <v>11263085.68136003</v>
      </c>
      <c r="L178" s="2">
        <v>4420011.976192839</v>
      </c>
      <c r="M178" s="2">
        <v>9954731.126702705</v>
      </c>
      <c r="N178" s="3">
        <v>1.5</v>
      </c>
      <c r="O178" s="3">
        <v>2</v>
      </c>
      <c r="P178" s="2">
        <v>287392.0477224712</v>
      </c>
      <c r="Q178" s="2">
        <v>777471.1185755276</v>
      </c>
      <c r="R178" s="2">
        <v>378147.431213778</v>
      </c>
      <c r="S178" s="2">
        <v>423525.1229594313</v>
      </c>
      <c r="T178" s="2">
        <v>5237341.922310825</v>
      </c>
      <c r="U178" s="2">
        <f>M178+P178+Q178+R178+S178+T178</f>
        <v>17058608.76948474</v>
      </c>
      <c r="V178" s="2">
        <f>F178-K178-L178-U178</f>
        <v>11300088.953132164</v>
      </c>
      <c r="W178" s="2">
        <v>0</v>
      </c>
      <c r="X178" s="2">
        <v>0</v>
      </c>
      <c r="Y178" s="2">
        <f>W178+X178</f>
        <v>0</v>
      </c>
      <c r="Z178" s="2">
        <v>3.434251993894577E-09</v>
      </c>
      <c r="AA178" s="2">
        <v>0</v>
      </c>
      <c r="AB178" s="2">
        <v>0</v>
      </c>
      <c r="AC178" s="2">
        <v>0</v>
      </c>
      <c r="AD178" s="2">
        <v>0</v>
      </c>
      <c r="AE178" s="2">
        <v>2563859.717596845</v>
      </c>
      <c r="AF178" s="2">
        <f>F178-H178-L178-U178-AA178-AC178-AD178</f>
        <v>8905816.430540238</v>
      </c>
      <c r="AG178" s="2">
        <f>F178-H178-L178-U178-AA178-AB178-AD178-Y178</f>
        <v>8905816.430540238</v>
      </c>
      <c r="AH178" s="2">
        <f>AH177+AG178</f>
        <v>115387649.46538955</v>
      </c>
      <c r="AI178" s="2">
        <v>53463626.12329523</v>
      </c>
      <c r="AJ178" s="2">
        <f>AH178-AI178</f>
        <v>61924023.34209432</v>
      </c>
      <c r="AK178" s="3">
        <v>0.25</v>
      </c>
    </row>
    <row r="179" spans="1:37">
      <c r="A179" s="2">
        <v>178</v>
      </c>
      <c r="B179" s="2">
        <v>2041</v>
      </c>
      <c r="C179" s="2">
        <v>117</v>
      </c>
      <c r="D179" s="2">
        <v>529391.2778020406</v>
      </c>
      <c r="E179" s="2">
        <v>61938779.50283875</v>
      </c>
      <c r="F179" s="2">
        <f>E179/1.19</f>
        <v>52049394.540200636</v>
      </c>
      <c r="G179" s="2">
        <v>160</v>
      </c>
      <c r="H179" s="2">
        <v>18209810.93860261</v>
      </c>
      <c r="I179" s="2">
        <v>288</v>
      </c>
      <c r="J179" s="2">
        <v>32770207.13700464</v>
      </c>
      <c r="K179" s="2">
        <v>13312896.64940814</v>
      </c>
      <c r="L179" s="2">
        <v>5223808.693942877</v>
      </c>
      <c r="M179" s="2">
        <v>9954731.126702705</v>
      </c>
      <c r="N179" s="3">
        <v>1.5</v>
      </c>
      <c r="O179" s="3">
        <v>2</v>
      </c>
      <c r="P179" s="2">
        <v>287392.0477224712</v>
      </c>
      <c r="Q179" s="2">
        <v>777471.1185755276</v>
      </c>
      <c r="R179" s="2">
        <v>378147.431213778</v>
      </c>
      <c r="S179" s="2">
        <v>423525.1229594313</v>
      </c>
      <c r="T179" s="2">
        <v>5237341.922310825</v>
      </c>
      <c r="U179" s="2">
        <f>M179+P179+Q179+R179+S179+T179</f>
        <v>17058608.76948474</v>
      </c>
      <c r="V179" s="2">
        <f>F179-K179-L179-U179</f>
        <v>16454080.427364886</v>
      </c>
      <c r="W179" s="2">
        <v>0</v>
      </c>
      <c r="X179" s="2">
        <v>0</v>
      </c>
      <c r="Y179" s="2">
        <f>W179+X179</f>
        <v>0</v>
      </c>
      <c r="Z179" s="2">
        <v>3.434251993894577E-09</v>
      </c>
      <c r="AA179" s="2">
        <v>0</v>
      </c>
      <c r="AB179" s="2">
        <v>0</v>
      </c>
      <c r="AC179" s="2">
        <v>0</v>
      </c>
      <c r="AD179" s="2">
        <v>854619.9058656148</v>
      </c>
      <c r="AE179" s="2">
        <v>3418479.62346246</v>
      </c>
      <c r="AF179" s="2">
        <f>F179-H179-L179-U179-AA179-AC179-AD179</f>
        <v>10702546.232304791</v>
      </c>
      <c r="AG179" s="2">
        <f>F179-H179-L179-U179-AA179-AB179-AD179-Y179</f>
        <v>10702546.232304791</v>
      </c>
      <c r="AH179" s="2">
        <f>AH178+AG179</f>
        <v>126090195.69769435</v>
      </c>
      <c r="AI179" s="2">
        <v>53463626.12329523</v>
      </c>
      <c r="AJ179" s="2">
        <f>AH179-AI179</f>
        <v>72626569.57439911</v>
      </c>
      <c r="AK179" s="3">
        <v>0.25</v>
      </c>
    </row>
    <row r="180" spans="1:37">
      <c r="A180" s="2">
        <v>179</v>
      </c>
      <c r="B180" s="2">
        <v>2041</v>
      </c>
      <c r="C180" s="2">
        <v>126</v>
      </c>
      <c r="D180" s="2">
        <v>529391.2778020406</v>
      </c>
      <c r="E180" s="2">
        <v>66703301.00305711</v>
      </c>
      <c r="F180" s="2">
        <f>E180/1.19</f>
        <v>56053194.120216064</v>
      </c>
      <c r="G180" s="2">
        <v>0</v>
      </c>
      <c r="H180" s="2">
        <v>0</v>
      </c>
      <c r="I180" s="2">
        <v>162</v>
      </c>
      <c r="J180" s="2">
        <v>18433241.51456511</v>
      </c>
      <c r="K180" s="2">
        <v>14336965.62243953</v>
      </c>
      <c r="L180" s="2">
        <v>5625640.131938483</v>
      </c>
      <c r="M180" s="2">
        <v>9954731.126702705</v>
      </c>
      <c r="N180" s="3">
        <v>1.5</v>
      </c>
      <c r="O180" s="3">
        <v>2</v>
      </c>
      <c r="P180" s="2">
        <v>287392.0477224712</v>
      </c>
      <c r="Q180" s="2">
        <v>777471.1185755276</v>
      </c>
      <c r="R180" s="2">
        <v>378147.431213778</v>
      </c>
      <c r="S180" s="2">
        <v>423525.1229594313</v>
      </c>
      <c r="T180" s="2">
        <v>5237341.922310825</v>
      </c>
      <c r="U180" s="2">
        <f>M180+P180+Q180+R180+S180+T180</f>
        <v>17058608.76948474</v>
      </c>
      <c r="V180" s="2">
        <f>F180-K180-L180-U180</f>
        <v>19031979.59635332</v>
      </c>
      <c r="W180" s="2">
        <v>0</v>
      </c>
      <c r="X180" s="2">
        <v>0</v>
      </c>
      <c r="Y180" s="2">
        <f>W180+X180</f>
        <v>0</v>
      </c>
      <c r="Z180" s="2">
        <v>3.434251993894577E-09</v>
      </c>
      <c r="AA180" s="2">
        <v>0</v>
      </c>
      <c r="AB180" s="2">
        <v>0</v>
      </c>
      <c r="AC180" s="2">
        <v>0</v>
      </c>
      <c r="AD180" s="2">
        <v>-3418479.62346246</v>
      </c>
      <c r="AE180" s="2">
        <v>0</v>
      </c>
      <c r="AF180" s="2">
        <f>F180-H180-L180-U180-AA180-AC180-AD180</f>
        <v>36787424.8422553</v>
      </c>
      <c r="AG180" s="2">
        <f>F180-H180-L180-U180-AA180-AB180-AD180-Y180</f>
        <v>36787424.8422553</v>
      </c>
      <c r="AH180" s="2">
        <f>AH179+AG180</f>
        <v>162877620.53994966</v>
      </c>
      <c r="AI180" s="2">
        <v>53463626.12329523</v>
      </c>
      <c r="AJ180" s="2">
        <f>AH180-AI180</f>
        <v>109413994.41665442</v>
      </c>
      <c r="AK180" s="3">
        <v>0.25</v>
      </c>
    </row>
    <row r="181" spans="1:37">
      <c r="A181" s="2">
        <v>180</v>
      </c>
      <c r="B181" s="2">
        <v>2041</v>
      </c>
      <c r="C181" s="2">
        <v>153</v>
      </c>
      <c r="D181" s="2">
        <v>529391.2778020406</v>
      </c>
      <c r="E181" s="2">
        <v>80996865.50371221</v>
      </c>
      <c r="F181" s="2">
        <f>E181/1.19</f>
        <v>68064592.86026236</v>
      </c>
      <c r="G181" s="2">
        <v>0</v>
      </c>
      <c r="H181" s="2">
        <v>0</v>
      </c>
      <c r="I181" s="2">
        <v>9</v>
      </c>
      <c r="J181" s="2">
        <v>1024068.973031394</v>
      </c>
      <c r="K181" s="2">
        <v>17409172.54153372</v>
      </c>
      <c r="L181" s="2">
        <v>6831134.445925301</v>
      </c>
      <c r="M181" s="2">
        <v>9954731.126702705</v>
      </c>
      <c r="N181" s="3">
        <v>1.5</v>
      </c>
      <c r="O181" s="3">
        <v>2</v>
      </c>
      <c r="P181" s="2">
        <v>287392.0477224712</v>
      </c>
      <c r="Q181" s="2">
        <v>777471.1185755276</v>
      </c>
      <c r="R181" s="2">
        <v>378147.431213778</v>
      </c>
      <c r="S181" s="2">
        <v>423525.1229594313</v>
      </c>
      <c r="T181" s="2">
        <v>5237341.922310825</v>
      </c>
      <c r="U181" s="2">
        <f>M181+P181+Q181+R181+S181+T181</f>
        <v>17058608.76948474</v>
      </c>
      <c r="V181" s="2">
        <f>F181-K181-L181-U181</f>
        <v>26765677.103318606</v>
      </c>
      <c r="W181" s="2">
        <v>0</v>
      </c>
      <c r="X181" s="2">
        <v>0</v>
      </c>
      <c r="Y181" s="2">
        <f>W181+X181</f>
        <v>0</v>
      </c>
      <c r="Z181" s="2">
        <v>3.434251993894577E-09</v>
      </c>
      <c r="AA181" s="2">
        <v>0</v>
      </c>
      <c r="AB181" s="2">
        <v>14406741.78423948</v>
      </c>
      <c r="AC181" s="2">
        <v>14406741.78423948</v>
      </c>
      <c r="AD181" s="2">
        <v>0</v>
      </c>
      <c r="AE181" s="2">
        <v>0</v>
      </c>
      <c r="AF181" s="2">
        <f>F181-H181-L181-U181-AA181-AC181-AD181</f>
        <v>29768107.860612847</v>
      </c>
      <c r="AG181" s="2">
        <f>F181-H181-L181-U181-AA181-AB181-AD181-Y181</f>
        <v>29768107.860612847</v>
      </c>
      <c r="AH181" s="2">
        <f>AH180+AG181</f>
        <v>192645728.4005625</v>
      </c>
      <c r="AI181" s="2">
        <v>53463626.12329523</v>
      </c>
      <c r="AJ181" s="2">
        <f>AH181-AI181</f>
        <v>139182102.27726728</v>
      </c>
      <c r="AK181" s="3">
        <v>0.25</v>
      </c>
    </row>
  </sheetData>
  <autoFilter ref="A1:AK18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  <c r="AL1" s="1" t="s">
        <v>152</v>
      </c>
      <c r="AM1" s="1" t="s">
        <v>153</v>
      </c>
      <c r="AN1" s="1" t="s">
        <v>154</v>
      </c>
      <c r="AO1" s="1" t="s">
        <v>155</v>
      </c>
    </row>
    <row r="2" spans="1:41">
      <c r="A2" s="2">
        <v>78</v>
      </c>
      <c r="B2" s="2">
        <v>2027</v>
      </c>
      <c r="C2" s="2">
        <f>SUM('Estres_mensual'!C2:C13)</f>
        <v>130</v>
      </c>
      <c r="D2" s="2">
        <v>349990</v>
      </c>
      <c r="E2" s="2">
        <f>SUM('Estres_mensual'!E2:E13)</f>
        <v>45498700.0</v>
      </c>
      <c r="F2" s="2">
        <f>SUM('Estres_mensual'!F2:F13)</f>
        <v>38234201.68067227</v>
      </c>
      <c r="G2" s="2">
        <f>SUM('Estres_mensual'!G2:G13)</f>
        <v>140</v>
      </c>
      <c r="H2" s="2">
        <f>SUM('Estres_mensual'!H2:H13)</f>
        <v>10533976.470588235</v>
      </c>
      <c r="I2" s="2">
        <v>20</v>
      </c>
      <c r="J2" s="2">
        <v>1504853.781512605</v>
      </c>
      <c r="K2" s="2">
        <f>SUM('Estres_mensual'!K2:K13)</f>
        <v>9781549.579831932</v>
      </c>
      <c r="L2" s="2">
        <f>SUM('Estres_mensual'!L2:L13)</f>
        <v>3837458.9663865548</v>
      </c>
      <c r="M2" s="2">
        <f>SUM('Estres_mensual'!M2:M13)</f>
        <v>19440000.0</v>
      </c>
      <c r="N2" s="3">
        <v>0</v>
      </c>
      <c r="O2" s="3">
        <v>0</v>
      </c>
      <c r="P2" s="2">
        <f>SUM('Estres_mensual'!P2:P13)</f>
        <v>1440000.0</v>
      </c>
      <c r="Q2" s="2">
        <f>SUM('Estres_mensual'!Q2:Q13)</f>
        <v>1878000.0</v>
      </c>
      <c r="R2" s="2">
        <f>SUM('Estres_mensual'!R2:R13)</f>
        <v>0</v>
      </c>
      <c r="S2" s="2">
        <f>SUM('Estres_mensual'!S2:S13)</f>
        <v>3360000.0</v>
      </c>
      <c r="T2" s="2">
        <f>SUM('Estres_mensual'!T2:T13)</f>
        <v>6000000.0</v>
      </c>
      <c r="U2" s="2">
        <f>SUM('Estres_mensual'!U2:U13)</f>
        <v>32118000.0</v>
      </c>
      <c r="V2" s="2">
        <f>SUM('Estres_mensual'!V2:V13)</f>
        <v>-7502806.865546218</v>
      </c>
      <c r="W2" s="2">
        <f>SUM('Estres_mensual'!W2:W13)</f>
        <v>3073382.712136357</v>
      </c>
      <c r="X2" s="2">
        <f>SUM('Estres_mensual'!X2:X13)</f>
        <v>1578461.3472276744</v>
      </c>
      <c r="Y2" s="2">
        <f>SUM('Estres_mensual'!Y2:Y13)</f>
        <v>4651844.059364032</v>
      </c>
      <c r="Z2" s="2">
        <v>26121538.65277232</v>
      </c>
      <c r="AA2" s="2">
        <f>SUM('Estres_mensual'!AA2:AA13)</f>
        <v>0</v>
      </c>
      <c r="AB2" s="2">
        <f>SUM('Estres_mensual'!AB2:AB13)</f>
        <v>0.0</v>
      </c>
      <c r="AC2" s="2">
        <f>SUM('Estres_mensual'!AC2:AC13)</f>
        <v>0.0</v>
      </c>
      <c r="AD2" s="2">
        <f>SUM('Estres_mensual'!AD2:AD13)</f>
        <v>141251.1092436975</v>
      </c>
      <c r="AE2" s="2">
        <v>141251.1092436975</v>
      </c>
      <c r="AF2" s="2">
        <f>SUM('Estres_mensual'!AF2:AF13)</f>
        <v>-8396484.865546217</v>
      </c>
      <c r="AG2" s="2">
        <f>SUM('Estres_mensual'!AG2:AG13)</f>
        <v>-13048328.92491025</v>
      </c>
      <c r="AH2" s="2">
        <v>11849283.07508975</v>
      </c>
      <c r="AI2" s="2">
        <v>10317299.81484101</v>
      </c>
      <c r="AJ2" s="2">
        <v>1531983.260248745</v>
      </c>
      <c r="AK2" s="3">
        <v>0.125</v>
      </c>
      <c r="AL2" s="3">
        <v>-1.804979865703866</v>
      </c>
      <c r="AM2" s="2">
        <v>-1559719.867112152</v>
      </c>
      <c r="AN2" s="2">
        <v>170</v>
      </c>
      <c r="AO2" s="2">
        <v>195</v>
      </c>
    </row>
    <row r="3" spans="1:41">
      <c r="A3" s="2">
        <v>222</v>
      </c>
      <c r="B3" s="2">
        <v>2028</v>
      </c>
      <c r="C3" s="2">
        <f>SUM('Estres_mensual'!C14:C25)</f>
        <v>228</v>
      </c>
      <c r="D3" s="2">
        <v>360489.7</v>
      </c>
      <c r="E3" s="2">
        <f>SUM('Estres_mensual'!E14:E25)</f>
        <v>82191651.60000001</v>
      </c>
      <c r="F3" s="2">
        <f>SUM('Estres_mensual'!F14:F25)</f>
        <v>69068614.78991598</v>
      </c>
      <c r="G3" s="2">
        <f>SUM('Estres_mensual'!G14:G25)</f>
        <v>230</v>
      </c>
      <c r="H3" s="2">
        <f>SUM('Estres_mensual'!H14:H25)</f>
        <v>17824993.042016808</v>
      </c>
      <c r="I3" s="2">
        <v>22</v>
      </c>
      <c r="J3" s="2">
        <v>1704439.964051296</v>
      </c>
      <c r="K3" s="2">
        <f>SUM('Estres_mensual'!K14:K25)</f>
        <v>17625406.859478116</v>
      </c>
      <c r="L3" s="2">
        <f>SUM('Estres_mensual'!L14:L25)</f>
        <v>6928655.12875825</v>
      </c>
      <c r="M3" s="2">
        <f>SUM('Estres_mensual'!M14:M25)</f>
        <v>28783350.0</v>
      </c>
      <c r="N3" s="3">
        <v>0.5</v>
      </c>
      <c r="O3" s="3">
        <v>0</v>
      </c>
      <c r="P3" s="2">
        <f>SUM('Estres_mensual'!P14:P25)</f>
        <v>1606800.0</v>
      </c>
      <c r="Q3" s="2">
        <f>SUM('Estres_mensual'!Q14:Q25)</f>
        <v>2155584.0</v>
      </c>
      <c r="R3" s="2">
        <f>SUM('Estres_mensual'!R14:R25)</f>
        <v>0</v>
      </c>
      <c r="S3" s="2">
        <f>SUM('Estres_mensual'!S14:S25)</f>
        <v>3460800.0</v>
      </c>
      <c r="T3" s="2">
        <f>SUM('Estres_mensual'!T14:T25)</f>
        <v>10815000.0</v>
      </c>
      <c r="U3" s="2">
        <f>SUM('Estres_mensual'!U14:U25)</f>
        <v>46821534.0</v>
      </c>
      <c r="V3" s="2">
        <f>SUM('Estres_mensual'!V14:V25)</f>
        <v>-2306981.1983203935</v>
      </c>
      <c r="W3" s="2">
        <f>SUM('Estres_mensual'!W14:W25)</f>
        <v>2883967.3504690346</v>
      </c>
      <c r="X3" s="2">
        <f>SUM('Estres_mensual'!X14:X25)</f>
        <v>1767876.7088949974</v>
      </c>
      <c r="Y3" s="2">
        <f>SUM('Estres_mensual'!Y14:Y25)</f>
        <v>4651844.059364032</v>
      </c>
      <c r="Z3" s="2">
        <v>24353661.94387732</v>
      </c>
      <c r="AA3" s="2">
        <f>SUM('Estres_mensual'!AA14:AA25)</f>
        <v>0</v>
      </c>
      <c r="AB3" s="2">
        <f>SUM('Estres_mensual'!AB14:AB25)</f>
        <v>0.0</v>
      </c>
      <c r="AC3" s="2">
        <f>SUM('Estres_mensual'!AC14:AC25)</f>
        <v>0.0</v>
      </c>
      <c r="AD3" s="2">
        <f>SUM('Estres_mensual'!AD14:AD25)</f>
        <v>4237.533277310868</v>
      </c>
      <c r="AE3" s="2">
        <v>145488.6425210084</v>
      </c>
      <c r="AF3" s="2">
        <f>SUM('Estres_mensual'!AF14:AF25)</f>
        <v>-2510804.914136393</v>
      </c>
      <c r="AG3" s="2">
        <f>SUM('Estres_mensual'!AG14:AG25)</f>
        <v>-7162648.973500425</v>
      </c>
      <c r="AH3" s="2">
        <v>4686634.10158933</v>
      </c>
      <c r="AI3" s="2">
        <v>13993183.31484101</v>
      </c>
      <c r="AJ3" s="2">
        <v>-9306549.213251678</v>
      </c>
      <c r="AK3" s="3">
        <v>0.15</v>
      </c>
      <c r="AL3" s="3">
        <v>-0.5397439987443723</v>
      </c>
      <c r="AM3" s="2">
        <v>-19803622.6066945</v>
      </c>
      <c r="AN3" s="2">
        <v>240</v>
      </c>
      <c r="AO3" s="2">
        <v>264</v>
      </c>
    </row>
    <row r="4" spans="1:41">
      <c r="A4" s="2">
        <v>366</v>
      </c>
      <c r="B4" s="2">
        <v>2029</v>
      </c>
      <c r="C4" s="2">
        <f>SUM('Estres_mensual'!C26:C37)</f>
        <v>325</v>
      </c>
      <c r="D4" s="2">
        <v>371304.391</v>
      </c>
      <c r="E4" s="2">
        <f>SUM('Estres_mensual'!E26:E37)</f>
        <v>120673927.07499999</v>
      </c>
      <c r="F4" s="2">
        <f>SUM('Estres_mensual'!F26:F37)</f>
        <v>101406661.40756303</v>
      </c>
      <c r="G4" s="2">
        <f>SUM('Estres_mensual'!G26:G37)</f>
        <v>330</v>
      </c>
      <c r="H4" s="2">
        <f>SUM('Estres_mensual'!H26:H37)</f>
        <v>26342239.71731092</v>
      </c>
      <c r="I4" s="2">
        <v>27</v>
      </c>
      <c r="J4" s="2">
        <v>2154733.473425467</v>
      </c>
      <c r="K4" s="2">
        <f>SUM('Estres_mensual'!K26:K37)</f>
        <v>25891946.20793675</v>
      </c>
      <c r="L4" s="2">
        <f>SUM('Estres_mensual'!L26:L37)</f>
        <v>10173807.05038494</v>
      </c>
      <c r="M4" s="2">
        <f>SUM('Estres_mensual'!M26:M37)</f>
        <v>41247792.0</v>
      </c>
      <c r="N4" s="3">
        <v>0.5</v>
      </c>
      <c r="O4" s="3">
        <v>0.5</v>
      </c>
      <c r="P4" s="2">
        <f>SUM('Estres_mensual'!P26:P37)</f>
        <v>1782312.0</v>
      </c>
      <c r="Q4" s="2">
        <f>SUM('Estres_mensual'!Q26:Q37)</f>
        <v>2572258.14</v>
      </c>
      <c r="R4" s="2">
        <f>SUM('Estres_mensual'!R26:R37)</f>
        <v>0</v>
      </c>
      <c r="S4" s="2">
        <f>SUM('Estres_mensual'!S26:S37)</f>
        <v>3564624.0</v>
      </c>
      <c r="T4" s="2">
        <f>SUM('Estres_mensual'!T26:T37)</f>
        <v>15913500.0</v>
      </c>
      <c r="U4" s="2">
        <f>SUM('Estres_mensual'!U26:U37)</f>
        <v>65080486.14000001</v>
      </c>
      <c r="V4" s="2">
        <f>SUM('Estres_mensual'!V26:V37)</f>
        <v>260422.0092413267</v>
      </c>
      <c r="W4" s="2">
        <f>SUM('Estres_mensual'!W26:W37)</f>
        <v>2671822.1454016333</v>
      </c>
      <c r="X4" s="2">
        <f>SUM('Estres_mensual'!X26:X37)</f>
        <v>1980021.9139623984</v>
      </c>
      <c r="Y4" s="2">
        <f>SUM('Estres_mensual'!Y26:Y37)</f>
        <v>4651844.059364032</v>
      </c>
      <c r="Z4" s="2">
        <v>22373640.02991493</v>
      </c>
      <c r="AA4" s="2">
        <f>SUM('Estres_mensual'!AA26:AA37)</f>
        <v>0</v>
      </c>
      <c r="AB4" s="2">
        <f>SUM('Estres_mensual'!AB26:AB37)</f>
        <v>0.0</v>
      </c>
      <c r="AC4" s="2">
        <f>SUM('Estres_mensual'!AC26:AC37)</f>
        <v>0.0</v>
      </c>
      <c r="AD4" s="2">
        <f>SUM('Estres_mensual'!AD26:AD37)</f>
        <v>4364.659275630227</v>
      </c>
      <c r="AE4" s="2">
        <v>149853.3017966386</v>
      </c>
      <c r="AF4" s="2">
        <f>SUM('Estres_mensual'!AF26:AF37)</f>
        <v>-194236.15940847318</v>
      </c>
      <c r="AG4" s="2">
        <f>SUM('Estres_mensual'!AG26:AG37)</f>
        <v>-4846080.2187725045</v>
      </c>
      <c r="AH4" s="2">
        <v>-159446.1171831749</v>
      </c>
      <c r="AI4" s="2">
        <v>18557921.34984101</v>
      </c>
      <c r="AJ4" s="2">
        <v>-18717367.46702418</v>
      </c>
      <c r="AK4" s="3">
        <v>0.25</v>
      </c>
      <c r="AL4" s="3">
        <v>-0.04175465835263365</v>
      </c>
      <c r="AM4" s="2">
        <v>-36309485.85962881</v>
      </c>
      <c r="AN4" s="2">
        <v>324</v>
      </c>
      <c r="AO4" s="2">
        <v>347</v>
      </c>
    </row>
    <row r="5" spans="1:41">
      <c r="A5" s="2">
        <v>510</v>
      </c>
      <c r="B5" s="2">
        <v>2030</v>
      </c>
      <c r="C5" s="2">
        <f>SUM('Estres_mensual'!C38:C49)</f>
        <v>422</v>
      </c>
      <c r="D5" s="2">
        <v>382443.52273</v>
      </c>
      <c r="E5" s="2">
        <f>SUM('Estres_mensual'!E38:E49)</f>
        <v>161391166.59206</v>
      </c>
      <c r="F5" s="2">
        <f>SUM('Estres_mensual'!F38:F49)</f>
        <v>135622829.06895798</v>
      </c>
      <c r="G5" s="2">
        <f>SUM('Estres_mensual'!G38:G49)</f>
        <v>430</v>
      </c>
      <c r="H5" s="2">
        <f>SUM('Estres_mensual'!H38:H49)</f>
        <v>35354478.69938487</v>
      </c>
      <c r="I5" s="2">
        <v>35</v>
      </c>
      <c r="J5" s="2">
        <v>2877032.817218718</v>
      </c>
      <c r="K5" s="2">
        <f>SUM('Estres_mensual'!K38:K49)</f>
        <v>34632179.35559162</v>
      </c>
      <c r="L5" s="2">
        <f>SUM('Estres_mensual'!L38:L49)</f>
        <v>13606917.44205033</v>
      </c>
      <c r="M5" s="2">
        <f>SUM('Estres_mensual'!M38:M49)</f>
        <v>47795878.980000004</v>
      </c>
      <c r="N5" s="3">
        <v>0.5</v>
      </c>
      <c r="O5" s="3">
        <v>0.5</v>
      </c>
      <c r="P5" s="2">
        <f>SUM('Estres_mensual'!P38:P49)</f>
        <v>1835781.3599999999</v>
      </c>
      <c r="Q5" s="2">
        <f>SUM('Estres_mensual'!Q38:Q49)</f>
        <v>3139186.1256</v>
      </c>
      <c r="R5" s="2">
        <f>SUM('Estres_mensual'!R38:R49)</f>
        <v>3278181.0</v>
      </c>
      <c r="S5" s="2">
        <f>SUM('Estres_mensual'!S38:S49)</f>
        <v>3671562.7199999997</v>
      </c>
      <c r="T5" s="2">
        <f>SUM('Estres_mensual'!T38:T49)</f>
        <v>21308176.5</v>
      </c>
      <c r="U5" s="2">
        <f>SUM('Estres_mensual'!U38:U49)</f>
        <v>81028766.6856</v>
      </c>
      <c r="V5" s="2">
        <f>SUM('Estres_mensual'!V38:V49)</f>
        <v>6354965.585716044</v>
      </c>
      <c r="W5" s="2">
        <f>SUM('Estres_mensual'!W38:W49)</f>
        <v>2434219.515726144</v>
      </c>
      <c r="X5" s="2">
        <f>SUM('Estres_mensual'!X38:X49)</f>
        <v>2217624.5436378876</v>
      </c>
      <c r="Y5" s="2">
        <f>SUM('Estres_mensual'!Y38:Y49)</f>
        <v>4651844.059364032</v>
      </c>
      <c r="Z5" s="2">
        <v>20156015.48627704</v>
      </c>
      <c r="AA5" s="2">
        <f>SUM('Estres_mensual'!AA38:AA49)</f>
        <v>1639090.5</v>
      </c>
      <c r="AB5" s="2">
        <f>SUM('Estres_mensual'!AB38:AB49)</f>
        <v>0.0</v>
      </c>
      <c r="AC5" s="2">
        <f>SUM('Estres_mensual'!AC38:AC49)</f>
        <v>0.0</v>
      </c>
      <c r="AD5" s="2">
        <f>SUM('Estres_mensual'!AD38:AD49)</f>
        <v>158844.49990443696</v>
      </c>
      <c r="AE5" s="2">
        <v>308697.8017010756</v>
      </c>
      <c r="AF5" s="2">
        <f>SUM('Estres_mensual'!AF38:AF49)</f>
        <v>3834731.242018352</v>
      </c>
      <c r="AG5" s="2">
        <f>SUM('Estres_mensual'!AG38:AG49)</f>
        <v>-817112.8173456793</v>
      </c>
      <c r="AH5" s="2">
        <v>-976558.9345288519</v>
      </c>
      <c r="AI5" s="2">
        <v>22544991.48624101</v>
      </c>
      <c r="AJ5" s="2">
        <v>-23521550.42076986</v>
      </c>
      <c r="AK5" s="3">
        <v>0.25</v>
      </c>
      <c r="AL5" s="3">
        <v>0.8243464727281965</v>
      </c>
      <c r="AM5" s="2">
        <v>-49501056.97707642</v>
      </c>
      <c r="AN5" s="2">
        <v>392</v>
      </c>
      <c r="AO5" s="2">
        <v>414</v>
      </c>
    </row>
    <row r="6" spans="1:41">
      <c r="A6" s="2">
        <v>654</v>
      </c>
      <c r="B6" s="2">
        <v>2031</v>
      </c>
      <c r="C6" s="2">
        <f>SUM('Estres_mensual'!C50:C61)</f>
        <v>552</v>
      </c>
      <c r="D6" s="2">
        <v>393916.8284119</v>
      </c>
      <c r="E6" s="2">
        <f>SUM('Estres_mensual'!E50:E61)</f>
        <v>217442089.28336883</v>
      </c>
      <c r="F6" s="2">
        <f>SUM('Estres_mensual'!F50:F61)</f>
        <v>182724444.7759402</v>
      </c>
      <c r="G6" s="2">
        <f>SUM('Estres_mensual'!G50:G61)</f>
        <v>550</v>
      </c>
      <c r="H6" s="2">
        <f>SUM('Estres_mensual'!H50:H61)</f>
        <v>46577470.193491936</v>
      </c>
      <c r="I6" s="2">
        <v>33</v>
      </c>
      <c r="J6" s="2">
        <v>2794009.511904567</v>
      </c>
      <c r="K6" s="2">
        <f>SUM('Estres_mensual'!K50:K61)</f>
        <v>46660493.49880609</v>
      </c>
      <c r="L6" s="2">
        <f>SUM('Estres_mensual'!L50:L61)</f>
        <v>18332629.12279293</v>
      </c>
      <c r="M6" s="2">
        <f>SUM('Estres_mensual'!M50:M61)</f>
        <v>69286322.3436</v>
      </c>
      <c r="N6" s="3">
        <v>1</v>
      </c>
      <c r="O6" s="3">
        <v>1</v>
      </c>
      <c r="P6" s="2">
        <f>SUM('Estres_mensual'!P50:P61)</f>
        <v>2160976.9152</v>
      </c>
      <c r="Q6" s="2">
        <f>SUM('Estres_mensual'!Q50:Q61)</f>
        <v>3891109.0579320006</v>
      </c>
      <c r="R6" s="2">
        <f>SUM('Estres_mensual'!R50:R61)</f>
        <v>3376526.43</v>
      </c>
      <c r="S6" s="2">
        <f>SUM('Estres_mensual'!S50:S61)</f>
        <v>3781709.6016000006</v>
      </c>
      <c r="T6" s="2">
        <f>SUM('Estres_mensual'!T50:T61)</f>
        <v>28700474.655000005</v>
      </c>
      <c r="U6" s="2">
        <f>SUM('Estres_mensual'!U50:U61)</f>
        <v>111197119.003332</v>
      </c>
      <c r="V6" s="2">
        <f>SUM('Estres_mensual'!V50:V61)</f>
        <v>6534203.151009174</v>
      </c>
      <c r="W6" s="2">
        <f>SUM('Estres_mensual'!W50:W61)</f>
        <v>2168104.5704895956</v>
      </c>
      <c r="X6" s="2">
        <f>SUM('Estres_mensual'!X50:X61)</f>
        <v>2483739.4888744364</v>
      </c>
      <c r="Y6" s="2">
        <f>SUM('Estres_mensual'!Y50:Y61)</f>
        <v>4651844.059364032</v>
      </c>
      <c r="Z6" s="2">
        <v>17672275.99740261</v>
      </c>
      <c r="AA6" s="2">
        <f>SUM('Estres_mensual'!AA50:AA61)</f>
        <v>0</v>
      </c>
      <c r="AB6" s="2">
        <f>SUM('Estres_mensual'!AB50:AB61)</f>
        <v>0.0</v>
      </c>
      <c r="AC6" s="2">
        <f>SUM('Estres_mensual'!AC50:AC61)</f>
        <v>0.0</v>
      </c>
      <c r="AD6" s="2">
        <f>SUM('Estres_mensual'!AD50:AD61)</f>
        <v>9260.934051032411</v>
      </c>
      <c r="AE6" s="2">
        <v>317958.7357521079</v>
      </c>
      <c r="AF6" s="2">
        <f>SUM('Estres_mensual'!AF50:AF61)</f>
        <v>6607965.522272298</v>
      </c>
      <c r="AG6" s="2">
        <f>SUM('Estres_mensual'!AG50:AG61)</f>
        <v>1956121.4629082677</v>
      </c>
      <c r="AH6" s="2">
        <v>979562.5283794124</v>
      </c>
      <c r="AI6" s="2">
        <v>30087079.56567401</v>
      </c>
      <c r="AJ6" s="2">
        <v>-29107517.0372946</v>
      </c>
      <c r="AK6" s="3">
        <v>0.25</v>
      </c>
      <c r="AL6" s="3">
        <v>1.420504522065963</v>
      </c>
      <c r="AM6" s="2">
        <v>-65518360.33857691</v>
      </c>
      <c r="AN6" s="2">
        <v>522</v>
      </c>
      <c r="AO6" s="2">
        <v>544</v>
      </c>
    </row>
    <row r="7" spans="1:41">
      <c r="A7" s="2">
        <v>798</v>
      </c>
      <c r="B7" s="2">
        <v>2032</v>
      </c>
      <c r="C7" s="2">
        <f>SUM('Estres_mensual'!C62:C73)</f>
        <v>580</v>
      </c>
      <c r="D7" s="2">
        <v>405734.333264257</v>
      </c>
      <c r="E7" s="2">
        <f>SUM('Estres_mensual'!E62:E73)</f>
        <v>235325913.29326907</v>
      </c>
      <c r="F7" s="2">
        <f>SUM('Estres_mensual'!F62:F73)</f>
        <v>197752868.3136715</v>
      </c>
      <c r="G7" s="2">
        <f>SUM('Estres_mensual'!G62:G73)</f>
        <v>580</v>
      </c>
      <c r="H7" s="2">
        <f>SUM('Estres_mensual'!H62:H73)</f>
        <v>50591601.26107651</v>
      </c>
      <c r="I7" s="2">
        <v>33</v>
      </c>
      <c r="J7" s="2">
        <v>2877939.908009124</v>
      </c>
      <c r="K7" s="2">
        <f>SUM('Estres_mensual'!K62:K73)</f>
        <v>50507670.86497196</v>
      </c>
      <c r="L7" s="2">
        <f>SUM('Estres_mensual'!L62:L73)</f>
        <v>19841183.11242521</v>
      </c>
      <c r="M7" s="2">
        <f>SUM('Estres_mensual'!M62:M73)</f>
        <v>71364912.013908</v>
      </c>
      <c r="N7" s="3">
        <v>1</v>
      </c>
      <c r="O7" s="3">
        <v>1</v>
      </c>
      <c r="P7" s="2">
        <f>SUM('Estres_mensual'!P62:P73)</f>
        <v>2225806.222656</v>
      </c>
      <c r="Q7" s="2">
        <f>SUM('Estres_mensual'!Q62:Q73)</f>
        <v>4614374.525343721</v>
      </c>
      <c r="R7" s="2">
        <f>SUM('Estres_mensual'!R62:R73)</f>
        <v>3477822.2229</v>
      </c>
      <c r="S7" s="2">
        <f>SUM('Estres_mensual'!S62:S73)</f>
        <v>3895160.889648</v>
      </c>
      <c r="T7" s="2">
        <f>SUM('Estres_mensual'!T62:T73)</f>
        <v>31022174.228267998</v>
      </c>
      <c r="U7" s="2">
        <f>SUM('Estres_mensual'!U62:U73)</f>
        <v>116600250.10272372</v>
      </c>
      <c r="V7" s="2">
        <f>SUM('Estres_mensual'!V62:V73)</f>
        <v>10803764.23355062</v>
      </c>
      <c r="W7" s="2">
        <f>SUM('Estres_mensual'!W62:W73)</f>
        <v>1870055.831824661</v>
      </c>
      <c r="X7" s="2">
        <f>SUM('Estres_mensual'!X62:X73)</f>
        <v>2781788.227539371</v>
      </c>
      <c r="Y7" s="2">
        <f>SUM('Estres_mensual'!Y62:Y73)</f>
        <v>4651844.059364032</v>
      </c>
      <c r="Z7" s="2">
        <v>14890487.76986324</v>
      </c>
      <c r="AA7" s="2">
        <f>SUM('Estres_mensual'!AA62:AA73)</f>
        <v>0</v>
      </c>
      <c r="AB7" s="2">
        <f>SUM('Estres_mensual'!AB62:AB73)</f>
        <v>0.0</v>
      </c>
      <c r="AC7" s="2">
        <f>SUM('Estres_mensual'!AC62:AC73)</f>
        <v>0.0</v>
      </c>
      <c r="AD7" s="2">
        <f>SUM('Estres_mensual'!AD62:AD73)</f>
        <v>9538.762072563259</v>
      </c>
      <c r="AE7" s="2">
        <v>327497.4978246712</v>
      </c>
      <c r="AF7" s="2">
        <f>SUM('Estres_mensual'!AF62:AF73)</f>
        <v>10710295.075373506</v>
      </c>
      <c r="AG7" s="2">
        <f>SUM('Estres_mensual'!AG62:AG73)</f>
        <v>6058451.016009474</v>
      </c>
      <c r="AH7" s="2">
        <v>7038013.544388881</v>
      </c>
      <c r="AI7" s="2">
        <v>31437862.34052194</v>
      </c>
      <c r="AJ7" s="2">
        <v>-24399848.79613306</v>
      </c>
      <c r="AK7" s="3">
        <v>0.25</v>
      </c>
      <c r="AL7" s="3">
        <v>2.302376205800359</v>
      </c>
      <c r="AM7" s="2">
        <v>-65912384.88602148</v>
      </c>
      <c r="AN7" s="2">
        <v>531</v>
      </c>
      <c r="AO7" s="2">
        <v>552</v>
      </c>
    </row>
    <row r="8" spans="1:41">
      <c r="A8" s="2">
        <v>942</v>
      </c>
      <c r="B8" s="2">
        <v>2033</v>
      </c>
      <c r="C8" s="2">
        <f>SUM('Estres_mensual'!C74:C85)</f>
        <v>609</v>
      </c>
      <c r="D8" s="2">
        <v>417906.3632621848</v>
      </c>
      <c r="E8" s="2">
        <f>SUM('Estres_mensual'!E74:E85)</f>
        <v>254504975.2266705</v>
      </c>
      <c r="F8" s="2">
        <f>SUM('Estres_mensual'!F74:F85)</f>
        <v>213869727.08123574</v>
      </c>
      <c r="G8" s="2">
        <f>SUM('Estres_mensual'!G74:G85)</f>
        <v>610</v>
      </c>
      <c r="H8" s="2">
        <f>SUM('Estres_mensual'!H74:H85)</f>
        <v>54804660.46954203</v>
      </c>
      <c r="I8" s="2">
        <v>34</v>
      </c>
      <c r="J8" s="2">
        <v>3054086.59147276</v>
      </c>
      <c r="K8" s="2">
        <f>SUM('Estres_mensual'!K74:K85)</f>
        <v>54628513.786078386</v>
      </c>
      <c r="L8" s="2">
        <f>SUM('Estres_mensual'!L74:L85)</f>
        <v>21458596.955736764</v>
      </c>
      <c r="M8" s="2">
        <f>SUM('Estres_mensual'!M74:M85)</f>
        <v>80759727.07573892</v>
      </c>
      <c r="N8" s="3">
        <v>1</v>
      </c>
      <c r="O8" s="3">
        <v>1.5</v>
      </c>
      <c r="P8" s="2">
        <f>SUM('Estres_mensual'!P74:P85)</f>
        <v>2435866.6849191603</v>
      </c>
      <c r="Q8" s="2">
        <f>SUM('Estres_mensual'!Q74:Q85)</f>
        <v>5277949.9611174865</v>
      </c>
      <c r="R8" s="2">
        <f>SUM('Estres_mensual'!R74:R85)</f>
        <v>3582156.8895870005</v>
      </c>
      <c r="S8" s="2">
        <f>SUM('Estres_mensual'!S74:S85)</f>
        <v>4012015.7163374405</v>
      </c>
      <c r="T8" s="2">
        <f>SUM('Estres_mensual'!T74:T85)</f>
        <v>33564810.055430196</v>
      </c>
      <c r="U8" s="2">
        <f>SUM('Estres_mensual'!U74:U85)</f>
        <v>129632526.3831302</v>
      </c>
      <c r="V8" s="2">
        <f>SUM('Estres_mensual'!V74:V85)</f>
        <v>8150089.9562903745</v>
      </c>
      <c r="W8" s="2">
        <f>SUM('Estres_mensual'!W74:W85)</f>
        <v>1536241.244519934</v>
      </c>
      <c r="X8" s="2">
        <f>SUM('Estres_mensual'!X74:X85)</f>
        <v>3115602.814844098</v>
      </c>
      <c r="Y8" s="2">
        <f>SUM('Estres_mensual'!Y74:Y85)</f>
        <v>4651844.059364032</v>
      </c>
      <c r="Z8" s="2">
        <v>11774884.95501914</v>
      </c>
      <c r="AA8" s="2">
        <f>SUM('Estres_mensual'!AA74:AA85)</f>
        <v>1791078.4447935002</v>
      </c>
      <c r="AB8" s="2">
        <f>SUM('Estres_mensual'!AB74:AB85)</f>
        <v>0.0</v>
      </c>
      <c r="AC8" s="2">
        <f>SUM('Estres_mensual'!AC74:AC85)</f>
        <v>1328360.05660774</v>
      </c>
      <c r="AD8" s="2">
        <f>SUM('Estres_mensual'!AD74:AD85)</f>
        <v>9824.924934740178</v>
      </c>
      <c r="AE8" s="2">
        <v>337322.4227594113</v>
      </c>
      <c r="AF8" s="2">
        <f>SUM('Estres_mensual'!AF74:AF85)</f>
        <v>4844679.846490761</v>
      </c>
      <c r="AG8" s="2">
        <f>SUM('Estres_mensual'!AG74:AG85)</f>
        <v>1521195.843734468</v>
      </c>
      <c r="AH8" s="2">
        <v>8559209.388123345</v>
      </c>
      <c r="AI8" s="2">
        <v>34695931.41062355</v>
      </c>
      <c r="AJ8" s="2">
        <v>-26136722.02250021</v>
      </c>
      <c r="AK8" s="3">
        <v>0.25</v>
      </c>
      <c r="AL8" s="3">
        <v>1.327009208460533</v>
      </c>
      <c r="AM8" s="2">
        <v>-69017447.35903677</v>
      </c>
      <c r="AN8" s="2">
        <v>573</v>
      </c>
      <c r="AO8" s="2">
        <v>594</v>
      </c>
    </row>
    <row r="9" spans="1:41">
      <c r="A9" s="2">
        <v>1086</v>
      </c>
      <c r="B9" s="2">
        <v>2034</v>
      </c>
      <c r="C9" s="2">
        <f>SUM('Estres_mensual'!C86:C97)</f>
        <v>639</v>
      </c>
      <c r="D9" s="2">
        <v>430443.5541600503</v>
      </c>
      <c r="E9" s="2">
        <f>SUM('Estres_mensual'!E86:E97)</f>
        <v>275053431.10827214</v>
      </c>
      <c r="F9" s="2">
        <f>SUM('Estres_mensual'!F86:F97)</f>
        <v>231137337.06577492</v>
      </c>
      <c r="G9" s="2">
        <f>SUM('Estres_mensual'!G86:G97)</f>
        <v>640</v>
      </c>
      <c r="H9" s="2">
        <f>SUM('Estres_mensual'!H86:H97)</f>
        <v>59224970.7893805</v>
      </c>
      <c r="I9" s="2">
        <v>35</v>
      </c>
      <c r="J9" s="2">
        <v>3238273.556518553</v>
      </c>
      <c r="K9" s="2">
        <f>SUM('Estres_mensual'!K86:K97)</f>
        <v>59040783.82433471</v>
      </c>
      <c r="L9" s="2">
        <f>SUM('Estres_mensual'!L86:L97)</f>
        <v>23191270.66139934</v>
      </c>
      <c r="M9" s="2">
        <f>SUM('Estres_mensual'!M86:M97)</f>
        <v>83182518.8880111</v>
      </c>
      <c r="N9" s="3">
        <v>1</v>
      </c>
      <c r="O9" s="3">
        <v>1.5</v>
      </c>
      <c r="P9" s="2">
        <f>SUM('Estres_mensual'!P86:P97)</f>
        <v>2508942.685466735</v>
      </c>
      <c r="Q9" s="2">
        <f>SUM('Estres_mensual'!Q86:Q97)</f>
        <v>5877567.202865455</v>
      </c>
      <c r="R9" s="2">
        <f>SUM('Estres_mensual'!R86:R97)</f>
        <v>3689621.5962746106</v>
      </c>
      <c r="S9" s="2">
        <f>SUM('Estres_mensual'!S86:S97)</f>
        <v>4132376.187827564</v>
      </c>
      <c r="T9" s="2">
        <f>SUM('Estres_mensual'!T86:T97)</f>
        <v>36305876.50734217</v>
      </c>
      <c r="U9" s="2">
        <f>SUM('Estres_mensual'!U86:U97)</f>
        <v>135696903.06778765</v>
      </c>
      <c r="V9" s="2">
        <f>SUM('Estres_mensual'!V86:V97)</f>
        <v>13208379.512253236</v>
      </c>
      <c r="W9" s="2">
        <f>SUM('Estres_mensual'!W86:W97)</f>
        <v>1162368.906738639</v>
      </c>
      <c r="X9" s="2">
        <f>SUM('Estres_mensual'!X86:X97)</f>
        <v>3489475.1526253927</v>
      </c>
      <c r="Y9" s="2">
        <f>SUM('Estres_mensual'!Y86:Y97)</f>
        <v>4651844.059364032</v>
      </c>
      <c r="Z9" s="2">
        <v>8285409.802393747</v>
      </c>
      <c r="AA9" s="2">
        <f>SUM('Estres_mensual'!AA86:AA97)</f>
        <v>0</v>
      </c>
      <c r="AB9" s="2">
        <f>SUM('Estres_mensual'!AB86:AB97)</f>
        <v>134367.62408311106</v>
      </c>
      <c r="AC9" s="2">
        <f>SUM('Estres_mensual'!AC86:AC97)</f>
        <v>3256048.136801863</v>
      </c>
      <c r="AD9" s="2">
        <f>SUM('Estres_mensual'!AD86:AD97)</f>
        <v>10119.672682782344</v>
      </c>
      <c r="AE9" s="2">
        <v>347442.0954421937</v>
      </c>
      <c r="AF9" s="2">
        <f>SUM('Estres_mensual'!AF86:AF97)</f>
        <v>9758024.7377228</v>
      </c>
      <c r="AG9" s="2">
        <f>SUM('Estres_mensual'!AG86:AG97)</f>
        <v>8227861.191077518</v>
      </c>
      <c r="AH9" s="2">
        <v>16787070.57920086</v>
      </c>
      <c r="AI9" s="2">
        <v>36212025.58178791</v>
      </c>
      <c r="AJ9" s="2">
        <v>-19424955.00258705</v>
      </c>
      <c r="AK9" s="3">
        <v>0.25</v>
      </c>
      <c r="AL9" s="3">
        <v>2.768731085152148</v>
      </c>
      <c r="AM9" s="2">
        <v>-68040617.96972392</v>
      </c>
      <c r="AN9" s="2">
        <v>583</v>
      </c>
      <c r="AO9" s="2">
        <v>603</v>
      </c>
    </row>
    <row r="10" spans="1:41">
      <c r="A10" s="2">
        <v>1230</v>
      </c>
      <c r="B10" s="2">
        <v>2035</v>
      </c>
      <c r="C10" s="2">
        <f>SUM('Estres_mensual'!C98:C109)</f>
        <v>671</v>
      </c>
      <c r="D10" s="2">
        <v>443356.8607848518</v>
      </c>
      <c r="E10" s="2">
        <f>SUM('Estres_mensual'!E98:E109)</f>
        <v>297492453.5866356</v>
      </c>
      <c r="F10" s="2">
        <f>SUM('Estres_mensual'!F98:F109)</f>
        <v>249993658.4761644</v>
      </c>
      <c r="G10" s="2">
        <f>SUM('Estres_mensual'!G98:G109)</f>
        <v>680</v>
      </c>
      <c r="H10" s="2">
        <f>SUM('Estres_mensual'!H98:H109)</f>
        <v>64814327.40762828</v>
      </c>
      <c r="I10" s="2">
        <v>44</v>
      </c>
      <c r="J10" s="2">
        <v>4193167.297933311</v>
      </c>
      <c r="K10" s="2">
        <f>SUM('Estres_mensual'!K98:K109)</f>
        <v>63859433.66621352</v>
      </c>
      <c r="L10" s="2">
        <f>SUM('Estres_mensual'!L98:L109)</f>
        <v>25083393.720295407</v>
      </c>
      <c r="M10" s="2">
        <f>SUM('Estres_mensual'!M98:M109)</f>
        <v>85677994.45465143</v>
      </c>
      <c r="N10" s="3">
        <v>1</v>
      </c>
      <c r="O10" s="3">
        <v>1.5</v>
      </c>
      <c r="P10" s="2">
        <f>SUM('Estres_mensual'!P98:P109)</f>
        <v>2584210.9660307374</v>
      </c>
      <c r="Q10" s="2">
        <f>SUM('Estres_mensual'!Q98:Q109)</f>
        <v>6408083.133707397</v>
      </c>
      <c r="R10" s="2">
        <f>SUM('Estres_mensual'!R98:R109)</f>
        <v>3800310.244162849</v>
      </c>
      <c r="S10" s="2">
        <f>SUM('Estres_mensual'!S98:S109)</f>
        <v>4256347.473462391</v>
      </c>
      <c r="T10" s="2">
        <f>SUM('Estres_mensual'!T98:T109)</f>
        <v>39257204.82220223</v>
      </c>
      <c r="U10" s="2">
        <f>SUM('Estres_mensual'!U98:U109)</f>
        <v>141984151.09421703</v>
      </c>
      <c r="V10" s="2">
        <f>SUM('Estres_mensual'!V98:V109)</f>
        <v>19066679.99543844</v>
      </c>
      <c r="W10" s="2">
        <f>SUM('Estres_mensual'!W98:W109)</f>
        <v>743631.8884235884</v>
      </c>
      <c r="X10" s="2">
        <f>SUM('Estres_mensual'!X98:X109)</f>
        <v>3908212.1709404434</v>
      </c>
      <c r="Y10" s="2">
        <f>SUM('Estres_mensual'!Y98:Y109)</f>
        <v>4651844.059364032</v>
      </c>
      <c r="Z10" s="2">
        <v>4377197.631453304</v>
      </c>
      <c r="AA10" s="2">
        <f>SUM('Estres_mensual'!AA98:AA109)</f>
        <v>0</v>
      </c>
      <c r="AB10" s="2">
        <f>SUM('Estres_mensual'!AB98:AB109)</f>
        <v>4342038.591400021</v>
      </c>
      <c r="AC10" s="2">
        <f>SUM('Estres_mensual'!AC98:AC109)</f>
        <v>4527946.563505918</v>
      </c>
      <c r="AD10" s="2">
        <f>SUM('Estres_mensual'!AD98:AD109)</f>
        <v>189355.94201599545</v>
      </c>
      <c r="AE10" s="2">
        <v>536798.0374581892</v>
      </c>
      <c r="AF10" s="2">
        <f>SUM('Estres_mensual'!AF98:AF109)</f>
        <v>13394483.748501757</v>
      </c>
      <c r="AG10" s="2">
        <f>SUM('Estres_mensual'!AG98:AG109)</f>
        <v>8928547.661243621</v>
      </c>
      <c r="AH10" s="2">
        <v>25715618.24044448</v>
      </c>
      <c r="AI10" s="2">
        <v>37783837.58839526</v>
      </c>
      <c r="AJ10" s="2">
        <v>-12068219.34795078</v>
      </c>
      <c r="AK10" s="3">
        <v>0.25</v>
      </c>
      <c r="AL10" s="3">
        <v>2.919356613700478</v>
      </c>
      <c r="AM10" s="2">
        <v>-62205760.93495001</v>
      </c>
      <c r="AN10" s="2">
        <v>592</v>
      </c>
      <c r="AO10" s="2">
        <v>611</v>
      </c>
    </row>
    <row r="11" spans="1:41">
      <c r="A11" s="2">
        <v>1374</v>
      </c>
      <c r="B11" s="2">
        <v>2036</v>
      </c>
      <c r="C11" s="2">
        <f>SUM('Estres_mensual'!C110:C121)</f>
        <v>705</v>
      </c>
      <c r="D11" s="2">
        <v>456657.5666083974</v>
      </c>
      <c r="E11" s="2">
        <f>SUM('Estres_mensual'!E110:E121)</f>
        <v>321943584.4589202</v>
      </c>
      <c r="F11" s="2">
        <f>SUM('Estres_mensual'!F110:F121)</f>
        <v>270540827.27640355</v>
      </c>
      <c r="G11" s="2">
        <f>SUM('Estres_mensual'!G110:G121)</f>
        <v>700</v>
      </c>
      <c r="H11" s="2">
        <f>SUM('Estres_mensual'!H110:H121)</f>
        <v>68722250.08955882</v>
      </c>
      <c r="I11" s="2">
        <v>39</v>
      </c>
      <c r="J11" s="2">
        <v>3827966.908996103</v>
      </c>
      <c r="K11" s="2">
        <f>SUM('Estres_mensual'!K110:K121)</f>
        <v>69087450.47849603</v>
      </c>
      <c r="L11" s="2">
        <f>SUM('Estres_mensual'!L110:L121)</f>
        <v>27143365.8288234</v>
      </c>
      <c r="M11" s="2">
        <f>SUM('Estres_mensual'!M110:M121)</f>
        <v>88248334.28829098</v>
      </c>
      <c r="N11" s="3">
        <v>1</v>
      </c>
      <c r="O11" s="3">
        <v>1.5</v>
      </c>
      <c r="P11" s="2">
        <f>SUM('Estres_mensual'!P110:P121)</f>
        <v>2661737.2950116596</v>
      </c>
      <c r="Q11" s="2">
        <f>SUM('Estres_mensual'!Q110:Q121)</f>
        <v>6813264.611319551</v>
      </c>
      <c r="R11" s="2">
        <f>SUM('Estres_mensual'!R110:R121)</f>
        <v>3914319.5514877345</v>
      </c>
      <c r="S11" s="2">
        <f>SUM('Estres_mensual'!S110:S121)</f>
        <v>4384037.897666262</v>
      </c>
      <c r="T11" s="2">
        <f>SUM('Estres_mensual'!T110:T121)</f>
        <v>42470367.13364192</v>
      </c>
      <c r="U11" s="2">
        <f>SUM('Estres_mensual'!U110:U121)</f>
        <v>148492060.7774181</v>
      </c>
      <c r="V11" s="2">
        <f>SUM('Estres_mensual'!V110:V121)</f>
        <v>25817950.191666003</v>
      </c>
      <c r="W11" s="2">
        <f>SUM('Estres_mensual'!W110:W121)</f>
        <v>274646.4279107316</v>
      </c>
      <c r="X11" s="2">
        <f>SUM('Estres_mensual'!X110:X121)</f>
        <v>4377197.6314533</v>
      </c>
      <c r="Y11" s="2">
        <f>SUM('Estres_mensual'!Y110:Y121)</f>
        <v>4651844.059364032</v>
      </c>
      <c r="Z11" s="2">
        <v>3.434251993894577E-09</v>
      </c>
      <c r="AA11" s="2">
        <f>SUM('Estres_mensual'!AA110:AA121)</f>
        <v>1957159.7757438673</v>
      </c>
      <c r="AB11" s="2">
        <f>SUM('Estres_mensual'!AB110:AB121)</f>
        <v>5987836.094237157</v>
      </c>
      <c r="AC11" s="2">
        <f>SUM('Estres_mensual'!AC110:AC121)</f>
        <v>6056497.701214837</v>
      </c>
      <c r="AD11" s="2">
        <f>SUM('Estres_mensual'!AD110:AD121)</f>
        <v>-168196.71840356596</v>
      </c>
      <c r="AE11" s="2">
        <v>368601.3190546233</v>
      </c>
      <c r="AF11" s="2">
        <f>SUM('Estres_mensual'!AF110:AF121)</f>
        <v>18337689.822048087</v>
      </c>
      <c r="AG11" s="2">
        <f>SUM('Estres_mensual'!AG110:AG121)</f>
        <v>13754507.36966173</v>
      </c>
      <c r="AH11" s="2">
        <v>39470125.61010621</v>
      </c>
      <c r="AI11" s="2">
        <v>39410815.00919553</v>
      </c>
      <c r="AJ11" s="2">
        <v>59310.60091068596</v>
      </c>
      <c r="AK11" s="3">
        <v>0.25</v>
      </c>
      <c r="AL11" s="3">
        <v>3.956785995862067</v>
      </c>
      <c r="AM11" s="2">
        <v>-55510458.30684285</v>
      </c>
      <c r="AN11" s="2">
        <v>601</v>
      </c>
      <c r="AO11" s="2">
        <v>620</v>
      </c>
    </row>
    <row r="12" spans="1:41">
      <c r="A12" s="2">
        <v>1518</v>
      </c>
      <c r="B12" s="2">
        <v>2037</v>
      </c>
      <c r="C12" s="2">
        <f>SUM('Estres_mensual'!C122:C133)</f>
        <v>740</v>
      </c>
      <c r="D12" s="2">
        <v>470357.2936066493</v>
      </c>
      <c r="E12" s="2">
        <f>SUM('Estres_mensual'!E122:E133)</f>
        <v>348064397.2689205</v>
      </c>
      <c r="F12" s="2">
        <f>SUM('Estres_mensual'!F122:F133)</f>
        <v>292491090.14195</v>
      </c>
      <c r="G12" s="2">
        <f>SUM('Estres_mensual'!G122:G133)</f>
        <v>740</v>
      </c>
      <c r="H12" s="2">
        <f>SUM('Estres_mensual'!H122:H133)</f>
        <v>74828712.88323104</v>
      </c>
      <c r="I12" s="2">
        <v>39</v>
      </c>
      <c r="J12" s="2">
        <v>3942955.479531361</v>
      </c>
      <c r="K12" s="2">
        <f>SUM('Estres_mensual'!K122:K133)</f>
        <v>74713724.31269579</v>
      </c>
      <c r="L12" s="2">
        <f>SUM('Estres_mensual'!L122:L133)</f>
        <v>29347306.532749593</v>
      </c>
      <c r="M12" s="2">
        <f>SUM('Estres_mensual'!M122:M133)</f>
        <v>90895784.31693971</v>
      </c>
      <c r="N12" s="3">
        <v>1</v>
      </c>
      <c r="O12" s="3">
        <v>1.5</v>
      </c>
      <c r="P12" s="2">
        <f>SUM('Estres_mensual'!P122:P133)</f>
        <v>2741589.413862009</v>
      </c>
      <c r="Q12" s="2">
        <f>SUM('Estres_mensual'!Q122:Q133)</f>
        <v>7247472.250526981</v>
      </c>
      <c r="R12" s="2">
        <f>SUM('Estres_mensual'!R122:R133)</f>
        <v>4031749.1380323665</v>
      </c>
      <c r="S12" s="2">
        <f>SUM('Estres_mensual'!S122:S133)</f>
        <v>4515559.03459625</v>
      </c>
      <c r="T12" s="2">
        <f>SUM('Estres_mensual'!T122:T133)</f>
        <v>45921622.68218866</v>
      </c>
      <c r="U12" s="2">
        <f>SUM('Estres_mensual'!U122:U133)</f>
        <v>155353776.836146</v>
      </c>
      <c r="V12" s="2">
        <f>SUM('Estres_mensual'!V122:V133)</f>
        <v>33076282.460358664</v>
      </c>
      <c r="W12" s="2">
        <f>SUM('Estres_mensual'!W122:W133)</f>
        <v>0</v>
      </c>
      <c r="X12" s="2">
        <f>SUM('Estres_mensual'!X122:X133)</f>
        <v>0</v>
      </c>
      <c r="Y12" s="2">
        <f>SUM('Estres_mensual'!Y122:Y133)</f>
        <v>0</v>
      </c>
      <c r="Z12" s="2">
        <v>3.434251993894577E-09</v>
      </c>
      <c r="AA12" s="2">
        <f>SUM('Estres_mensual'!AA122:AA133)</f>
        <v>0</v>
      </c>
      <c r="AB12" s="2">
        <f>SUM('Estres_mensual'!AB122:AB133)</f>
        <v>8240323.472455853</v>
      </c>
      <c r="AC12" s="2">
        <f>SUM('Estres_mensual'!AC122:AC133)</f>
        <v>8240323.472455853</v>
      </c>
      <c r="AD12" s="2">
        <f>SUM('Estres_mensual'!AD122:AD133)</f>
        <v>11058.03957163883</v>
      </c>
      <c r="AE12" s="2">
        <v>379659.358626262</v>
      </c>
      <c r="AF12" s="2">
        <f>SUM('Estres_mensual'!AF122:AF133)</f>
        <v>24709912.377795927</v>
      </c>
      <c r="AG12" s="2">
        <f>SUM('Estres_mensual'!AG122:AG133)</f>
        <v>24709912.377795927</v>
      </c>
      <c r="AH12" s="2">
        <v>64180037.98790215</v>
      </c>
      <c r="AI12" s="2">
        <v>41126244.0238775</v>
      </c>
      <c r="AJ12" s="2">
        <v>23053793.96402465</v>
      </c>
      <c r="AK12" s="3">
        <v>0.25</v>
      </c>
      <c r="AL12" s="3">
        <v>0</v>
      </c>
      <c r="AM12" s="2">
        <v>-39749528.81767868</v>
      </c>
      <c r="AN12" s="2">
        <v>611</v>
      </c>
      <c r="AO12" s="2">
        <v>611</v>
      </c>
    </row>
    <row r="13" spans="1:41">
      <c r="A13" s="2">
        <v>1662</v>
      </c>
      <c r="B13" s="2">
        <v>2038</v>
      </c>
      <c r="C13" s="2">
        <f>SUM('Estres_mensual'!C134:C145)</f>
        <v>777</v>
      </c>
      <c r="D13" s="2">
        <v>484468.0124148488</v>
      </c>
      <c r="E13" s="2">
        <f>SUM('Estres_mensual'!E134:E145)</f>
        <v>376431645.64633757</v>
      </c>
      <c r="F13" s="2">
        <f>SUM('Estres_mensual'!F134:F145)</f>
        <v>316329113.98851895</v>
      </c>
      <c r="G13" s="2">
        <f>SUM('Estres_mensual'!G134:G145)</f>
        <v>780</v>
      </c>
      <c r="H13" s="2">
        <f>SUM('Estres_mensual'!H134:H145)</f>
        <v>81239713.419443</v>
      </c>
      <c r="I13" s="2">
        <v>42</v>
      </c>
      <c r="J13" s="2">
        <v>4373679.744707387</v>
      </c>
      <c r="K13" s="2">
        <f>SUM('Estres_mensual'!K134:K145)</f>
        <v>80808989.15426697</v>
      </c>
      <c r="L13" s="2">
        <f>SUM('Estres_mensual'!L134:L145)</f>
        <v>31739599.719975606</v>
      </c>
      <c r="M13" s="2">
        <f>SUM('Estres_mensual'!M134:M145)</f>
        <v>102031878.6110989</v>
      </c>
      <c r="N13" s="3">
        <v>1</v>
      </c>
      <c r="O13" s="3">
        <v>2</v>
      </c>
      <c r="P13" s="2">
        <f>SUM('Estres_mensual'!P134:P145)</f>
        <v>2989945.160764803</v>
      </c>
      <c r="Q13" s="2">
        <f>SUM('Estres_mensual'!Q134:Q145)</f>
        <v>7713227.974450758</v>
      </c>
      <c r="R13" s="2">
        <f>SUM('Estres_mensual'!R134:R145)</f>
        <v>4152701.6121733375</v>
      </c>
      <c r="S13" s="2">
        <f>SUM('Estres_mensual'!S134:S145)</f>
        <v>4651025.805634139</v>
      </c>
      <c r="T13" s="2">
        <f>SUM('Estres_mensual'!T134:T145)</f>
        <v>49666311.28159312</v>
      </c>
      <c r="U13" s="2">
        <f>SUM('Estres_mensual'!U134:U145)</f>
        <v>171205090.44571507</v>
      </c>
      <c r="V13" s="2">
        <f>SUM('Estres_mensual'!V134:V145)</f>
        <v>32575434.668561332</v>
      </c>
      <c r="W13" s="2">
        <f>SUM('Estres_mensual'!W134:W145)</f>
        <v>0</v>
      </c>
      <c r="X13" s="2">
        <f>SUM('Estres_mensual'!X134:X145)</f>
        <v>0</v>
      </c>
      <c r="Y13" s="2">
        <f>SUM('Estres_mensual'!Y134:Y145)</f>
        <v>0</v>
      </c>
      <c r="Z13" s="2">
        <v>3.434251993894577E-09</v>
      </c>
      <c r="AA13" s="2">
        <f>SUM('Estres_mensual'!AA134:AA145)</f>
        <v>0</v>
      </c>
      <c r="AB13" s="2">
        <f>SUM('Estres_mensual'!AB134:AB145)</f>
        <v>8036177.60084633</v>
      </c>
      <c r="AC13" s="2">
        <f>SUM('Estres_mensual'!AC134:AC145)</f>
        <v>8036177.60084633</v>
      </c>
      <c r="AD13" s="2">
        <f>SUM('Estres_mensual'!AD134:AD145)</f>
        <v>11389.780758787703</v>
      </c>
      <c r="AE13" s="2">
        <v>391049.1393850499</v>
      </c>
      <c r="AF13" s="2">
        <f>SUM('Estres_mensual'!AF134:AF145)</f>
        <v>24097143.021780193</v>
      </c>
      <c r="AG13" s="2">
        <f>SUM('Estres_mensual'!AG134:AG145)</f>
        <v>24097143.021780193</v>
      </c>
      <c r="AH13" s="2">
        <v>88277181.00968233</v>
      </c>
      <c r="AI13" s="2">
        <v>45089072.42626977</v>
      </c>
      <c r="AJ13" s="2">
        <v>43188108.58341256</v>
      </c>
      <c r="AK13" s="3">
        <v>0.25</v>
      </c>
      <c r="AL13" s="3">
        <v>0</v>
      </c>
      <c r="AM13" s="2">
        <v>-24103841.78476832</v>
      </c>
      <c r="AN13" s="2">
        <v>653</v>
      </c>
      <c r="AO13" s="2">
        <v>653</v>
      </c>
    </row>
    <row r="14" spans="1:41">
      <c r="A14" s="2">
        <v>1806</v>
      </c>
      <c r="B14" s="2">
        <v>2039</v>
      </c>
      <c r="C14" s="2">
        <f>SUM('Estres_mensual'!C146:C157)</f>
        <v>816</v>
      </c>
      <c r="D14" s="2">
        <v>499002.0527872943</v>
      </c>
      <c r="E14" s="2">
        <f>SUM('Estres_mensual'!E146:E157)</f>
        <v>407185675.07443213</v>
      </c>
      <c r="F14" s="2">
        <f>SUM('Estres_mensual'!F146:F157)</f>
        <v>342172836.1970018</v>
      </c>
      <c r="G14" s="2">
        <f>SUM('Estres_mensual'!G146:G157)</f>
        <v>820</v>
      </c>
      <c r="H14" s="2">
        <f>SUM('Estres_mensual'!H146:H157)</f>
        <v>87968028.14623277</v>
      </c>
      <c r="I14" s="2">
        <v>46</v>
      </c>
      <c r="J14" s="2">
        <v>4933874.860500393</v>
      </c>
      <c r="K14" s="2">
        <f>SUM('Estres_mensual'!K146:K157)</f>
        <v>87407833.03043975</v>
      </c>
      <c r="L14" s="2">
        <f>SUM('Estres_mensual'!L146:L157)</f>
        <v>34332435.69815568</v>
      </c>
      <c r="M14" s="2">
        <f>SUM('Estres_mensual'!M146:M157)</f>
        <v>105092834.96943188</v>
      </c>
      <c r="N14" s="3">
        <v>1</v>
      </c>
      <c r="O14" s="3">
        <v>2</v>
      </c>
      <c r="P14" s="2">
        <f>SUM('Estres_mensual'!P146:P157)</f>
        <v>3079643.515587747</v>
      </c>
      <c r="Q14" s="2">
        <f>SUM('Estres_mensual'!Q146:Q157)</f>
        <v>8214093.621298209</v>
      </c>
      <c r="R14" s="2">
        <f>SUM('Estres_mensual'!R146:R157)</f>
        <v>4277282.660538538</v>
      </c>
      <c r="S14" s="2">
        <f>SUM('Estres_mensual'!S146:S157)</f>
        <v>4790556.579803162</v>
      </c>
      <c r="T14" s="2">
        <f>SUM('Estres_mensual'!T146:T157)</f>
        <v>53722670.21636404</v>
      </c>
      <c r="U14" s="2">
        <f>SUM('Estres_mensual'!U146:U157)</f>
        <v>179177081.56302354</v>
      </c>
      <c r="V14" s="2">
        <f>SUM('Estres_mensual'!V146:V157)</f>
        <v>41255485.90538285</v>
      </c>
      <c r="W14" s="2">
        <f>SUM('Estres_mensual'!W146:W157)</f>
        <v>0</v>
      </c>
      <c r="X14" s="2">
        <f>SUM('Estres_mensual'!X146:X157)</f>
        <v>0</v>
      </c>
      <c r="Y14" s="2">
        <f>SUM('Estres_mensual'!Y146:Y157)</f>
        <v>0</v>
      </c>
      <c r="Z14" s="2">
        <v>3.434251993894577E-09</v>
      </c>
      <c r="AA14" s="2">
        <f>SUM('Estres_mensual'!AA146:AA157)</f>
        <v>2138641.330269269</v>
      </c>
      <c r="AB14" s="2">
        <f>SUM('Estres_mensual'!AB146:AB157)</f>
        <v>9639162.364830146</v>
      </c>
      <c r="AC14" s="2">
        <f>SUM('Estres_mensual'!AC146:AC157)</f>
        <v>9639162.364830146</v>
      </c>
      <c r="AD14" s="2">
        <f>SUM('Estres_mensual'!AD146:AD157)</f>
        <v>11731.474181551312</v>
      </c>
      <c r="AE14" s="2">
        <v>402780.6135666013</v>
      </c>
      <c r="AF14" s="2">
        <f>SUM('Estres_mensual'!AF146:AF157)</f>
        <v>28905755.62030888</v>
      </c>
      <c r="AG14" s="2">
        <f>SUM('Estres_mensual'!AG146:AG157)</f>
        <v>28905755.62030888</v>
      </c>
      <c r="AH14" s="2">
        <v>117182936.6299912</v>
      </c>
      <c r="AI14" s="2">
        <v>47082070.20559689</v>
      </c>
      <c r="AJ14" s="2">
        <v>70100866.42439431</v>
      </c>
      <c r="AK14" s="3">
        <v>0.25</v>
      </c>
      <c r="AL14" s="3">
        <v>0</v>
      </c>
      <c r="AM14" s="2">
        <v>-4418446.908269845</v>
      </c>
      <c r="AN14" s="2">
        <v>664</v>
      </c>
      <c r="AO14" s="2">
        <v>664</v>
      </c>
    </row>
    <row r="15" spans="1:41">
      <c r="A15" s="2">
        <v>1950</v>
      </c>
      <c r="B15" s="2">
        <v>2040</v>
      </c>
      <c r="C15" s="2">
        <f>SUM('Estres_mensual'!C158:C169)</f>
        <v>857</v>
      </c>
      <c r="D15" s="2">
        <v>513972.1143709132</v>
      </c>
      <c r="E15" s="2">
        <f>SUM('Estres_mensual'!E158:E169)</f>
        <v>440474102.0158726</v>
      </c>
      <c r="F15" s="2">
        <f>SUM('Estres_mensual'!F158:F169)</f>
        <v>370146304.215019</v>
      </c>
      <c r="G15" s="2">
        <f>SUM('Estres_mensual'!G158:G169)</f>
        <v>860</v>
      </c>
      <c r="H15" s="2">
        <f>SUM('Estres_mensual'!H158:H169)</f>
        <v>95026926.01455243</v>
      </c>
      <c r="I15" s="2">
        <v>49</v>
      </c>
      <c r="J15" s="2">
        <v>5413332.933918502</v>
      </c>
      <c r="K15" s="2">
        <f>SUM('Estres_mensual'!K158:K169)</f>
        <v>94547467.94113432</v>
      </c>
      <c r="L15" s="2">
        <f>SUM('Estres_mensual'!L158:L169)</f>
        <v>37138702.89065232</v>
      </c>
      <c r="M15" s="2">
        <f>SUM('Estres_mensual'!M158:M169)</f>
        <v>115977450.01983732</v>
      </c>
      <c r="N15" s="3">
        <v>1.5</v>
      </c>
      <c r="O15" s="3">
        <v>2</v>
      </c>
      <c r="P15" s="2">
        <f>SUM('Estres_mensual'!P158:P169)</f>
        <v>3348256.8666695682</v>
      </c>
      <c r="Q15" s="2">
        <f>SUM('Estres_mensual'!Q158:Q169)</f>
        <v>8752167.225428635</v>
      </c>
      <c r="R15" s="2">
        <f>SUM('Estres_mensual'!R158:R169)</f>
        <v>4405601.140354695</v>
      </c>
      <c r="S15" s="2">
        <f>SUM('Estres_mensual'!S158:S169)</f>
        <v>4934273.277197258</v>
      </c>
      <c r="T15" s="2">
        <f>SUM('Estres_mensual'!T158:T169)</f>
        <v>58109879.04127842</v>
      </c>
      <c r="U15" s="2">
        <f>SUM('Estres_mensual'!U158:U169)</f>
        <v>195527627.5707659</v>
      </c>
      <c r="V15" s="2">
        <f>SUM('Estres_mensual'!V158:V169)</f>
        <v>42932505.81246646</v>
      </c>
      <c r="W15" s="2">
        <f>SUM('Estres_mensual'!W158:W169)</f>
        <v>0</v>
      </c>
      <c r="X15" s="2">
        <f>SUM('Estres_mensual'!X158:X169)</f>
        <v>0</v>
      </c>
      <c r="Y15" s="2">
        <f>SUM('Estres_mensual'!Y158:Y169)</f>
        <v>0</v>
      </c>
      <c r="Z15" s="2">
        <v>3.434251993894577E-09</v>
      </c>
      <c r="AA15" s="2">
        <f>SUM('Estres_mensual'!AA158:AA169)</f>
        <v>0</v>
      </c>
      <c r="AB15" s="2">
        <f>SUM('Estres_mensual'!AB158:AB169)</f>
        <v>10613261.934762085</v>
      </c>
      <c r="AC15" s="2">
        <f>SUM('Estres_mensual'!AC158:AC169)</f>
        <v>10613261.934762085</v>
      </c>
      <c r="AD15" s="2">
        <f>SUM('Estres_mensual'!AD158:AD169)</f>
        <v>219515.43439379777</v>
      </c>
      <c r="AE15" s="2">
        <v>622296.0479603991</v>
      </c>
      <c r="AF15" s="2">
        <f>SUM('Estres_mensual'!AF158:AF169)</f>
        <v>31620270.369892452</v>
      </c>
      <c r="AG15" s="2">
        <f>SUM('Estres_mensual'!AG158:AG169)</f>
        <v>31620270.369892452</v>
      </c>
      <c r="AH15" s="2">
        <v>148803206.9998837</v>
      </c>
      <c r="AI15" s="2">
        <v>51169706.70753248</v>
      </c>
      <c r="AJ15" s="2">
        <v>97633500.29235117</v>
      </c>
      <c r="AK15" s="3">
        <v>0.25</v>
      </c>
      <c r="AL15" s="3">
        <v>0</v>
      </c>
      <c r="AM15" s="2">
        <v>18243833.52797851</v>
      </c>
      <c r="AN15" s="2">
        <v>703</v>
      </c>
      <c r="AO15" s="2">
        <v>703</v>
      </c>
    </row>
    <row r="16" spans="1:41">
      <c r="A16" s="2">
        <v>2094</v>
      </c>
      <c r="B16" s="2">
        <v>2041</v>
      </c>
      <c r="C16" s="2">
        <f>SUM('Estres_mensual'!C170:C181)</f>
        <v>900</v>
      </c>
      <c r="D16" s="2">
        <v>529391.2778020406</v>
      </c>
      <c r="E16" s="2">
        <f>SUM('Estres_mensual'!E170:E181)</f>
        <v>476452150.0218365</v>
      </c>
      <c r="F16" s="2">
        <f>SUM('Estres_mensual'!F170:F181)</f>
        <v>400379958.00154334</v>
      </c>
      <c r="G16" s="2">
        <f>SUM('Estres_mensual'!G170:G181)</f>
        <v>860</v>
      </c>
      <c r="H16" s="2">
        <f>SUM('Estres_mensual'!H170:H181)</f>
        <v>97877733.794989</v>
      </c>
      <c r="I16" s="2">
        <v>9</v>
      </c>
      <c r="J16" s="2">
        <v>1024068.973031394</v>
      </c>
      <c r="K16" s="2">
        <f>SUM('Estres_mensual'!K170:K181)</f>
        <v>102266997.75587612</v>
      </c>
      <c r="L16" s="2">
        <f>SUM('Estres_mensual'!L170:L181)</f>
        <v>40171951.835779525</v>
      </c>
      <c r="M16" s="2">
        <f>SUM('Estres_mensual'!M170:M181)</f>
        <v>119456773.52043247</v>
      </c>
      <c r="N16" s="3">
        <v>1.5</v>
      </c>
      <c r="O16" s="3">
        <v>2</v>
      </c>
      <c r="P16" s="2">
        <f>SUM('Estres_mensual'!P170:P181)</f>
        <v>3448704.572669655</v>
      </c>
      <c r="Q16" s="2">
        <f>SUM('Estres_mensual'!Q170:Q181)</f>
        <v>9329653.422906332</v>
      </c>
      <c r="R16" s="2">
        <f>SUM('Estres_mensual'!R170:R181)</f>
        <v>4537769.174565336</v>
      </c>
      <c r="S16" s="2">
        <f>SUM('Estres_mensual'!S170:S181)</f>
        <v>5082301.475513176</v>
      </c>
      <c r="T16" s="2">
        <f>SUM('Estres_mensual'!T170:T181)</f>
        <v>62848103.06772989</v>
      </c>
      <c r="U16" s="2">
        <f>SUM('Estres_mensual'!U170:U181)</f>
        <v>204703305.23381686</v>
      </c>
      <c r="V16" s="2">
        <f>SUM('Estres_mensual'!V170:V181)</f>
        <v>53237703.17607082</v>
      </c>
      <c r="W16" s="2">
        <f>SUM('Estres_mensual'!W170:W181)</f>
        <v>0</v>
      </c>
      <c r="X16" s="2">
        <f>SUM('Estres_mensual'!X170:X181)</f>
        <v>0</v>
      </c>
      <c r="Y16" s="2">
        <f>SUM('Estres_mensual'!Y170:Y181)</f>
        <v>0</v>
      </c>
      <c r="Z16" s="2">
        <v>3.434251993894577E-09</v>
      </c>
      <c r="AA16" s="2">
        <f>SUM('Estres_mensual'!AA170:AA181)</f>
        <v>0</v>
      </c>
      <c r="AB16" s="2">
        <f>SUM('Estres_mensual'!AB170:AB181)</f>
        <v>14406741.78423948</v>
      </c>
      <c r="AC16" s="2">
        <f>SUM('Estres_mensual'!AC170:AC181)</f>
        <v>14406741.78423948</v>
      </c>
      <c r="AD16" s="2">
        <f>SUM('Estres_mensual'!AD170:AD181)</f>
        <v>-622296.0479603991</v>
      </c>
      <c r="AE16" s="2">
        <v>0</v>
      </c>
      <c r="AF16" s="2">
        <f>SUM('Estres_mensual'!AF170:AF181)</f>
        <v>43842521.40067884</v>
      </c>
      <c r="AG16" s="2">
        <f>SUM('Estres_mensual'!AG170:AG181)</f>
        <v>43842521.40067884</v>
      </c>
      <c r="AH16" s="2">
        <v>192645728.4005625</v>
      </c>
      <c r="AI16" s="2">
        <v>53463626.12329523</v>
      </c>
      <c r="AJ16" s="2">
        <v>139182102.2772673</v>
      </c>
      <c r="AK16" s="3">
        <v>0.25</v>
      </c>
      <c r="AL16" s="3">
        <v>0</v>
      </c>
      <c r="AM16" s="2">
        <v>47978702.80895405</v>
      </c>
      <c r="AN16" s="2">
        <v>715</v>
      </c>
      <c r="AO16" s="2">
        <v>715</v>
      </c>
    </row>
  </sheetData>
  <autoFilter ref="A1:AO1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</row>
    <row r="2" spans="1:37">
      <c r="A2" s="2">
        <v>1</v>
      </c>
      <c r="B2" s="2">
        <v>2027</v>
      </c>
      <c r="C2" s="2">
        <v>6</v>
      </c>
      <c r="D2" s="2">
        <v>349990</v>
      </c>
      <c r="E2" s="2">
        <v>2099940</v>
      </c>
      <c r="F2" s="2">
        <f>E2/1.19</f>
        <v>1764655.462184874</v>
      </c>
      <c r="G2" s="2">
        <v>10</v>
      </c>
      <c r="H2" s="2">
        <v>752426.8907563025</v>
      </c>
      <c r="I2" s="2">
        <v>24</v>
      </c>
      <c r="J2" s="2">
        <v>1805824.537815126</v>
      </c>
      <c r="K2" s="2">
        <v>451456.1344537815</v>
      </c>
      <c r="L2" s="2">
        <v>177113.4907563025</v>
      </c>
      <c r="M2" s="2">
        <v>2058750</v>
      </c>
      <c r="N2" s="3">
        <v>0.5</v>
      </c>
      <c r="O2" s="3">
        <v>0</v>
      </c>
      <c r="P2" s="2">
        <v>130000</v>
      </c>
      <c r="Q2" s="2">
        <v>165000</v>
      </c>
      <c r="R2" s="2">
        <v>0</v>
      </c>
      <c r="S2" s="2">
        <v>280000</v>
      </c>
      <c r="T2" s="2">
        <v>750000</v>
      </c>
      <c r="U2" s="2">
        <f>M2+P2+Q2+R2+S2+T2</f>
        <v>3383750.0</v>
      </c>
      <c r="V2" s="2">
        <f>F2-K2-L2-U2</f>
        <v>-2247664.1630252097</v>
      </c>
      <c r="W2" s="2">
        <v>262839.5642879503</v>
      </c>
      <c r="X2" s="2">
        <v>124814.107325719</v>
      </c>
      <c r="Y2" s="2">
        <f>W2+X2</f>
        <v>387653.6716136693</v>
      </c>
      <c r="Z2" s="2">
        <v>27575185.89267428</v>
      </c>
      <c r="AA2" s="2">
        <v>0</v>
      </c>
      <c r="AB2" s="2">
        <v>0</v>
      </c>
      <c r="AC2" s="2">
        <v>0</v>
      </c>
      <c r="AD2" s="2">
        <v>141251.1092436975</v>
      </c>
      <c r="AE2" s="2">
        <v>141251.1092436975</v>
      </c>
      <c r="AF2" s="2">
        <f>F2-H2-L2-U2-AA2-AC2-AD2</f>
        <v>-2689886.0285714283</v>
      </c>
      <c r="AG2" s="2">
        <f>F2-H2-L2-U2-AA2-AB2-AD2-Y2</f>
        <v>-3077539.7001850978</v>
      </c>
      <c r="AH2" s="2">
        <f>24002224.0+AG2</f>
        <v>20924684.299814902</v>
      </c>
      <c r="AI2" s="2">
        <v>12528588.61484101</v>
      </c>
      <c r="AJ2" s="2">
        <f>AH2-AI2</f>
        <v>8396095.684973894</v>
      </c>
      <c r="AK2" s="3">
        <v>0.125</v>
      </c>
    </row>
    <row r="3" spans="1:37">
      <c r="A3" s="2">
        <v>2</v>
      </c>
      <c r="B3" s="2">
        <v>2027</v>
      </c>
      <c r="C3" s="2">
        <v>9</v>
      </c>
      <c r="D3" s="2">
        <v>349990</v>
      </c>
      <c r="E3" s="2">
        <v>3149910</v>
      </c>
      <c r="F3" s="2">
        <f>E3/1.19</f>
        <v>2646983.193277311</v>
      </c>
      <c r="G3" s="2">
        <v>20</v>
      </c>
      <c r="H3" s="2">
        <v>1504853.781512605</v>
      </c>
      <c r="I3" s="2">
        <v>35</v>
      </c>
      <c r="J3" s="2">
        <v>2633494.117647059</v>
      </c>
      <c r="K3" s="2">
        <v>677184.2016806724</v>
      </c>
      <c r="L3" s="2">
        <v>265670.2361344538</v>
      </c>
      <c r="M3" s="2">
        <v>2058750</v>
      </c>
      <c r="N3" s="3">
        <v>0.5</v>
      </c>
      <c r="O3" s="3">
        <v>0</v>
      </c>
      <c r="P3" s="2">
        <v>130000</v>
      </c>
      <c r="Q3" s="2">
        <v>165000</v>
      </c>
      <c r="R3" s="2">
        <v>0</v>
      </c>
      <c r="S3" s="2">
        <v>280000</v>
      </c>
      <c r="T3" s="2">
        <v>750000</v>
      </c>
      <c r="U3" s="2">
        <f>M3+P3+Q3+R3+S3+T3</f>
        <v>3383750.0</v>
      </c>
      <c r="V3" s="2">
        <f>F3-K3-L3-U3</f>
        <v>-1679621.244537815</v>
      </c>
      <c r="W3" s="2">
        <v>261655.2290682218</v>
      </c>
      <c r="X3" s="2">
        <v>125998.4425454475</v>
      </c>
      <c r="Y3" s="2">
        <f>W3+X3</f>
        <v>387653.6716136693</v>
      </c>
      <c r="Z3" s="2">
        <v>27449187.45012883</v>
      </c>
      <c r="AA3" s="2">
        <v>0</v>
      </c>
      <c r="AB3" s="2">
        <v>0</v>
      </c>
      <c r="AC3" s="2">
        <v>0</v>
      </c>
      <c r="AD3" s="2">
        <v>141251.1092436975</v>
      </c>
      <c r="AE3" s="2">
        <v>282502.218487395</v>
      </c>
      <c r="AF3" s="2">
        <f>F3-H3-L3-U3-AA3-AC3-AD3</f>
        <v>-2648541.933613445</v>
      </c>
      <c r="AG3" s="2">
        <f>F3-H3-L3-U3-AA3-AB3-AD3-Y3</f>
        <v>-3036195.6052271146</v>
      </c>
      <c r="AH3" s="2">
        <f>AH2+AG3</f>
        <v>17888488.69458779</v>
      </c>
      <c r="AI3" s="2">
        <v>12528588.61484101</v>
      </c>
      <c r="AJ3" s="2">
        <f>AH3-AI3</f>
        <v>5359900.079746781</v>
      </c>
      <c r="AK3" s="3">
        <v>0.125</v>
      </c>
    </row>
    <row r="4" spans="1:37">
      <c r="A4" s="2">
        <v>3</v>
      </c>
      <c r="B4" s="2">
        <v>2027</v>
      </c>
      <c r="C4" s="2">
        <v>12</v>
      </c>
      <c r="D4" s="2">
        <v>349990</v>
      </c>
      <c r="E4" s="2">
        <v>4199880</v>
      </c>
      <c r="F4" s="2">
        <f>E4/1.19</f>
        <v>3529310.924369748</v>
      </c>
      <c r="G4" s="2">
        <v>10</v>
      </c>
      <c r="H4" s="2">
        <v>752426.8907563025</v>
      </c>
      <c r="I4" s="2">
        <v>33</v>
      </c>
      <c r="J4" s="2">
        <v>2483008.739495798</v>
      </c>
      <c r="K4" s="2">
        <v>902912.2689075629</v>
      </c>
      <c r="L4" s="2">
        <v>354226.981512605</v>
      </c>
      <c r="M4" s="2">
        <v>2058750</v>
      </c>
      <c r="N4" s="3">
        <v>0.5</v>
      </c>
      <c r="O4" s="3">
        <v>0</v>
      </c>
      <c r="P4" s="2">
        <v>130000</v>
      </c>
      <c r="Q4" s="2">
        <v>165000</v>
      </c>
      <c r="R4" s="2">
        <v>0</v>
      </c>
      <c r="S4" s="2">
        <v>280000</v>
      </c>
      <c r="T4" s="2">
        <v>750000</v>
      </c>
      <c r="U4" s="2">
        <f>M4+P4+Q4+R4+S4+T4</f>
        <v>3383750.0</v>
      </c>
      <c r="V4" s="2">
        <f>F4-K4-L4-U4</f>
        <v>-1111578.3260504198</v>
      </c>
      <c r="W4" s="2">
        <v>260459.6559368281</v>
      </c>
      <c r="X4" s="2">
        <v>127194.0156768412</v>
      </c>
      <c r="Y4" s="2">
        <f>W4+X4</f>
        <v>387653.6716136693</v>
      </c>
      <c r="Z4" s="2">
        <v>27321993.43445199</v>
      </c>
      <c r="AA4" s="2">
        <v>0</v>
      </c>
      <c r="AB4" s="2">
        <v>0</v>
      </c>
      <c r="AC4" s="2">
        <v>0</v>
      </c>
      <c r="AD4" s="2">
        <v>-141251.1092436975</v>
      </c>
      <c r="AE4" s="2">
        <v>141251.1092436975</v>
      </c>
      <c r="AF4" s="2">
        <f>F4-H4-L4-U4-AA4-AC4-AD4</f>
        <v>-819841.838655462</v>
      </c>
      <c r="AG4" s="2">
        <f>F4-H4-L4-U4-AA4-AB4-AD4-Y4</f>
        <v>-1207495.5102691313</v>
      </c>
      <c r="AH4" s="2">
        <f>AH3+AG4</f>
        <v>16680993.184318658</v>
      </c>
      <c r="AI4" s="2">
        <v>12528588.61484101</v>
      </c>
      <c r="AJ4" s="2">
        <f>AH4-AI4</f>
        <v>4152404.5694776494</v>
      </c>
      <c r="AK4" s="3">
        <v>0.125</v>
      </c>
    </row>
    <row r="5" spans="1:37">
      <c r="A5" s="2">
        <v>4</v>
      </c>
      <c r="B5" s="2">
        <v>2027</v>
      </c>
      <c r="C5" s="2">
        <v>15</v>
      </c>
      <c r="D5" s="2">
        <v>349990</v>
      </c>
      <c r="E5" s="2">
        <v>5249850</v>
      </c>
      <c r="F5" s="2">
        <f>E5/1.19</f>
        <v>4411638.655462185</v>
      </c>
      <c r="G5" s="2">
        <v>30</v>
      </c>
      <c r="H5" s="2">
        <v>2257280.672268908</v>
      </c>
      <c r="I5" s="2">
        <v>48</v>
      </c>
      <c r="J5" s="2">
        <v>3611649.075630252</v>
      </c>
      <c r="K5" s="2">
        <v>1128640.336134454</v>
      </c>
      <c r="L5" s="2">
        <v>442783.7268907563</v>
      </c>
      <c r="M5" s="2">
        <v>2058750</v>
      </c>
      <c r="N5" s="3">
        <v>0.5</v>
      </c>
      <c r="O5" s="3">
        <v>0</v>
      </c>
      <c r="P5" s="2">
        <v>130000</v>
      </c>
      <c r="Q5" s="2">
        <v>165000</v>
      </c>
      <c r="R5" s="2">
        <v>0</v>
      </c>
      <c r="S5" s="2">
        <v>280000</v>
      </c>
      <c r="T5" s="2">
        <v>750000</v>
      </c>
      <c r="U5" s="2">
        <f>M5+P5+Q5+R5+S5+T5</f>
        <v>3383750.0</v>
      </c>
      <c r="V5" s="2">
        <f>F5-K5-L5-U5</f>
        <v>-543535.4075630251</v>
      </c>
      <c r="W5" s="2">
        <v>259252.7382595525</v>
      </c>
      <c r="X5" s="2">
        <v>128400.9333541169</v>
      </c>
      <c r="Y5" s="2">
        <f>W5+X5</f>
        <v>387653.6716136693</v>
      </c>
      <c r="Z5" s="2">
        <v>27193592.50109788</v>
      </c>
      <c r="AA5" s="2">
        <v>0</v>
      </c>
      <c r="AB5" s="2">
        <v>0</v>
      </c>
      <c r="AC5" s="2">
        <v>0</v>
      </c>
      <c r="AD5" s="2">
        <v>282502.218487395</v>
      </c>
      <c r="AE5" s="2">
        <v>423753.3277310925</v>
      </c>
      <c r="AF5" s="2">
        <f>F5-H5-L5-U5-AA5-AC5-AD5</f>
        <v>-1954677.9621848739</v>
      </c>
      <c r="AG5" s="2">
        <f>F5-H5-L5-U5-AA5-AB5-AD5-Y5</f>
        <v>-2342331.6337985434</v>
      </c>
      <c r="AH5" s="2">
        <f>AH4+AG5</f>
        <v>14338661.550520115</v>
      </c>
      <c r="AI5" s="2">
        <v>12528588.61484101</v>
      </c>
      <c r="AJ5" s="2">
        <f>AH5-AI5</f>
        <v>1810072.935679106</v>
      </c>
      <c r="AK5" s="3">
        <v>0.125</v>
      </c>
    </row>
    <row r="6" spans="1:37">
      <c r="A6" s="2">
        <v>5</v>
      </c>
      <c r="B6" s="2">
        <v>2027</v>
      </c>
      <c r="C6" s="2">
        <v>18</v>
      </c>
      <c r="D6" s="2">
        <v>349990</v>
      </c>
      <c r="E6" s="2">
        <v>6299820</v>
      </c>
      <c r="F6" s="2">
        <f>E6/1.19</f>
        <v>5293966.386554622</v>
      </c>
      <c r="G6" s="2">
        <v>20</v>
      </c>
      <c r="H6" s="2">
        <v>1504853.781512605</v>
      </c>
      <c r="I6" s="2">
        <v>50</v>
      </c>
      <c r="J6" s="2">
        <v>3762134.453781513</v>
      </c>
      <c r="K6" s="2">
        <v>1354368.403361345</v>
      </c>
      <c r="L6" s="2">
        <v>531340.4722689076</v>
      </c>
      <c r="M6" s="2">
        <v>2058750</v>
      </c>
      <c r="N6" s="3">
        <v>0.5</v>
      </c>
      <c r="O6" s="3">
        <v>0</v>
      </c>
      <c r="P6" s="2">
        <v>130000</v>
      </c>
      <c r="Q6" s="2">
        <v>165000</v>
      </c>
      <c r="R6" s="2">
        <v>0</v>
      </c>
      <c r="S6" s="2">
        <v>280000</v>
      </c>
      <c r="T6" s="2">
        <v>750000</v>
      </c>
      <c r="U6" s="2">
        <f>M6+P6+Q6+R6+S6+T6</f>
        <v>3383750.0</v>
      </c>
      <c r="V6" s="2">
        <f>F6-K6-L6-U6</f>
        <v>24507.510924370028</v>
      </c>
      <c r="W6" s="2">
        <v>258034.368390348</v>
      </c>
      <c r="X6" s="2">
        <v>129619.3032233213</v>
      </c>
      <c r="Y6" s="2">
        <f>W6+X6</f>
        <v>387653.6716136693</v>
      </c>
      <c r="Z6" s="2">
        <v>27063973.19787455</v>
      </c>
      <c r="AA6" s="2">
        <v>0</v>
      </c>
      <c r="AB6" s="2">
        <v>0</v>
      </c>
      <c r="AC6" s="2">
        <v>0</v>
      </c>
      <c r="AD6" s="2">
        <v>-141251.1092436975</v>
      </c>
      <c r="AE6" s="2">
        <v>282502.218487395</v>
      </c>
      <c r="AF6" s="2">
        <f>F6-H6-L6-U6-AA6-AC6-AD6</f>
        <v>15273.242016807199</v>
      </c>
      <c r="AG6" s="2">
        <f>F6-H6-L6-U6-AA6-AB6-AD6-Y6</f>
        <v>-372380.4295968621</v>
      </c>
      <c r="AH6" s="2">
        <f>AH5+AG6</f>
        <v>13966281.120923253</v>
      </c>
      <c r="AI6" s="2">
        <v>12528588.61484101</v>
      </c>
      <c r="AJ6" s="2">
        <f>AH6-AI6</f>
        <v>1437692.5060822442</v>
      </c>
      <c r="AK6" s="3">
        <v>0.125</v>
      </c>
    </row>
    <row r="7" spans="1:37">
      <c r="A7" s="2">
        <v>6</v>
      </c>
      <c r="B7" s="2">
        <v>2027</v>
      </c>
      <c r="C7" s="2">
        <v>21</v>
      </c>
      <c r="D7" s="2">
        <v>349990</v>
      </c>
      <c r="E7" s="2">
        <v>7349790</v>
      </c>
      <c r="F7" s="2">
        <f>E7/1.19</f>
        <v>6176294.117647059</v>
      </c>
      <c r="G7" s="2">
        <v>30</v>
      </c>
      <c r="H7" s="2">
        <v>2257280.672268908</v>
      </c>
      <c r="I7" s="2">
        <v>59</v>
      </c>
      <c r="J7" s="2">
        <v>4439318.655462185</v>
      </c>
      <c r="K7" s="2">
        <v>1580096.470588235</v>
      </c>
      <c r="L7" s="2">
        <v>619897.2176470589</v>
      </c>
      <c r="M7" s="2">
        <v>2058750</v>
      </c>
      <c r="N7" s="3">
        <v>0.5</v>
      </c>
      <c r="O7" s="3">
        <v>0</v>
      </c>
      <c r="P7" s="2">
        <v>130000</v>
      </c>
      <c r="Q7" s="2">
        <v>165000</v>
      </c>
      <c r="R7" s="2">
        <v>0</v>
      </c>
      <c r="S7" s="2">
        <v>280000</v>
      </c>
      <c r="T7" s="2">
        <v>750000</v>
      </c>
      <c r="U7" s="2">
        <f>M7+P7+Q7+R7+S7+T7</f>
        <v>3383750.0</v>
      </c>
      <c r="V7" s="2">
        <f>F7-K7-L7-U7</f>
        <v>592550.4294117652</v>
      </c>
      <c r="W7" s="2">
        <v>256804.437661737</v>
      </c>
      <c r="X7" s="2">
        <v>130849.2339519323</v>
      </c>
      <c r="Y7" s="2">
        <f>W7+X7</f>
        <v>387653.6716136693</v>
      </c>
      <c r="Z7" s="2">
        <v>26933123.96392262</v>
      </c>
      <c r="AA7" s="2">
        <v>0</v>
      </c>
      <c r="AB7" s="2">
        <v>0</v>
      </c>
      <c r="AC7" s="2">
        <v>0</v>
      </c>
      <c r="AD7" s="2">
        <v>141251.1092436975</v>
      </c>
      <c r="AE7" s="2">
        <v>423753.3277310925</v>
      </c>
      <c r="AF7" s="2">
        <f>F7-H7-L7-U7-AA7-AC7-AD7</f>
        <v>-225884.88151260465</v>
      </c>
      <c r="AG7" s="2">
        <f>F7-H7-L7-U7-AA7-AB7-AD7-Y7</f>
        <v>-613538.5531262739</v>
      </c>
      <c r="AH7" s="2">
        <f>AH6+AG7</f>
        <v>13352742.56779698</v>
      </c>
      <c r="AI7" s="2">
        <v>12528588.61484101</v>
      </c>
      <c r="AJ7" s="2">
        <f>AH7-AI7</f>
        <v>824153.9529559705</v>
      </c>
      <c r="AK7" s="3">
        <v>0.125</v>
      </c>
    </row>
    <row r="8" spans="1:37">
      <c r="A8" s="2">
        <v>7</v>
      </c>
      <c r="B8" s="2">
        <v>2027</v>
      </c>
      <c r="C8" s="2">
        <v>24</v>
      </c>
      <c r="D8" s="2">
        <v>349990</v>
      </c>
      <c r="E8" s="2">
        <v>8399760</v>
      </c>
      <c r="F8" s="2">
        <f>E8/1.19</f>
        <v>7058621.848739496</v>
      </c>
      <c r="G8" s="2">
        <v>30</v>
      </c>
      <c r="H8" s="2">
        <v>2257280.672268908</v>
      </c>
      <c r="I8" s="2">
        <v>65</v>
      </c>
      <c r="J8" s="2">
        <v>4890774.789915967</v>
      </c>
      <c r="K8" s="2">
        <v>1805824.537815126</v>
      </c>
      <c r="L8" s="2">
        <v>708453.9630252101</v>
      </c>
      <c r="M8" s="2">
        <v>2058750</v>
      </c>
      <c r="N8" s="3">
        <v>0.5</v>
      </c>
      <c r="O8" s="3">
        <v>0</v>
      </c>
      <c r="P8" s="2">
        <v>130000</v>
      </c>
      <c r="Q8" s="2">
        <v>165000</v>
      </c>
      <c r="R8" s="2">
        <v>0</v>
      </c>
      <c r="S8" s="2">
        <v>280000</v>
      </c>
      <c r="T8" s="2">
        <v>750000</v>
      </c>
      <c r="U8" s="2">
        <f>M8+P8+Q8+R8+S8+T8</f>
        <v>3383750.0</v>
      </c>
      <c r="V8" s="2">
        <f>F8-K8-L8-U8</f>
        <v>1160593.3478991603</v>
      </c>
      <c r="W8" s="2">
        <v>255562.8363751183</v>
      </c>
      <c r="X8" s="2">
        <v>132090.8352385511</v>
      </c>
      <c r="Y8" s="2">
        <f>W8+X8</f>
        <v>387653.6716136693</v>
      </c>
      <c r="Z8" s="2">
        <v>26801033.12868407</v>
      </c>
      <c r="AA8" s="2">
        <v>0</v>
      </c>
      <c r="AB8" s="2">
        <v>0</v>
      </c>
      <c r="AC8" s="2">
        <v>0</v>
      </c>
      <c r="AD8" s="2">
        <v>0</v>
      </c>
      <c r="AE8" s="2">
        <v>423753.3277310925</v>
      </c>
      <c r="AF8" s="2">
        <f>F8-H8-L8-U8-AA8-AC8-AD8</f>
        <v>709137.2134453789</v>
      </c>
      <c r="AG8" s="2">
        <f>F8-H8-L8-U8-AA8-AB8-AD8-Y8</f>
        <v>321483.5418317096</v>
      </c>
      <c r="AH8" s="2">
        <f>AH7+AG8</f>
        <v>13674226.109628689</v>
      </c>
      <c r="AI8" s="2">
        <v>12528588.61484101</v>
      </c>
      <c r="AJ8" s="2">
        <f>AH8-AI8</f>
        <v>1145637.49478768</v>
      </c>
      <c r="AK8" s="3">
        <v>0.125</v>
      </c>
    </row>
    <row r="9" spans="1:37">
      <c r="A9" s="2">
        <v>8</v>
      </c>
      <c r="B9" s="2">
        <v>2027</v>
      </c>
      <c r="C9" s="2">
        <v>30</v>
      </c>
      <c r="D9" s="2">
        <v>349990</v>
      </c>
      <c r="E9" s="2">
        <v>10499700</v>
      </c>
      <c r="F9" s="2">
        <f>E9/1.19</f>
        <v>8823277.31092437</v>
      </c>
      <c r="G9" s="2">
        <v>40</v>
      </c>
      <c r="H9" s="2">
        <v>3009707.56302521</v>
      </c>
      <c r="I9" s="2">
        <v>75</v>
      </c>
      <c r="J9" s="2">
        <v>5643201.680672269</v>
      </c>
      <c r="K9" s="2">
        <v>2257280.672268908</v>
      </c>
      <c r="L9" s="2">
        <v>885567.4537815127</v>
      </c>
      <c r="M9" s="2">
        <v>2058750</v>
      </c>
      <c r="N9" s="3">
        <v>0.5</v>
      </c>
      <c r="O9" s="3">
        <v>0</v>
      </c>
      <c r="P9" s="2">
        <v>130000</v>
      </c>
      <c r="Q9" s="2">
        <v>165000</v>
      </c>
      <c r="R9" s="2">
        <v>0</v>
      </c>
      <c r="S9" s="2">
        <v>280000</v>
      </c>
      <c r="T9" s="2">
        <v>750000</v>
      </c>
      <c r="U9" s="2">
        <f>M9+P9+Q9+R9+S9+T9</f>
        <v>3383750.0</v>
      </c>
      <c r="V9" s="2">
        <f>F9-K9-L9-U9</f>
        <v>2296679.184873949</v>
      </c>
      <c r="W9" s="2">
        <v>254309.4537909835</v>
      </c>
      <c r="X9" s="2">
        <v>133344.2178226858</v>
      </c>
      <c r="Y9" s="2">
        <f>W9+X9</f>
        <v>387653.6716136693</v>
      </c>
      <c r="Z9" s="2">
        <v>26667688.91086138</v>
      </c>
      <c r="AA9" s="2">
        <v>0</v>
      </c>
      <c r="AB9" s="2">
        <v>0</v>
      </c>
      <c r="AC9" s="2">
        <v>0</v>
      </c>
      <c r="AD9" s="2">
        <v>141251.1092436975</v>
      </c>
      <c r="AE9" s="2">
        <v>565004.4369747899</v>
      </c>
      <c r="AF9" s="2">
        <f>F9-H9-L9-U9-AA9-AC9-AD9</f>
        <v>1403001.1848739497</v>
      </c>
      <c r="AG9" s="2">
        <f>F9-H9-L9-U9-AA9-AB9-AD9-Y9</f>
        <v>1015347.5132602805</v>
      </c>
      <c r="AH9" s="2">
        <f>AH8+AG9</f>
        <v>14689573.62288897</v>
      </c>
      <c r="AI9" s="2">
        <v>12528588.61484101</v>
      </c>
      <c r="AJ9" s="2">
        <f>AH9-AI9</f>
        <v>2160985.0080479607</v>
      </c>
      <c r="AK9" s="3">
        <v>0.125</v>
      </c>
    </row>
    <row r="10" spans="1:37">
      <c r="A10" s="2">
        <v>9</v>
      </c>
      <c r="B10" s="2">
        <v>2027</v>
      </c>
      <c r="C10" s="2">
        <v>33</v>
      </c>
      <c r="D10" s="2">
        <v>349990</v>
      </c>
      <c r="E10" s="2">
        <v>11549670</v>
      </c>
      <c r="F10" s="2">
        <f>E10/1.19</f>
        <v>9705605.042016808</v>
      </c>
      <c r="G10" s="2">
        <v>40</v>
      </c>
      <c r="H10" s="2">
        <v>3009707.56302521</v>
      </c>
      <c r="I10" s="2">
        <v>82</v>
      </c>
      <c r="J10" s="2">
        <v>6169900.50420168</v>
      </c>
      <c r="K10" s="2">
        <v>2483008.739495798</v>
      </c>
      <c r="L10" s="2">
        <v>974124.1991596639</v>
      </c>
      <c r="M10" s="2">
        <v>2058750</v>
      </c>
      <c r="N10" s="3">
        <v>0.5</v>
      </c>
      <c r="O10" s="3">
        <v>0</v>
      </c>
      <c r="P10" s="2">
        <v>130000</v>
      </c>
      <c r="Q10" s="2">
        <v>165000</v>
      </c>
      <c r="R10" s="2">
        <v>0</v>
      </c>
      <c r="S10" s="2">
        <v>280000</v>
      </c>
      <c r="T10" s="2">
        <v>750000</v>
      </c>
      <c r="U10" s="2">
        <f>M10+P10+Q10+R10+S10+T10</f>
        <v>3383750.0</v>
      </c>
      <c r="V10" s="2">
        <f>F10-K10-L10-U10</f>
        <v>2864722.103361345</v>
      </c>
      <c r="W10" s="2">
        <v>253044.1781190402</v>
      </c>
      <c r="X10" s="2">
        <v>134609.4934946292</v>
      </c>
      <c r="Y10" s="2">
        <f>W10+X10</f>
        <v>387653.6716136693</v>
      </c>
      <c r="Z10" s="2">
        <v>26533079.41736675</v>
      </c>
      <c r="AA10" s="2">
        <v>0</v>
      </c>
      <c r="AB10" s="2">
        <v>0</v>
      </c>
      <c r="AC10" s="2">
        <v>0</v>
      </c>
      <c r="AD10" s="2">
        <v>0</v>
      </c>
      <c r="AE10" s="2">
        <v>565004.4369747899</v>
      </c>
      <c r="AF10" s="2">
        <f>F10-H10-L10-U10-AA10-AC10-AD10</f>
        <v>2338023.279831934</v>
      </c>
      <c r="AG10" s="2">
        <f>F10-H10-L10-U10-AA10-AB10-AD10-Y10</f>
        <v>1950369.6082182645</v>
      </c>
      <c r="AH10" s="2">
        <f>AH9+AG10</f>
        <v>16639943.231107233</v>
      </c>
      <c r="AI10" s="2">
        <v>12528588.61484101</v>
      </c>
      <c r="AJ10" s="2">
        <f>AH10-AI10</f>
        <v>4111354.6162662245</v>
      </c>
      <c r="AK10" s="3">
        <v>0.125</v>
      </c>
    </row>
    <row r="11" spans="1:37">
      <c r="A11" s="2">
        <v>10</v>
      </c>
      <c r="B11" s="2">
        <v>2027</v>
      </c>
      <c r="C11" s="2">
        <v>39</v>
      </c>
      <c r="D11" s="2">
        <v>349990</v>
      </c>
      <c r="E11" s="2">
        <v>13649610</v>
      </c>
      <c r="F11" s="2">
        <f>E11/1.19</f>
        <v>11470260.50420168</v>
      </c>
      <c r="G11" s="2">
        <v>50</v>
      </c>
      <c r="H11" s="2">
        <v>3762134.453781512</v>
      </c>
      <c r="I11" s="2">
        <v>93</v>
      </c>
      <c r="J11" s="2">
        <v>6997570.084033613</v>
      </c>
      <c r="K11" s="2">
        <v>2934464.873949579</v>
      </c>
      <c r="L11" s="2">
        <v>1151237.689915966</v>
      </c>
      <c r="M11" s="2">
        <v>2058750</v>
      </c>
      <c r="N11" s="3">
        <v>0.5</v>
      </c>
      <c r="O11" s="3">
        <v>0</v>
      </c>
      <c r="P11" s="2">
        <v>130000</v>
      </c>
      <c r="Q11" s="2">
        <v>165000</v>
      </c>
      <c r="R11" s="2">
        <v>0</v>
      </c>
      <c r="S11" s="2">
        <v>280000</v>
      </c>
      <c r="T11" s="2">
        <v>750000</v>
      </c>
      <c r="U11" s="2">
        <f>M11+P11+Q11+R11+S11+T11</f>
        <v>3383750.0</v>
      </c>
      <c r="V11" s="2">
        <f>F11-K11-L11-U11</f>
        <v>4000807.9403361343</v>
      </c>
      <c r="W11" s="2">
        <v>251766.8965082405</v>
      </c>
      <c r="X11" s="2">
        <v>135886.7751054288</v>
      </c>
      <c r="Y11" s="2">
        <f>W11+X11</f>
        <v>387653.6716136693</v>
      </c>
      <c r="Z11" s="2">
        <v>26397192.64226133</v>
      </c>
      <c r="AA11" s="2">
        <v>0</v>
      </c>
      <c r="AB11" s="2">
        <v>0</v>
      </c>
      <c r="AC11" s="2">
        <v>0</v>
      </c>
      <c r="AD11" s="2">
        <v>141251.1092436974</v>
      </c>
      <c r="AE11" s="2">
        <v>706255.5462184873</v>
      </c>
      <c r="AF11" s="2">
        <f>F11-H11-L11-U11-AA11-AC11-AD11</f>
        <v>3031887.251260505</v>
      </c>
      <c r="AG11" s="2">
        <f>F11-H11-L11-U11-AA11-AB11-AD11-Y11</f>
        <v>2644233.5796468356</v>
      </c>
      <c r="AH11" s="2">
        <f>AH10+AG11</f>
        <v>19284176.81075407</v>
      </c>
      <c r="AI11" s="2">
        <v>12528588.61484101</v>
      </c>
      <c r="AJ11" s="2">
        <f>AH11-AI11</f>
        <v>6755588.19591306</v>
      </c>
      <c r="AK11" s="3">
        <v>0.125</v>
      </c>
    </row>
    <row r="12" spans="1:37">
      <c r="A12" s="2">
        <v>11</v>
      </c>
      <c r="B12" s="2">
        <v>2027</v>
      </c>
      <c r="C12" s="2">
        <v>42</v>
      </c>
      <c r="D12" s="2">
        <v>349990</v>
      </c>
      <c r="E12" s="2">
        <v>14699580</v>
      </c>
      <c r="F12" s="2">
        <f>E12/1.19</f>
        <v>12352588.235294119</v>
      </c>
      <c r="G12" s="2">
        <v>20</v>
      </c>
      <c r="H12" s="2">
        <v>1504853.781512605</v>
      </c>
      <c r="I12" s="2">
        <v>71</v>
      </c>
      <c r="J12" s="2">
        <v>5342230.924369747</v>
      </c>
      <c r="K12" s="2">
        <v>3160192.941176471</v>
      </c>
      <c r="L12" s="2">
        <v>1239794.435294118</v>
      </c>
      <c r="M12" s="2">
        <v>2058750</v>
      </c>
      <c r="N12" s="3">
        <v>0.5</v>
      </c>
      <c r="O12" s="3">
        <v>0</v>
      </c>
      <c r="P12" s="2">
        <v>130000</v>
      </c>
      <c r="Q12" s="2">
        <v>165000</v>
      </c>
      <c r="R12" s="2">
        <v>0</v>
      </c>
      <c r="S12" s="2">
        <v>280000</v>
      </c>
      <c r="T12" s="2">
        <v>750000</v>
      </c>
      <c r="U12" s="2">
        <f>M12+P12+Q12+R12+S12+T12</f>
        <v>3383750.0</v>
      </c>
      <c r="V12" s="2">
        <f>F12-K12-L12-U12</f>
        <v>4568850.85882353</v>
      </c>
      <c r="W12" s="2">
        <v>250477.4950367168</v>
      </c>
      <c r="X12" s="2">
        <v>137176.1765769525</v>
      </c>
      <c r="Y12" s="2">
        <f>W12+X12</f>
        <v>387653.6716136693</v>
      </c>
      <c r="Z12" s="2">
        <v>26260016.46568437</v>
      </c>
      <c r="AA12" s="2">
        <v>0</v>
      </c>
      <c r="AB12" s="2">
        <v>0</v>
      </c>
      <c r="AC12" s="2">
        <v>0</v>
      </c>
      <c r="AD12" s="2">
        <v>-423753.3277310923</v>
      </c>
      <c r="AE12" s="2">
        <v>282502.218487395</v>
      </c>
      <c r="AF12" s="2">
        <f>F12-H12-L12-U12-AA12-AC12-AD12</f>
        <v>6647943.346218488</v>
      </c>
      <c r="AG12" s="2">
        <f>F12-H12-L12-U12-AA12-AB12-AD12-Y12</f>
        <v>6260289.674604819</v>
      </c>
      <c r="AH12" s="2">
        <f>AH11+AG12</f>
        <v>25544466.485358886</v>
      </c>
      <c r="AI12" s="2">
        <v>12528588.61484101</v>
      </c>
      <c r="AJ12" s="2">
        <f>AH12-AI12</f>
        <v>13015877.870517878</v>
      </c>
      <c r="AK12" s="3">
        <v>0.125</v>
      </c>
    </row>
    <row r="13" spans="1:37">
      <c r="A13" s="2">
        <v>12</v>
      </c>
      <c r="B13" s="2">
        <v>2027</v>
      </c>
      <c r="C13" s="2">
        <v>51</v>
      </c>
      <c r="D13" s="2">
        <v>349990</v>
      </c>
      <c r="E13" s="2">
        <v>17849490</v>
      </c>
      <c r="F13" s="2">
        <f>E13/1.19</f>
        <v>14999571.42857143</v>
      </c>
      <c r="G13" s="2">
        <v>10</v>
      </c>
      <c r="H13" s="2">
        <v>752426.8907563025</v>
      </c>
      <c r="I13" s="2">
        <v>30</v>
      </c>
      <c r="J13" s="2">
        <v>2257280.672268907</v>
      </c>
      <c r="K13" s="2">
        <v>3837377.142857143</v>
      </c>
      <c r="L13" s="2">
        <v>1505464.671428571</v>
      </c>
      <c r="M13" s="2">
        <v>2058750</v>
      </c>
      <c r="N13" s="3">
        <v>0.5</v>
      </c>
      <c r="O13" s="3">
        <v>0</v>
      </c>
      <c r="P13" s="2">
        <v>130000</v>
      </c>
      <c r="Q13" s="2">
        <v>165000</v>
      </c>
      <c r="R13" s="2">
        <v>0</v>
      </c>
      <c r="S13" s="2">
        <v>280000</v>
      </c>
      <c r="T13" s="2">
        <v>750000</v>
      </c>
      <c r="U13" s="2">
        <f>M13+P13+Q13+R13+S13+T13</f>
        <v>3383750.0</v>
      </c>
      <c r="V13" s="2">
        <f>F13-K13-L13-U13</f>
        <v>6272979.614285715</v>
      </c>
      <c r="W13" s="2">
        <v>249175.8587016203</v>
      </c>
      <c r="X13" s="2">
        <v>138477.812912049</v>
      </c>
      <c r="Y13" s="2">
        <f>W13+X13</f>
        <v>387653.6716136693</v>
      </c>
      <c r="Z13" s="2">
        <v>26121538.65277232</v>
      </c>
      <c r="AA13" s="2">
        <v>0</v>
      </c>
      <c r="AB13" s="2">
        <v>28713.28073085472</v>
      </c>
      <c r="AC13" s="2">
        <v>412886.1197479002</v>
      </c>
      <c r="AD13" s="2">
        <v>-141251.1092436975</v>
      </c>
      <c r="AE13" s="2">
        <v>141251.1092436975</v>
      </c>
      <c r="AF13" s="2">
        <f>F13-H13-L13-U13-AA13-AC13-AD13</f>
        <v>9086294.855882354</v>
      </c>
      <c r="AG13" s="2">
        <f>F13-H13-L13-U13-AA13-AB13-AD13-Y13</f>
        <v>9082814.02328573</v>
      </c>
      <c r="AH13" s="2">
        <f>AH12+AG13</f>
        <v>34627280.50864462</v>
      </c>
      <c r="AI13" s="2">
        <v>12528588.61484101</v>
      </c>
      <c r="AJ13" s="2">
        <f>AH13-AI13</f>
        <v>22098691.89380361</v>
      </c>
      <c r="AK13" s="3">
        <v>0.125</v>
      </c>
    </row>
    <row r="14" spans="1:37">
      <c r="A14" s="2">
        <v>13</v>
      </c>
      <c r="B14" s="2">
        <v>2028</v>
      </c>
      <c r="C14" s="2">
        <v>11</v>
      </c>
      <c r="D14" s="2">
        <v>360489.7</v>
      </c>
      <c r="E14" s="2">
        <v>3965386.7</v>
      </c>
      <c r="F14" s="2">
        <f>E14/1.19</f>
        <v>3332257.731092437</v>
      </c>
      <c r="G14" s="2">
        <v>20</v>
      </c>
      <c r="H14" s="2">
        <v>1549999.394957983</v>
      </c>
      <c r="I14" s="2">
        <v>39</v>
      </c>
      <c r="J14" s="2">
        <v>2969678.452436974</v>
      </c>
      <c r="K14" s="2">
        <v>837601.6147899157</v>
      </c>
      <c r="L14" s="2">
        <v>333257.4641831933</v>
      </c>
      <c r="M14" s="2">
        <v>2920050</v>
      </c>
      <c r="N14" s="3">
        <v>0.5</v>
      </c>
      <c r="O14" s="3">
        <v>0.5</v>
      </c>
      <c r="P14" s="2">
        <v>144200</v>
      </c>
      <c r="Q14" s="2">
        <v>212437.5</v>
      </c>
      <c r="R14" s="2">
        <v>0</v>
      </c>
      <c r="S14" s="2">
        <v>288400</v>
      </c>
      <c r="T14" s="2">
        <v>1351875</v>
      </c>
      <c r="U14" s="2">
        <f>M14+P14+Q14+R14+S14+T14</f>
        <v>4916962.5</v>
      </c>
      <c r="V14" s="2">
        <f>F14-K14-L14-U14</f>
        <v>-2755563.8478806717</v>
      </c>
      <c r="W14" s="2">
        <v>247861.871408864</v>
      </c>
      <c r="X14" s="2">
        <v>139791.8002048054</v>
      </c>
      <c r="Y14" s="2">
        <f>W14+X14</f>
        <v>387653.6716136693</v>
      </c>
      <c r="Z14" s="2">
        <v>25981746.85256752</v>
      </c>
      <c r="AA14" s="2">
        <v>0</v>
      </c>
      <c r="AB14" s="2">
        <v>0</v>
      </c>
      <c r="AC14" s="2">
        <v>0</v>
      </c>
      <c r="AD14" s="2">
        <v>149726.1757983193</v>
      </c>
      <c r="AE14" s="2">
        <v>290977.2850420168</v>
      </c>
      <c r="AF14" s="2">
        <f>F14-H14-L14-U14-AA14-AC14-AD14</f>
        <v>-3617687.8038470587</v>
      </c>
      <c r="AG14" s="2">
        <f>F14-H14-L14-U14-AA14-AB14-AD14-Y14</f>
        <v>-4005341.475460728</v>
      </c>
      <c r="AH14" s="2">
        <f>AH13+AG14</f>
        <v>30621939.03318389</v>
      </c>
      <c r="AI14" s="2">
        <v>17128226.11484101</v>
      </c>
      <c r="AJ14" s="2">
        <f>AH14-AI14</f>
        <v>13493712.918342885</v>
      </c>
      <c r="AK14" s="3">
        <v>0.15</v>
      </c>
    </row>
    <row r="15" spans="1:37">
      <c r="A15" s="2">
        <v>14</v>
      </c>
      <c r="B15" s="2">
        <v>2028</v>
      </c>
      <c r="C15" s="2">
        <v>16</v>
      </c>
      <c r="D15" s="2">
        <v>360489.7</v>
      </c>
      <c r="E15" s="2">
        <v>5767835.2</v>
      </c>
      <c r="F15" s="2">
        <f>E15/1.19</f>
        <v>4846920.336134454</v>
      </c>
      <c r="G15" s="2">
        <v>30</v>
      </c>
      <c r="H15" s="2">
        <v>2324999.092436975</v>
      </c>
      <c r="I15" s="2">
        <v>53</v>
      </c>
      <c r="J15" s="2">
        <v>4066926.230120569</v>
      </c>
      <c r="K15" s="2">
        <v>1227751.314753379</v>
      </c>
      <c r="L15" s="2">
        <v>485491.8651802704</v>
      </c>
      <c r="M15" s="2">
        <v>2920050</v>
      </c>
      <c r="N15" s="3">
        <v>0.5</v>
      </c>
      <c r="O15" s="3">
        <v>0.5</v>
      </c>
      <c r="P15" s="2">
        <v>144200</v>
      </c>
      <c r="Q15" s="2">
        <v>212437.5</v>
      </c>
      <c r="R15" s="2">
        <v>0</v>
      </c>
      <c r="S15" s="2">
        <v>288400</v>
      </c>
      <c r="T15" s="2">
        <v>1351875</v>
      </c>
      <c r="U15" s="2">
        <f>M15+P15+Q15+R15+S15+T15</f>
        <v>4916962.5</v>
      </c>
      <c r="V15" s="2">
        <f>F15-K15-L15-U15</f>
        <v>-1783285.3437991957</v>
      </c>
      <c r="W15" s="2">
        <v>246535.4159627679</v>
      </c>
      <c r="X15" s="2">
        <v>141118.2556509014</v>
      </c>
      <c r="Y15" s="2">
        <f>W15+X15</f>
        <v>387653.6716136693</v>
      </c>
      <c r="Z15" s="2">
        <v>25840628.59691662</v>
      </c>
      <c r="AA15" s="2">
        <v>0</v>
      </c>
      <c r="AB15" s="2">
        <v>0</v>
      </c>
      <c r="AC15" s="2">
        <v>0</v>
      </c>
      <c r="AD15" s="2">
        <v>145488.6425210084</v>
      </c>
      <c r="AE15" s="2">
        <v>436465.9275630252</v>
      </c>
      <c r="AF15" s="2">
        <f>F15-H15-L15-U15-AA15-AC15-AD15</f>
        <v>-3026021.7640037993</v>
      </c>
      <c r="AG15" s="2">
        <f>F15-H15-L15-U15-AA15-AB15-AD15-Y15</f>
        <v>-3413675.435617469</v>
      </c>
      <c r="AH15" s="2">
        <f>AH14+AG15</f>
        <v>27208263.597566422</v>
      </c>
      <c r="AI15" s="2">
        <v>17128226.11484101</v>
      </c>
      <c r="AJ15" s="2">
        <f>AH15-AI15</f>
        <v>10080037.482725415</v>
      </c>
      <c r="AK15" s="3">
        <v>0.15</v>
      </c>
    </row>
    <row r="16" spans="1:37">
      <c r="A16" s="2">
        <v>15</v>
      </c>
      <c r="B16" s="2">
        <v>2028</v>
      </c>
      <c r="C16" s="2">
        <v>21</v>
      </c>
      <c r="D16" s="2">
        <v>360489.7</v>
      </c>
      <c r="E16" s="2">
        <v>7570283.7</v>
      </c>
      <c r="F16" s="2">
        <f>E16/1.19</f>
        <v>6361582.941176471</v>
      </c>
      <c r="G16" s="2">
        <v>30</v>
      </c>
      <c r="H16" s="2">
        <v>2324999.092436975</v>
      </c>
      <c r="I16" s="2">
        <v>62</v>
      </c>
      <c r="J16" s="2">
        <v>4774691.204802021</v>
      </c>
      <c r="K16" s="2">
        <v>1617234.117755523</v>
      </c>
      <c r="L16" s="2">
        <v>637672.914420442</v>
      </c>
      <c r="M16" s="2">
        <v>2920050</v>
      </c>
      <c r="N16" s="3">
        <v>0.5</v>
      </c>
      <c r="O16" s="3">
        <v>0.5</v>
      </c>
      <c r="P16" s="2">
        <v>144200</v>
      </c>
      <c r="Q16" s="2">
        <v>212437.5</v>
      </c>
      <c r="R16" s="2">
        <v>0</v>
      </c>
      <c r="S16" s="2">
        <v>288400</v>
      </c>
      <c r="T16" s="2">
        <v>1351875</v>
      </c>
      <c r="U16" s="2">
        <f>M16+P16+Q16+R16+S16+T16</f>
        <v>4916962.5</v>
      </c>
      <c r="V16" s="2">
        <f>F16-K16-L16-U16</f>
        <v>-810286.5909994934</v>
      </c>
      <c r="W16" s="2">
        <v>245196.374055607</v>
      </c>
      <c r="X16" s="2">
        <v>142457.2975580623</v>
      </c>
      <c r="Y16" s="2">
        <f>W16+X16</f>
        <v>387653.6716136693</v>
      </c>
      <c r="Z16" s="2">
        <v>25698171.29935855</v>
      </c>
      <c r="AA16" s="2">
        <v>0</v>
      </c>
      <c r="AB16" s="2">
        <v>0</v>
      </c>
      <c r="AC16" s="2">
        <v>0</v>
      </c>
      <c r="AD16" s="2">
        <v>0</v>
      </c>
      <c r="AE16" s="2">
        <v>436465.9275630252</v>
      </c>
      <c r="AF16" s="2">
        <f>F16-H16-L16-U16-AA16-AC16-AD16</f>
        <v>-1518051.5656809453</v>
      </c>
      <c r="AG16" s="2">
        <f>F16-H16-L16-U16-AA16-AB16-AD16-Y16</f>
        <v>-1905705.2372946145</v>
      </c>
      <c r="AH16" s="2">
        <f>AH15+AG16</f>
        <v>25302558.360271808</v>
      </c>
      <c r="AI16" s="2">
        <v>17128226.11484101</v>
      </c>
      <c r="AJ16" s="2">
        <f>AH16-AI16</f>
        <v>8174332.245430801</v>
      </c>
      <c r="AK16" s="3">
        <v>0.15</v>
      </c>
    </row>
    <row r="17" spans="1:37">
      <c r="A17" s="2">
        <v>16</v>
      </c>
      <c r="B17" s="2">
        <v>2028</v>
      </c>
      <c r="C17" s="2">
        <v>26</v>
      </c>
      <c r="D17" s="2">
        <v>360489.7</v>
      </c>
      <c r="E17" s="2">
        <v>9372732.200000001</v>
      </c>
      <c r="F17" s="2">
        <f>E17/1.19</f>
        <v>7876245.546218488</v>
      </c>
      <c r="G17" s="2">
        <v>40</v>
      </c>
      <c r="H17" s="2">
        <v>3099998.789915966</v>
      </c>
      <c r="I17" s="2">
        <v>76</v>
      </c>
      <c r="J17" s="2">
        <v>5867416.074495755</v>
      </c>
      <c r="K17" s="2">
        <v>2007273.920222232</v>
      </c>
      <c r="L17" s="2">
        <v>789898.5236177787</v>
      </c>
      <c r="M17" s="2">
        <v>2920050</v>
      </c>
      <c r="N17" s="3">
        <v>0.5</v>
      </c>
      <c r="O17" s="3">
        <v>0.5</v>
      </c>
      <c r="P17" s="2">
        <v>144200</v>
      </c>
      <c r="Q17" s="2">
        <v>212437.5</v>
      </c>
      <c r="R17" s="2">
        <v>0</v>
      </c>
      <c r="S17" s="2">
        <v>288400</v>
      </c>
      <c r="T17" s="2">
        <v>1351875</v>
      </c>
      <c r="U17" s="2">
        <f>M17+P17+Q17+R17+S17+T17</f>
        <v>4916962.5</v>
      </c>
      <c r="V17" s="2">
        <f>F17-K17-L17-U17</f>
        <v>162110.60237847734</v>
      </c>
      <c r="W17" s="2">
        <v>243844.6262570583</v>
      </c>
      <c r="X17" s="2">
        <v>143809.0453566111</v>
      </c>
      <c r="Y17" s="2">
        <f>W17+X17</f>
        <v>387653.6716136693</v>
      </c>
      <c r="Z17" s="2">
        <v>25554362.25400194</v>
      </c>
      <c r="AA17" s="2">
        <v>0</v>
      </c>
      <c r="AB17" s="2">
        <v>0</v>
      </c>
      <c r="AC17" s="2">
        <v>0</v>
      </c>
      <c r="AD17" s="2">
        <v>145488.6425210084</v>
      </c>
      <c r="AE17" s="2">
        <v>581954.5700840337</v>
      </c>
      <c r="AF17" s="2">
        <f>F17-H17-L17-U17-AA17-AC17-AD17</f>
        <v>-1076102.9098362648</v>
      </c>
      <c r="AG17" s="2">
        <f>F17-H17-L17-U17-AA17-AB17-AD17-Y17</f>
        <v>-1463756.581449934</v>
      </c>
      <c r="AH17" s="2">
        <f>AH16+AG17</f>
        <v>23838801.778821874</v>
      </c>
      <c r="AI17" s="2">
        <v>17128226.11484101</v>
      </c>
      <c r="AJ17" s="2">
        <f>AH17-AI17</f>
        <v>6710575.663980868</v>
      </c>
      <c r="AK17" s="3">
        <v>0.15</v>
      </c>
    </row>
    <row r="18" spans="1:37">
      <c r="A18" s="2">
        <v>17</v>
      </c>
      <c r="B18" s="2">
        <v>2028</v>
      </c>
      <c r="C18" s="2">
        <v>32</v>
      </c>
      <c r="D18" s="2">
        <v>360489.7</v>
      </c>
      <c r="E18" s="2">
        <v>11535670.4</v>
      </c>
      <c r="F18" s="2">
        <f>E18/1.19</f>
        <v>9693840.672268908</v>
      </c>
      <c r="G18" s="2">
        <v>40</v>
      </c>
      <c r="H18" s="2">
        <v>3099998.789915966</v>
      </c>
      <c r="I18" s="2">
        <v>84</v>
      </c>
      <c r="J18" s="2">
        <v>6493645.246642971</v>
      </c>
      <c r="K18" s="2">
        <v>2473769.617768751</v>
      </c>
      <c r="L18" s="2">
        <v>972445.0894215001</v>
      </c>
      <c r="M18" s="2">
        <v>2920050</v>
      </c>
      <c r="N18" s="3">
        <v>0.5</v>
      </c>
      <c r="O18" s="3">
        <v>0.5</v>
      </c>
      <c r="P18" s="2">
        <v>144200</v>
      </c>
      <c r="Q18" s="2">
        <v>212437.5</v>
      </c>
      <c r="R18" s="2">
        <v>0</v>
      </c>
      <c r="S18" s="2">
        <v>288400</v>
      </c>
      <c r="T18" s="2">
        <v>1351875</v>
      </c>
      <c r="U18" s="2">
        <f>M18+P18+Q18+R18+S18+T18</f>
        <v>4916962.5</v>
      </c>
      <c r="V18" s="2">
        <f>F18-K18-L18-U18</f>
        <v>1330663.4650786575</v>
      </c>
      <c r="W18" s="2">
        <v>242480.0520035493</v>
      </c>
      <c r="X18" s="2">
        <v>145173.61961012</v>
      </c>
      <c r="Y18" s="2">
        <f>W18+X18</f>
        <v>387653.6716136693</v>
      </c>
      <c r="Z18" s="2">
        <v>25409188.63439182</v>
      </c>
      <c r="AA18" s="2">
        <v>0</v>
      </c>
      <c r="AB18" s="2">
        <v>0</v>
      </c>
      <c r="AC18" s="2">
        <v>0</v>
      </c>
      <c r="AD18" s="2">
        <v>0</v>
      </c>
      <c r="AE18" s="2">
        <v>581954.5700840337</v>
      </c>
      <c r="AF18" s="2">
        <f>F18-H18-L18-U18-AA18-AC18-AD18</f>
        <v>704434.2929314421</v>
      </c>
      <c r="AG18" s="2">
        <f>F18-H18-L18-U18-AA18-AB18-AD18-Y18</f>
        <v>316780.62131777284</v>
      </c>
      <c r="AH18" s="2">
        <f>AH17+AG18</f>
        <v>24155582.40013965</v>
      </c>
      <c r="AI18" s="2">
        <v>17128226.11484101</v>
      </c>
      <c r="AJ18" s="2">
        <f>AH18-AI18</f>
        <v>7027356.285298642</v>
      </c>
      <c r="AK18" s="3">
        <v>0.15</v>
      </c>
    </row>
    <row r="19" spans="1:37">
      <c r="A19" s="2">
        <v>18</v>
      </c>
      <c r="B19" s="2">
        <v>2028</v>
      </c>
      <c r="C19" s="2">
        <v>37</v>
      </c>
      <c r="D19" s="2">
        <v>360489.7</v>
      </c>
      <c r="E19" s="2">
        <v>13338118.9</v>
      </c>
      <c r="F19" s="2">
        <f>E19/1.19</f>
        <v>11208503.277310925</v>
      </c>
      <c r="G19" s="2">
        <v>50</v>
      </c>
      <c r="H19" s="2">
        <v>3874998.487394957</v>
      </c>
      <c r="I19" s="2">
        <v>97</v>
      </c>
      <c r="J19" s="2">
        <v>7505660.016430441</v>
      </c>
      <c r="K19" s="2">
        <v>2862983.717607488</v>
      </c>
      <c r="L19" s="2">
        <v>1124604.642408599</v>
      </c>
      <c r="M19" s="2">
        <v>2920050</v>
      </c>
      <c r="N19" s="3">
        <v>0.5</v>
      </c>
      <c r="O19" s="3">
        <v>0.5</v>
      </c>
      <c r="P19" s="2">
        <v>144200</v>
      </c>
      <c r="Q19" s="2">
        <v>212437.5</v>
      </c>
      <c r="R19" s="2">
        <v>0</v>
      </c>
      <c r="S19" s="2">
        <v>288400</v>
      </c>
      <c r="T19" s="2">
        <v>1351875</v>
      </c>
      <c r="U19" s="2">
        <f>M19+P19+Q19+R19+S19+T19</f>
        <v>4916962.5</v>
      </c>
      <c r="V19" s="2">
        <f>F19-K19-L19-U19</f>
        <v>2303952.4172948375</v>
      </c>
      <c r="W19" s="2">
        <v>241102.5295875049</v>
      </c>
      <c r="X19" s="2">
        <v>146551.1420261644</v>
      </c>
      <c r="Y19" s="2">
        <f>W19+X19</f>
        <v>387653.6716136693</v>
      </c>
      <c r="Z19" s="2">
        <v>25262637.49236566</v>
      </c>
      <c r="AA19" s="2">
        <v>0</v>
      </c>
      <c r="AB19" s="2">
        <v>0</v>
      </c>
      <c r="AC19" s="2">
        <v>0</v>
      </c>
      <c r="AD19" s="2">
        <v>145488.6425210083</v>
      </c>
      <c r="AE19" s="2">
        <v>727443.2126050419</v>
      </c>
      <c r="AF19" s="2">
        <f>F19-H19-L19-U19-AA19-AC19-AD19</f>
        <v>1146449.0049863602</v>
      </c>
      <c r="AG19" s="2">
        <f>F19-H19-L19-U19-AA19-AB19-AD19-Y19</f>
        <v>758795.333372691</v>
      </c>
      <c r="AH19" s="2">
        <f>AH18+AG19</f>
        <v>24914377.73351234</v>
      </c>
      <c r="AI19" s="2">
        <v>17128226.11484101</v>
      </c>
      <c r="AJ19" s="2">
        <f>AH19-AI19</f>
        <v>7786151.618671332</v>
      </c>
      <c r="AK19" s="3">
        <v>0.15</v>
      </c>
    </row>
    <row r="20" spans="1:37">
      <c r="A20" s="2">
        <v>19</v>
      </c>
      <c r="B20" s="2">
        <v>2028</v>
      </c>
      <c r="C20" s="2">
        <v>42</v>
      </c>
      <c r="D20" s="2">
        <v>360489.7</v>
      </c>
      <c r="E20" s="2">
        <v>15140567.4</v>
      </c>
      <c r="F20" s="2">
        <f>E20/1.19</f>
        <v>12723165.882352943</v>
      </c>
      <c r="G20" s="2">
        <v>60</v>
      </c>
      <c r="H20" s="2">
        <v>4649998.18487395</v>
      </c>
      <c r="I20" s="2">
        <v>115</v>
      </c>
      <c r="J20" s="2">
        <v>8903826.071019139</v>
      </c>
      <c r="K20" s="2">
        <v>3251832.130285251</v>
      </c>
      <c r="L20" s="2">
        <v>1276734.94042282</v>
      </c>
      <c r="M20" s="2">
        <v>2920050</v>
      </c>
      <c r="N20" s="3">
        <v>0.5</v>
      </c>
      <c r="O20" s="3">
        <v>0.5</v>
      </c>
      <c r="P20" s="2">
        <v>144200</v>
      </c>
      <c r="Q20" s="2">
        <v>212437.5</v>
      </c>
      <c r="R20" s="2">
        <v>0</v>
      </c>
      <c r="S20" s="2">
        <v>288400</v>
      </c>
      <c r="T20" s="2">
        <v>1351875</v>
      </c>
      <c r="U20" s="2">
        <f>M20+P20+Q20+R20+S20+T20</f>
        <v>4916962.5</v>
      </c>
      <c r="V20" s="2">
        <f>F20-K20-L20-U20</f>
        <v>3277636.3116448727</v>
      </c>
      <c r="W20" s="2">
        <v>239711.936146492</v>
      </c>
      <c r="X20" s="2">
        <v>147941.7354671773</v>
      </c>
      <c r="Y20" s="2">
        <f>W20+X20</f>
        <v>387653.6716136693</v>
      </c>
      <c r="Z20" s="2">
        <v>25114695.75689848</v>
      </c>
      <c r="AA20" s="2">
        <v>0</v>
      </c>
      <c r="AB20" s="2">
        <v>0</v>
      </c>
      <c r="AC20" s="2">
        <v>0</v>
      </c>
      <c r="AD20" s="2">
        <v>145488.6425210085</v>
      </c>
      <c r="AE20" s="2">
        <v>872931.8551260504</v>
      </c>
      <c r="AF20" s="2">
        <f>F20-H20-L20-U20-AA20-AC20-AD20</f>
        <v>1733981.6145351646</v>
      </c>
      <c r="AG20" s="2">
        <f>F20-H20-L20-U20-AA20-AB20-AD20-Y20</f>
        <v>1346327.9429214953</v>
      </c>
      <c r="AH20" s="2">
        <f>AH19+AG20</f>
        <v>26260705.676433835</v>
      </c>
      <c r="AI20" s="2">
        <v>17128226.11484101</v>
      </c>
      <c r="AJ20" s="2">
        <f>AH20-AI20</f>
        <v>9132479.561592828</v>
      </c>
      <c r="AK20" s="3">
        <v>0.15</v>
      </c>
    </row>
    <row r="21" spans="1:37">
      <c r="A21" s="2">
        <v>20</v>
      </c>
      <c r="B21" s="2">
        <v>2028</v>
      </c>
      <c r="C21" s="2">
        <v>52</v>
      </c>
      <c r="D21" s="2">
        <v>360489.7</v>
      </c>
      <c r="E21" s="2">
        <v>18745464.4</v>
      </c>
      <c r="F21" s="2">
        <f>E21/1.19</f>
        <v>15752491.092436977</v>
      </c>
      <c r="G21" s="2">
        <v>70</v>
      </c>
      <c r="H21" s="2">
        <v>5424997.882352942</v>
      </c>
      <c r="I21" s="2">
        <v>133</v>
      </c>
      <c r="J21" s="2">
        <v>10301262.62593777</v>
      </c>
      <c r="K21" s="2">
        <v>4027561.327434314</v>
      </c>
      <c r="L21" s="2">
        <v>1580838.126194745</v>
      </c>
      <c r="M21" s="2">
        <v>2920050</v>
      </c>
      <c r="N21" s="3">
        <v>0.5</v>
      </c>
      <c r="O21" s="3">
        <v>0.5</v>
      </c>
      <c r="P21" s="2">
        <v>144200</v>
      </c>
      <c r="Q21" s="2">
        <v>212437.5</v>
      </c>
      <c r="R21" s="2">
        <v>0</v>
      </c>
      <c r="S21" s="2">
        <v>288400</v>
      </c>
      <c r="T21" s="2">
        <v>1351875</v>
      </c>
      <c r="U21" s="2">
        <f>M21+P21+Q21+R21+S21+T21</f>
        <v>4916962.5</v>
      </c>
      <c r="V21" s="2">
        <f>F21-K21-L21-U21</f>
        <v>5227129.138807917</v>
      </c>
      <c r="W21" s="2">
        <v>238308.1476522611</v>
      </c>
      <c r="X21" s="2">
        <v>149345.5239614082</v>
      </c>
      <c r="Y21" s="2">
        <f>W21+X21</f>
        <v>387653.6716136693</v>
      </c>
      <c r="Z21" s="2">
        <v>24965350.23293707</v>
      </c>
      <c r="AA21" s="2">
        <v>0</v>
      </c>
      <c r="AB21" s="2">
        <v>0</v>
      </c>
      <c r="AC21" s="2">
        <v>0</v>
      </c>
      <c r="AD21" s="2">
        <v>145488.6425210085</v>
      </c>
      <c r="AE21" s="2">
        <v>1018420.497647059</v>
      </c>
      <c r="AF21" s="2">
        <f>F21-H21-L21-U21-AA21-AC21-AD21</f>
        <v>3684203.9413682823</v>
      </c>
      <c r="AG21" s="2">
        <f>F21-H21-L21-U21-AA21-AB21-AD21-Y21</f>
        <v>3296550.269754613</v>
      </c>
      <c r="AH21" s="2">
        <f>AH20+AG21</f>
        <v>29557255.94618845</v>
      </c>
      <c r="AI21" s="2">
        <v>17128226.11484101</v>
      </c>
      <c r="AJ21" s="2">
        <f>AH21-AI21</f>
        <v>12429029.831347443</v>
      </c>
      <c r="AK21" s="3">
        <v>0.15</v>
      </c>
    </row>
    <row r="22" spans="1:37">
      <c r="A22" s="2">
        <v>21</v>
      </c>
      <c r="B22" s="2">
        <v>2028</v>
      </c>
      <c r="C22" s="2">
        <v>58</v>
      </c>
      <c r="D22" s="2">
        <v>360489.7</v>
      </c>
      <c r="E22" s="2">
        <v>20908402.6</v>
      </c>
      <c r="F22" s="2">
        <f>E22/1.19</f>
        <v>17570086.218487397</v>
      </c>
      <c r="G22" s="2">
        <v>70</v>
      </c>
      <c r="H22" s="2">
        <v>5424997.882352942</v>
      </c>
      <c r="I22" s="2">
        <v>145</v>
      </c>
      <c r="J22" s="2">
        <v>11233043.22020765</v>
      </c>
      <c r="K22" s="2">
        <v>4493217.28808306</v>
      </c>
      <c r="L22" s="2">
        <v>1763317.513046645</v>
      </c>
      <c r="M22" s="2">
        <v>2920050</v>
      </c>
      <c r="N22" s="3">
        <v>0.5</v>
      </c>
      <c r="O22" s="3">
        <v>0.5</v>
      </c>
      <c r="P22" s="2">
        <v>144200</v>
      </c>
      <c r="Q22" s="2">
        <v>212437.5</v>
      </c>
      <c r="R22" s="2">
        <v>0</v>
      </c>
      <c r="S22" s="2">
        <v>288400</v>
      </c>
      <c r="T22" s="2">
        <v>1351875</v>
      </c>
      <c r="U22" s="2">
        <f>M22+P22+Q22+R22+S22+T22</f>
        <v>4916962.5</v>
      </c>
      <c r="V22" s="2">
        <f>F22-K22-L22-U22</f>
        <v>6396588.9173576925</v>
      </c>
      <c r="W22" s="2">
        <v>236891.0388996845</v>
      </c>
      <c r="X22" s="2">
        <v>150762.6327139848</v>
      </c>
      <c r="Y22" s="2">
        <f>W22+X22</f>
        <v>387653.6716136693</v>
      </c>
      <c r="Z22" s="2">
        <v>24814587.60022309</v>
      </c>
      <c r="AA22" s="2">
        <v>0</v>
      </c>
      <c r="AB22" s="2">
        <v>0</v>
      </c>
      <c r="AC22" s="2">
        <v>0</v>
      </c>
      <c r="AD22" s="2">
        <v>0</v>
      </c>
      <c r="AE22" s="2">
        <v>1018420.497647059</v>
      </c>
      <c r="AF22" s="2">
        <f>F22-H22-L22-U22-AA22-AC22-AD22</f>
        <v>5464808.3230878115</v>
      </c>
      <c r="AG22" s="2">
        <f>F22-H22-L22-U22-AA22-AB22-AD22-Y22</f>
        <v>5077154.651474142</v>
      </c>
      <c r="AH22" s="2">
        <f>AH21+AG22</f>
        <v>34634410.59766259</v>
      </c>
      <c r="AI22" s="2">
        <v>17128226.11484101</v>
      </c>
      <c r="AJ22" s="2">
        <f>AH22-AI22</f>
        <v>17506184.482821584</v>
      </c>
      <c r="AK22" s="3">
        <v>0.15</v>
      </c>
    </row>
    <row r="23" spans="1:37">
      <c r="A23" s="2">
        <v>22</v>
      </c>
      <c r="B23" s="2">
        <v>2028</v>
      </c>
      <c r="C23" s="2">
        <v>68</v>
      </c>
      <c r="D23" s="2">
        <v>360489.7</v>
      </c>
      <c r="E23" s="2">
        <v>24513299.6</v>
      </c>
      <c r="F23" s="2">
        <f>E23/1.19</f>
        <v>20599411.42857143</v>
      </c>
      <c r="G23" s="2">
        <v>90</v>
      </c>
      <c r="H23" s="2">
        <v>6974997.277310924</v>
      </c>
      <c r="I23" s="2">
        <v>167</v>
      </c>
      <c r="J23" s="2">
        <v>12939330.90674724</v>
      </c>
      <c r="K23" s="2">
        <v>5268709.590771332</v>
      </c>
      <c r="L23" s="2">
        <v>2067401.747261707</v>
      </c>
      <c r="M23" s="2">
        <v>2920050</v>
      </c>
      <c r="N23" s="3">
        <v>0.5</v>
      </c>
      <c r="O23" s="3">
        <v>0.5</v>
      </c>
      <c r="P23" s="2">
        <v>144200</v>
      </c>
      <c r="Q23" s="2">
        <v>212437.5</v>
      </c>
      <c r="R23" s="2">
        <v>0</v>
      </c>
      <c r="S23" s="2">
        <v>288400</v>
      </c>
      <c r="T23" s="2">
        <v>1351875</v>
      </c>
      <c r="U23" s="2">
        <f>M23+P23+Q23+R23+S23+T23</f>
        <v>4916962.5</v>
      </c>
      <c r="V23" s="2">
        <f>F23-K23-L23-U23</f>
        <v>8346337.59053839</v>
      </c>
      <c r="W23" s="2">
        <v>235460.4834955889</v>
      </c>
      <c r="X23" s="2">
        <v>152193.1881180804</v>
      </c>
      <c r="Y23" s="2">
        <f>W23+X23</f>
        <v>387653.6716136693</v>
      </c>
      <c r="Z23" s="2">
        <v>24662394.41210501</v>
      </c>
      <c r="AA23" s="2">
        <v>0</v>
      </c>
      <c r="AB23" s="2">
        <v>0</v>
      </c>
      <c r="AC23" s="2">
        <v>0</v>
      </c>
      <c r="AD23" s="2">
        <v>290977.2850420165</v>
      </c>
      <c r="AE23" s="2">
        <v>1309397.782689075</v>
      </c>
      <c r="AF23" s="2">
        <f>F23-H23-L23-U23-AA23-AC23-AD23</f>
        <v>6349072.618956783</v>
      </c>
      <c r="AG23" s="2">
        <f>F23-H23-L23-U23-AA23-AB23-AD23-Y23</f>
        <v>5961418.947343114</v>
      </c>
      <c r="AH23" s="2">
        <f>AH22+AG23</f>
        <v>40595829.5450057</v>
      </c>
      <c r="AI23" s="2">
        <v>17128226.11484101</v>
      </c>
      <c r="AJ23" s="2">
        <f>AH23-AI23</f>
        <v>23467603.430164695</v>
      </c>
      <c r="AK23" s="3">
        <v>0.15</v>
      </c>
    </row>
    <row r="24" spans="1:37">
      <c r="A24" s="2">
        <v>23</v>
      </c>
      <c r="B24" s="2">
        <v>2028</v>
      </c>
      <c r="C24" s="2">
        <v>73</v>
      </c>
      <c r="D24" s="2">
        <v>360489.7</v>
      </c>
      <c r="E24" s="2">
        <v>26315748.1</v>
      </c>
      <c r="F24" s="2">
        <f>E24/1.19</f>
        <v>22114074.033613447</v>
      </c>
      <c r="G24" s="2">
        <v>10</v>
      </c>
      <c r="H24" s="2">
        <v>774999.6974789916</v>
      </c>
      <c r="I24" s="2">
        <v>104</v>
      </c>
      <c r="J24" s="2">
        <v>8058137.756155527</v>
      </c>
      <c r="K24" s="2">
        <v>5656192.848070705</v>
      </c>
      <c r="L24" s="2">
        <v>2219422.832845657</v>
      </c>
      <c r="M24" s="2">
        <v>2920050</v>
      </c>
      <c r="N24" s="3">
        <v>0.5</v>
      </c>
      <c r="O24" s="3">
        <v>0.5</v>
      </c>
      <c r="P24" s="2">
        <v>144200</v>
      </c>
      <c r="Q24" s="2">
        <v>212437.5</v>
      </c>
      <c r="R24" s="2">
        <v>0</v>
      </c>
      <c r="S24" s="2">
        <v>288400</v>
      </c>
      <c r="T24" s="2">
        <v>1351875</v>
      </c>
      <c r="U24" s="2">
        <f>M24+P24+Q24+R24+S24+T24</f>
        <v>4916962.5</v>
      </c>
      <c r="V24" s="2">
        <f>F24-K24-L24-U24</f>
        <v>9321495.852697086</v>
      </c>
      <c r="W24" s="2">
        <v>234016.3538474824</v>
      </c>
      <c r="X24" s="2">
        <v>153637.317766187</v>
      </c>
      <c r="Y24" s="2">
        <f>W24+X24</f>
        <v>387653.6716136693</v>
      </c>
      <c r="Z24" s="2">
        <v>24508757.09433882</v>
      </c>
      <c r="AA24" s="2">
        <v>0</v>
      </c>
      <c r="AB24" s="2">
        <v>0</v>
      </c>
      <c r="AC24" s="2">
        <v>0</v>
      </c>
      <c r="AD24" s="2">
        <v>-1163909.140168067</v>
      </c>
      <c r="AE24" s="2">
        <v>145488.6425210084</v>
      </c>
      <c r="AF24" s="2">
        <f>F24-H24-L24-U24-AA24-AC24-AD24</f>
        <v>15366598.143456865</v>
      </c>
      <c r="AG24" s="2">
        <f>F24-H24-L24-U24-AA24-AB24-AD24-Y24</f>
        <v>14978944.471843196</v>
      </c>
      <c r="AH24" s="2">
        <f>AH23+AG24</f>
        <v>55574774.0168489</v>
      </c>
      <c r="AI24" s="2">
        <v>17128226.11484101</v>
      </c>
      <c r="AJ24" s="2">
        <f>AH24-AI24</f>
        <v>38446547.90200789</v>
      </c>
      <c r="AK24" s="3">
        <v>0.15</v>
      </c>
    </row>
    <row r="25" spans="1:37">
      <c r="A25" s="2">
        <v>24</v>
      </c>
      <c r="B25" s="2">
        <v>2028</v>
      </c>
      <c r="C25" s="2">
        <v>89</v>
      </c>
      <c r="D25" s="2">
        <v>360489.7</v>
      </c>
      <c r="E25" s="2">
        <v>32083583.3</v>
      </c>
      <c r="F25" s="2">
        <f>E25/1.19</f>
        <v>26960994.3697479</v>
      </c>
      <c r="G25" s="2">
        <v>30</v>
      </c>
      <c r="H25" s="2">
        <v>2324999.092436975</v>
      </c>
      <c r="I25" s="2">
        <v>45</v>
      </c>
      <c r="J25" s="2">
        <v>3486874.314825841</v>
      </c>
      <c r="K25" s="2">
        <v>6896262.533766661</v>
      </c>
      <c r="L25" s="2">
        <v>2705900.167701333</v>
      </c>
      <c r="M25" s="2">
        <v>2920050</v>
      </c>
      <c r="N25" s="3">
        <v>0.5</v>
      </c>
      <c r="O25" s="3">
        <v>0.5</v>
      </c>
      <c r="P25" s="2">
        <v>144200</v>
      </c>
      <c r="Q25" s="2">
        <v>212437.5</v>
      </c>
      <c r="R25" s="2">
        <v>0</v>
      </c>
      <c r="S25" s="2">
        <v>288400</v>
      </c>
      <c r="T25" s="2">
        <v>1351875</v>
      </c>
      <c r="U25" s="2">
        <f>M25+P25+Q25+R25+S25+T25</f>
        <v>4916962.5</v>
      </c>
      <c r="V25" s="2">
        <f>F25-K25-L25-U25</f>
        <v>12441869.168279905</v>
      </c>
      <c r="W25" s="2">
        <v>232558.5211521743</v>
      </c>
      <c r="X25" s="2">
        <v>155095.150461495</v>
      </c>
      <c r="Y25" s="2">
        <f>W25+X25</f>
        <v>387653.6716136693</v>
      </c>
      <c r="Z25" s="2">
        <v>24353661.94387732</v>
      </c>
      <c r="AA25" s="2">
        <v>0</v>
      </c>
      <c r="AB25" s="2">
        <v>5901763.003255876</v>
      </c>
      <c r="AC25" s="2">
        <v>6334358.105826232</v>
      </c>
      <c r="AD25" s="2">
        <v>290977.2850420168</v>
      </c>
      <c r="AE25" s="2">
        <v>436465.9275630252</v>
      </c>
      <c r="AF25" s="2">
        <f>F25-H25-L25-U25-AA25-AC25-AD25</f>
        <v>10387797.218741339</v>
      </c>
      <c r="AG25" s="2">
        <f>F25-H25-L25-U25-AA25-AB25-AD25-Y25</f>
        <v>10432738.649698028</v>
      </c>
      <c r="AH25" s="2">
        <f>AH24+AG25</f>
        <v>66007512.666546926</v>
      </c>
      <c r="AI25" s="2">
        <v>17128226.11484101</v>
      </c>
      <c r="AJ25" s="2">
        <f>AH25-AI25</f>
        <v>48879286.55170592</v>
      </c>
      <c r="AK25" s="3">
        <v>0.15</v>
      </c>
    </row>
    <row r="26" spans="1:37">
      <c r="A26" s="2">
        <v>25</v>
      </c>
      <c r="B26" s="2">
        <v>2029</v>
      </c>
      <c r="C26" s="2">
        <v>15</v>
      </c>
      <c r="D26" s="2">
        <v>371304.391</v>
      </c>
      <c r="E26" s="2">
        <v>5569565.865</v>
      </c>
      <c r="F26" s="2">
        <f>E26/1.19</f>
        <v>4680307.449579832</v>
      </c>
      <c r="G26" s="2">
        <v>30</v>
      </c>
      <c r="H26" s="2">
        <v>2394749.065210084</v>
      </c>
      <c r="I26" s="2">
        <v>60</v>
      </c>
      <c r="J26" s="2">
        <v>4705298.704028741</v>
      </c>
      <c r="K26" s="2">
        <v>1176324.676007185</v>
      </c>
      <c r="L26" s="2">
        <v>468065.2673305749</v>
      </c>
      <c r="M26" s="2">
        <v>4439866.5</v>
      </c>
      <c r="N26" s="3">
        <v>1</v>
      </c>
      <c r="O26" s="3">
        <v>1</v>
      </c>
      <c r="P26" s="2">
        <v>169744</v>
      </c>
      <c r="Q26" s="2">
        <v>286443</v>
      </c>
      <c r="R26" s="2">
        <v>265225</v>
      </c>
      <c r="S26" s="2">
        <v>297052</v>
      </c>
      <c r="T26" s="2">
        <v>1989187.5</v>
      </c>
      <c r="U26" s="2">
        <f>M26+P26+Q26+R26+S26+T26</f>
        <v>7447518.0</v>
      </c>
      <c r="V26" s="2">
        <f>F26-K26-L26-U26</f>
        <v>-4411600.493757928</v>
      </c>
      <c r="W26" s="2">
        <v>231086.8553842872</v>
      </c>
      <c r="X26" s="2">
        <v>156566.8162293822</v>
      </c>
      <c r="Y26" s="2">
        <f>W26+X26</f>
        <v>387653.6716136693</v>
      </c>
      <c r="Z26" s="2">
        <v>24197095.12764794</v>
      </c>
      <c r="AA26" s="2">
        <v>0</v>
      </c>
      <c r="AB26" s="2">
        <v>0</v>
      </c>
      <c r="AC26" s="2">
        <v>0</v>
      </c>
      <c r="AD26" s="2">
        <v>13093.97782689071</v>
      </c>
      <c r="AE26" s="2">
        <v>449559.9053899159</v>
      </c>
      <c r="AF26" s="2">
        <f>F26-H26-L26-U26-AA26-AC26-AD26</f>
        <v>-5643118.860787717</v>
      </c>
      <c r="AG26" s="2">
        <f>F26-H26-L26-U26-AA26-AB26-AD26-Y26</f>
        <v>-6030772.532401386</v>
      </c>
      <c r="AH26" s="2">
        <f>AH25+AG26</f>
        <v>59976740.13414554</v>
      </c>
      <c r="AI26" s="2">
        <v>24719892.61484101</v>
      </c>
      <c r="AJ26" s="2">
        <f>AH26-AI26</f>
        <v>35256847.51930454</v>
      </c>
      <c r="AK26" s="3">
        <v>0.25</v>
      </c>
    </row>
    <row r="27" spans="1:37">
      <c r="A27" s="2">
        <v>26</v>
      </c>
      <c r="B27" s="2">
        <v>2029</v>
      </c>
      <c r="C27" s="2">
        <v>23</v>
      </c>
      <c r="D27" s="2">
        <v>371304.391</v>
      </c>
      <c r="E27" s="2">
        <v>8540000.992999999</v>
      </c>
      <c r="F27" s="2">
        <f>E27/1.19</f>
        <v>7176471.422689075</v>
      </c>
      <c r="G27" s="2">
        <v>40</v>
      </c>
      <c r="H27" s="2">
        <v>3192998.753613445</v>
      </c>
      <c r="I27" s="2">
        <v>77</v>
      </c>
      <c r="J27" s="2">
        <v>6081689.042384483</v>
      </c>
      <c r="K27" s="2">
        <v>1816608.415257703</v>
      </c>
      <c r="L27" s="2">
        <v>718732.9228706162</v>
      </c>
      <c r="M27" s="2">
        <v>4439866.5</v>
      </c>
      <c r="N27" s="3">
        <v>1</v>
      </c>
      <c r="O27" s="3">
        <v>1</v>
      </c>
      <c r="P27" s="2">
        <v>169744</v>
      </c>
      <c r="Q27" s="2">
        <v>286443</v>
      </c>
      <c r="R27" s="2">
        <v>265225</v>
      </c>
      <c r="S27" s="2">
        <v>297052</v>
      </c>
      <c r="T27" s="2">
        <v>1989187.5</v>
      </c>
      <c r="U27" s="2">
        <f>M27+P27+Q27+R27+S27+T27</f>
        <v>7447518.0</v>
      </c>
      <c r="V27" s="2">
        <f>F27-K27-L27-U27</f>
        <v>-2806387.9154392444</v>
      </c>
      <c r="W27" s="2">
        <v>229601.2252846597</v>
      </c>
      <c r="X27" s="2">
        <v>158052.4463290097</v>
      </c>
      <c r="Y27" s="2">
        <f>W27+X27</f>
        <v>387653.6716136693</v>
      </c>
      <c r="Z27" s="2">
        <v>24039042.68131894</v>
      </c>
      <c r="AA27" s="2">
        <v>0</v>
      </c>
      <c r="AB27" s="2">
        <v>0</v>
      </c>
      <c r="AC27" s="2">
        <v>0</v>
      </c>
      <c r="AD27" s="2">
        <v>149853.3017966386</v>
      </c>
      <c r="AE27" s="2">
        <v>599413.2071865546</v>
      </c>
      <c r="AF27" s="2">
        <f>F27-H27-L27-U27-AA27-AC27-AD27</f>
        <v>-4332631.555591625</v>
      </c>
      <c r="AG27" s="2">
        <f>F27-H27-L27-U27-AA27-AB27-AD27-Y27</f>
        <v>-4720285.227205294</v>
      </c>
      <c r="AH27" s="2">
        <f>AH26+AG27</f>
        <v>55256454.90694025</v>
      </c>
      <c r="AI27" s="2">
        <v>24719892.61484101</v>
      </c>
      <c r="AJ27" s="2">
        <f>AH27-AI27</f>
        <v>30536562.292099245</v>
      </c>
      <c r="AK27" s="3">
        <v>0.25</v>
      </c>
    </row>
    <row r="28" spans="1:37">
      <c r="A28" s="2">
        <v>27</v>
      </c>
      <c r="B28" s="2">
        <v>2029</v>
      </c>
      <c r="C28" s="2">
        <v>30</v>
      </c>
      <c r="D28" s="2">
        <v>371304.391</v>
      </c>
      <c r="E28" s="2">
        <v>11139131.73</v>
      </c>
      <c r="F28" s="2">
        <f>E28/1.19</f>
        <v>9360614.899159664</v>
      </c>
      <c r="G28" s="2">
        <v>40</v>
      </c>
      <c r="H28" s="2">
        <v>3192998.753613445</v>
      </c>
      <c r="I28" s="2">
        <v>87</v>
      </c>
      <c r="J28" s="2">
        <v>6896562.720101023</v>
      </c>
      <c r="K28" s="2">
        <v>2378125.075896905</v>
      </c>
      <c r="L28" s="2">
        <v>938168.5925717525</v>
      </c>
      <c r="M28" s="2">
        <v>4439866.5</v>
      </c>
      <c r="N28" s="3">
        <v>1</v>
      </c>
      <c r="O28" s="3">
        <v>1</v>
      </c>
      <c r="P28" s="2">
        <v>169744</v>
      </c>
      <c r="Q28" s="2">
        <v>286443</v>
      </c>
      <c r="R28" s="2">
        <v>265225</v>
      </c>
      <c r="S28" s="2">
        <v>297052</v>
      </c>
      <c r="T28" s="2">
        <v>1989187.5</v>
      </c>
      <c r="U28" s="2">
        <f>M28+P28+Q28+R28+S28+T28</f>
        <v>7447518.0</v>
      </c>
      <c r="V28" s="2">
        <f>F28-K28-L28-U28</f>
        <v>-1403196.7693089927</v>
      </c>
      <c r="W28" s="2">
        <v>228101.4983486394</v>
      </c>
      <c r="X28" s="2">
        <v>159552.1732650299</v>
      </c>
      <c r="Y28" s="2">
        <f>W28+X28</f>
        <v>387653.6716136693</v>
      </c>
      <c r="Z28" s="2">
        <v>23879490.50805391</v>
      </c>
      <c r="AA28" s="2">
        <v>0</v>
      </c>
      <c r="AB28" s="2">
        <v>0</v>
      </c>
      <c r="AC28" s="2">
        <v>0</v>
      </c>
      <c r="AD28" s="2">
        <v>0</v>
      </c>
      <c r="AE28" s="2">
        <v>599413.2071865546</v>
      </c>
      <c r="AF28" s="2">
        <f>F28-H28-L28-U28-AA28-AC28-AD28</f>
        <v>-2218070.447025533</v>
      </c>
      <c r="AG28" s="2">
        <f>F28-H28-L28-U28-AA28-AB28-AD28-Y28</f>
        <v>-2605724.1186392023</v>
      </c>
      <c r="AH28" s="2">
        <f>AH27+AG28</f>
        <v>52650730.78830105</v>
      </c>
      <c r="AI28" s="2">
        <v>24719892.61484101</v>
      </c>
      <c r="AJ28" s="2">
        <f>AH28-AI28</f>
        <v>27930838.173460044</v>
      </c>
      <c r="AK28" s="3">
        <v>0.25</v>
      </c>
    </row>
    <row r="29" spans="1:37">
      <c r="A29" s="2">
        <v>28</v>
      </c>
      <c r="B29" s="2">
        <v>2029</v>
      </c>
      <c r="C29" s="2">
        <v>38</v>
      </c>
      <c r="D29" s="2">
        <v>371304.391</v>
      </c>
      <c r="E29" s="2">
        <v>14109566.858</v>
      </c>
      <c r="F29" s="2">
        <f>E29/1.19</f>
        <v>11856778.872268908</v>
      </c>
      <c r="G29" s="2">
        <v>50</v>
      </c>
      <c r="H29" s="2">
        <v>3991248.442016806</v>
      </c>
      <c r="I29" s="2">
        <v>99</v>
      </c>
      <c r="J29" s="2">
        <v>7867834.343428212</v>
      </c>
      <c r="K29" s="2">
        <v>3019976.818689617</v>
      </c>
      <c r="L29" s="2">
        <v>1188961.688395169</v>
      </c>
      <c r="M29" s="2">
        <v>4439866.5</v>
      </c>
      <c r="N29" s="3">
        <v>1</v>
      </c>
      <c r="O29" s="3">
        <v>1</v>
      </c>
      <c r="P29" s="2">
        <v>169744</v>
      </c>
      <c r="Q29" s="2">
        <v>286443</v>
      </c>
      <c r="R29" s="2">
        <v>265225</v>
      </c>
      <c r="S29" s="2">
        <v>297052</v>
      </c>
      <c r="T29" s="2">
        <v>1989187.5</v>
      </c>
      <c r="U29" s="2">
        <f>M29+P29+Q29+R29+S29+T29</f>
        <v>7447518.0</v>
      </c>
      <c r="V29" s="2">
        <f>F29-K29-L29-U29</f>
        <v>200322.36518412177</v>
      </c>
      <c r="W29" s="2">
        <v>226587.5408142648</v>
      </c>
      <c r="X29" s="2">
        <v>161066.1307994045</v>
      </c>
      <c r="Y29" s="2">
        <f>W29+X29</f>
        <v>387653.6716136693</v>
      </c>
      <c r="Z29" s="2">
        <v>23718424.3772545</v>
      </c>
      <c r="AA29" s="2">
        <v>0</v>
      </c>
      <c r="AB29" s="2">
        <v>0</v>
      </c>
      <c r="AC29" s="2">
        <v>0</v>
      </c>
      <c r="AD29" s="2">
        <v>149853.3017966386</v>
      </c>
      <c r="AE29" s="2">
        <v>749266.5089831932</v>
      </c>
      <c r="AF29" s="2">
        <f>F29-H29-L29-U29-AA29-AC29-AD29</f>
        <v>-920802.5599397069</v>
      </c>
      <c r="AG29" s="2">
        <f>F29-H29-L29-U29-AA29-AB29-AD29-Y29</f>
        <v>-1308456.2315533762</v>
      </c>
      <c r="AH29" s="2">
        <f>AH28+AG29</f>
        <v>51342274.556747675</v>
      </c>
      <c r="AI29" s="2">
        <v>24719892.61484101</v>
      </c>
      <c r="AJ29" s="2">
        <f>AH29-AI29</f>
        <v>26622381.94190667</v>
      </c>
      <c r="AK29" s="3">
        <v>0.25</v>
      </c>
    </row>
    <row r="30" spans="1:37">
      <c r="A30" s="2">
        <v>29</v>
      </c>
      <c r="B30" s="2">
        <v>2029</v>
      </c>
      <c r="C30" s="2">
        <v>45</v>
      </c>
      <c r="D30" s="2">
        <v>371304.391</v>
      </c>
      <c r="E30" s="2">
        <v>16708697.595</v>
      </c>
      <c r="F30" s="2">
        <f>E30/1.19</f>
        <v>14040922.348739496</v>
      </c>
      <c r="G30" s="2">
        <v>60</v>
      </c>
      <c r="H30" s="2">
        <v>4789498.130420168</v>
      </c>
      <c r="I30" s="2">
        <v>114</v>
      </c>
      <c r="J30" s="2">
        <v>9075068.566155443</v>
      </c>
      <c r="K30" s="2">
        <v>3582263.907692938</v>
      </c>
      <c r="L30" s="2">
        <v>1408458.992365435</v>
      </c>
      <c r="M30" s="2">
        <v>4439866.5</v>
      </c>
      <c r="N30" s="3">
        <v>1</v>
      </c>
      <c r="O30" s="3">
        <v>1</v>
      </c>
      <c r="P30" s="2">
        <v>169744</v>
      </c>
      <c r="Q30" s="2">
        <v>286443</v>
      </c>
      <c r="R30" s="2">
        <v>265225</v>
      </c>
      <c r="S30" s="2">
        <v>297052</v>
      </c>
      <c r="T30" s="2">
        <v>1989187.5</v>
      </c>
      <c r="U30" s="2">
        <f>M30+P30+Q30+R30+S30+T30</f>
        <v>7447518.0</v>
      </c>
      <c r="V30" s="2">
        <f>F30-K30-L30-U30</f>
        <v>1602681.4486811236</v>
      </c>
      <c r="W30" s="2">
        <v>225059.2176503348</v>
      </c>
      <c r="X30" s="2">
        <v>162594.4539633345</v>
      </c>
      <c r="Y30" s="2">
        <f>W30+X30</f>
        <v>387653.6716136693</v>
      </c>
      <c r="Z30" s="2">
        <v>23555829.92329117</v>
      </c>
      <c r="AA30" s="2">
        <v>0</v>
      </c>
      <c r="AB30" s="2">
        <v>0</v>
      </c>
      <c r="AC30" s="2">
        <v>0</v>
      </c>
      <c r="AD30" s="2">
        <v>149853.3017966386</v>
      </c>
      <c r="AE30" s="2">
        <v>899119.8107798318</v>
      </c>
      <c r="AF30" s="2">
        <f>F30-H30-L30-U30-AA30-AC30-AD30</f>
        <v>245593.92415725323</v>
      </c>
      <c r="AG30" s="2">
        <f>F30-H30-L30-U30-AA30-AB30-AD30-Y30</f>
        <v>-142059.74745641608</v>
      </c>
      <c r="AH30" s="2">
        <f>AH29+AG30</f>
        <v>51200214.80929126</v>
      </c>
      <c r="AI30" s="2">
        <v>24719892.61484101</v>
      </c>
      <c r="AJ30" s="2">
        <f>AH30-AI30</f>
        <v>26480322.19445025</v>
      </c>
      <c r="AK30" s="3">
        <v>0.25</v>
      </c>
    </row>
    <row r="31" spans="1:37">
      <c r="A31" s="2">
        <v>30</v>
      </c>
      <c r="B31" s="2">
        <v>2029</v>
      </c>
      <c r="C31" s="2">
        <v>53</v>
      </c>
      <c r="D31" s="2">
        <v>371304.391</v>
      </c>
      <c r="E31" s="2">
        <v>19679132.723</v>
      </c>
      <c r="F31" s="2">
        <f>E31/1.19</f>
        <v>16537086.321848739</v>
      </c>
      <c r="G31" s="2">
        <v>80</v>
      </c>
      <c r="H31" s="2">
        <v>6385997.50722689</v>
      </c>
      <c r="I31" s="2">
        <v>141</v>
      </c>
      <c r="J31" s="2">
        <v>11237166.57910778</v>
      </c>
      <c r="K31" s="2">
        <v>4223899.494274555</v>
      </c>
      <c r="L31" s="2">
        <v>1659234.795691964</v>
      </c>
      <c r="M31" s="2">
        <v>4439866.5</v>
      </c>
      <c r="N31" s="3">
        <v>1</v>
      </c>
      <c r="O31" s="3">
        <v>1</v>
      </c>
      <c r="P31" s="2">
        <v>169744</v>
      </c>
      <c r="Q31" s="2">
        <v>286443</v>
      </c>
      <c r="R31" s="2">
        <v>265225</v>
      </c>
      <c r="S31" s="2">
        <v>297052</v>
      </c>
      <c r="T31" s="2">
        <v>1989187.5</v>
      </c>
      <c r="U31" s="2">
        <f>M31+P31+Q31+R31+S31+T31</f>
        <v>7447518.0</v>
      </c>
      <c r="V31" s="2">
        <f>F31-K31-L31-U31</f>
        <v>3206434.031882219</v>
      </c>
      <c r="W31" s="2">
        <v>223516.3925443651</v>
      </c>
      <c r="X31" s="2">
        <v>164137.2790693042</v>
      </c>
      <c r="Y31" s="2">
        <f>W31+X31</f>
        <v>387653.6716136693</v>
      </c>
      <c r="Z31" s="2">
        <v>23391692.64422186</v>
      </c>
      <c r="AA31" s="2">
        <v>0</v>
      </c>
      <c r="AB31" s="2">
        <v>0</v>
      </c>
      <c r="AC31" s="2">
        <v>0</v>
      </c>
      <c r="AD31" s="2">
        <v>299706.6035932773</v>
      </c>
      <c r="AE31" s="2">
        <v>1198826.414373109</v>
      </c>
      <c r="AF31" s="2">
        <f>F31-H31-L31-U31-AA31-AC31-AD31</f>
        <v>744629.4153366066</v>
      </c>
      <c r="AG31" s="2">
        <f>F31-H31-L31-U31-AA31-AB31-AD31-Y31</f>
        <v>356975.74372293724</v>
      </c>
      <c r="AH31" s="2">
        <f>AH30+AG31</f>
        <v>51557190.5530142</v>
      </c>
      <c r="AI31" s="2">
        <v>24719892.61484101</v>
      </c>
      <c r="AJ31" s="2">
        <f>AH31-AI31</f>
        <v>26837297.93817319</v>
      </c>
      <c r="AK31" s="3">
        <v>0.25</v>
      </c>
    </row>
    <row r="32" spans="1:37">
      <c r="A32" s="2">
        <v>31</v>
      </c>
      <c r="B32" s="2">
        <v>2029</v>
      </c>
      <c r="C32" s="2">
        <v>60</v>
      </c>
      <c r="D32" s="2">
        <v>371304.391</v>
      </c>
      <c r="E32" s="2">
        <v>22278263.46</v>
      </c>
      <c r="F32" s="2">
        <f>E32/1.19</f>
        <v>18721229.79831933</v>
      </c>
      <c r="G32" s="2">
        <v>80</v>
      </c>
      <c r="H32" s="2">
        <v>6385997.50722689</v>
      </c>
      <c r="I32" s="2">
        <v>161</v>
      </c>
      <c r="J32" s="2">
        <v>12838594.65113069</v>
      </c>
      <c r="K32" s="2">
        <v>4784569.435203982</v>
      </c>
      <c r="L32" s="2">
        <v>1878602.727816319</v>
      </c>
      <c r="M32" s="2">
        <v>4439866.5</v>
      </c>
      <c r="N32" s="3">
        <v>1</v>
      </c>
      <c r="O32" s="3">
        <v>1</v>
      </c>
      <c r="P32" s="2">
        <v>169744</v>
      </c>
      <c r="Q32" s="2">
        <v>286443</v>
      </c>
      <c r="R32" s="2">
        <v>265225</v>
      </c>
      <c r="S32" s="2">
        <v>297052</v>
      </c>
      <c r="T32" s="2">
        <v>1989187.5</v>
      </c>
      <c r="U32" s="2">
        <f>M32+P32+Q32+R32+S32+T32</f>
        <v>7447518.0</v>
      </c>
      <c r="V32" s="2">
        <f>F32-K32-L32-U32</f>
        <v>4610539.635299029</v>
      </c>
      <c r="W32" s="2">
        <v>221958.9278904306</v>
      </c>
      <c r="X32" s="2">
        <v>165694.7437232387</v>
      </c>
      <c r="Y32" s="2">
        <f>W32+X32</f>
        <v>387653.6716136693</v>
      </c>
      <c r="Z32" s="2">
        <v>23225997.90049862</v>
      </c>
      <c r="AA32" s="2">
        <v>0</v>
      </c>
      <c r="AB32" s="2">
        <v>0</v>
      </c>
      <c r="AC32" s="2">
        <v>0</v>
      </c>
      <c r="AD32" s="2">
        <v>0</v>
      </c>
      <c r="AE32" s="2">
        <v>1198826.414373109</v>
      </c>
      <c r="AF32" s="2">
        <f>F32-H32-L32-U32-AA32-AC32-AD32</f>
        <v>3009111.5632761195</v>
      </c>
      <c r="AG32" s="2">
        <f>F32-H32-L32-U32-AA32-AB32-AD32-Y32</f>
        <v>2621457.89166245</v>
      </c>
      <c r="AH32" s="2">
        <f>AH31+AG32</f>
        <v>54178648.444676645</v>
      </c>
      <c r="AI32" s="2">
        <v>24719892.61484101</v>
      </c>
      <c r="AJ32" s="2">
        <f>AH32-AI32</f>
        <v>29458755.82983564</v>
      </c>
      <c r="AK32" s="3">
        <v>0.25</v>
      </c>
    </row>
    <row r="33" spans="1:37">
      <c r="A33" s="2">
        <v>32</v>
      </c>
      <c r="B33" s="2">
        <v>2029</v>
      </c>
      <c r="C33" s="2">
        <v>75</v>
      </c>
      <c r="D33" s="2">
        <v>371304.391</v>
      </c>
      <c r="E33" s="2">
        <v>27847829.325</v>
      </c>
      <c r="F33" s="2">
        <f>E33/1.19</f>
        <v>23401537.24789916</v>
      </c>
      <c r="G33" s="2">
        <v>100</v>
      </c>
      <c r="H33" s="2">
        <v>7982496.884033612</v>
      </c>
      <c r="I33" s="2">
        <v>186</v>
      </c>
      <c r="J33" s="2">
        <v>14838019.25494467</v>
      </c>
      <c r="K33" s="2">
        <v>5983072.280219627</v>
      </c>
      <c r="L33" s="2">
        <v>2348442.24866757</v>
      </c>
      <c r="M33" s="2">
        <v>4439866.5</v>
      </c>
      <c r="N33" s="3">
        <v>1</v>
      </c>
      <c r="O33" s="3">
        <v>1</v>
      </c>
      <c r="P33" s="2">
        <v>169744</v>
      </c>
      <c r="Q33" s="2">
        <v>286443</v>
      </c>
      <c r="R33" s="2">
        <v>265225</v>
      </c>
      <c r="S33" s="2">
        <v>297052</v>
      </c>
      <c r="T33" s="2">
        <v>1989187.5</v>
      </c>
      <c r="U33" s="2">
        <f>M33+P33+Q33+R33+S33+T33</f>
        <v>7447518.0</v>
      </c>
      <c r="V33" s="2">
        <f>F33-K33-L33-U33</f>
        <v>7622504.719011964</v>
      </c>
      <c r="W33" s="2">
        <v>220386.684776892</v>
      </c>
      <c r="X33" s="2">
        <v>167266.9868367773</v>
      </c>
      <c r="Y33" s="2">
        <f>W33+X33</f>
        <v>387653.6716136693</v>
      </c>
      <c r="Z33" s="2">
        <v>23058730.91366185</v>
      </c>
      <c r="AA33" s="2">
        <v>0</v>
      </c>
      <c r="AB33" s="2">
        <v>0</v>
      </c>
      <c r="AC33" s="2">
        <v>0</v>
      </c>
      <c r="AD33" s="2">
        <v>299706.6035932773</v>
      </c>
      <c r="AE33" s="2">
        <v>1498533.017966386</v>
      </c>
      <c r="AF33" s="2">
        <f>F33-H33-L33-U33-AA33-AC33-AD33</f>
        <v>5323373.5116047</v>
      </c>
      <c r="AG33" s="2">
        <f>F33-H33-L33-U33-AA33-AB33-AD33-Y33</f>
        <v>4935719.839991031</v>
      </c>
      <c r="AH33" s="2">
        <f>AH32+AG33</f>
        <v>59114368.28466768</v>
      </c>
      <c r="AI33" s="2">
        <v>24719892.61484101</v>
      </c>
      <c r="AJ33" s="2">
        <f>AH33-AI33</f>
        <v>34394475.66982667</v>
      </c>
      <c r="AK33" s="3">
        <v>0.25</v>
      </c>
    </row>
    <row r="34" spans="1:37">
      <c r="A34" s="2">
        <v>33</v>
      </c>
      <c r="B34" s="2">
        <v>2029</v>
      </c>
      <c r="C34" s="2">
        <v>82</v>
      </c>
      <c r="D34" s="2">
        <v>371304.391</v>
      </c>
      <c r="E34" s="2">
        <v>30446960.062</v>
      </c>
      <c r="F34" s="2">
        <f>E34/1.19</f>
        <v>25585680.72436975</v>
      </c>
      <c r="G34" s="2">
        <v>100</v>
      </c>
      <c r="H34" s="2">
        <v>7982496.884033612</v>
      </c>
      <c r="I34" s="2">
        <v>204</v>
      </c>
      <c r="J34" s="2">
        <v>16277570.95227822</v>
      </c>
      <c r="K34" s="2">
        <v>6542945.186700067</v>
      </c>
      <c r="L34" s="2">
        <v>2567746.418036005</v>
      </c>
      <c r="M34" s="2">
        <v>4439866.5</v>
      </c>
      <c r="N34" s="3">
        <v>1</v>
      </c>
      <c r="O34" s="3">
        <v>1</v>
      </c>
      <c r="P34" s="2">
        <v>169744</v>
      </c>
      <c r="Q34" s="2">
        <v>286443</v>
      </c>
      <c r="R34" s="2">
        <v>265225</v>
      </c>
      <c r="S34" s="2">
        <v>297052</v>
      </c>
      <c r="T34" s="2">
        <v>1989187.5</v>
      </c>
      <c r="U34" s="2">
        <f>M34+P34+Q34+R34+S34+T34</f>
        <v>7447518.0</v>
      </c>
      <c r="V34" s="2">
        <f>F34-K34-L34-U34</f>
        <v>9027471.119633675</v>
      </c>
      <c r="W34" s="2">
        <v>218799.5229740062</v>
      </c>
      <c r="X34" s="2">
        <v>168854.1486396632</v>
      </c>
      <c r="Y34" s="2">
        <f>W34+X34</f>
        <v>387653.6716136693</v>
      </c>
      <c r="Z34" s="2">
        <v>22889876.76502218</v>
      </c>
      <c r="AA34" s="2">
        <v>0</v>
      </c>
      <c r="AB34" s="2">
        <v>0</v>
      </c>
      <c r="AC34" s="2">
        <v>0</v>
      </c>
      <c r="AD34" s="2">
        <v>0</v>
      </c>
      <c r="AE34" s="2">
        <v>1498533.017966386</v>
      </c>
      <c r="AF34" s="2">
        <f>F34-H34-L34-U34-AA34-AC34-AD34</f>
        <v>7587919.42230013</v>
      </c>
      <c r="AG34" s="2">
        <f>F34-H34-L34-U34-AA34-AB34-AD34-Y34</f>
        <v>7200265.750686461</v>
      </c>
      <c r="AH34" s="2">
        <f>AH33+AG34</f>
        <v>66314634.03535414</v>
      </c>
      <c r="AI34" s="2">
        <v>24719892.61484101</v>
      </c>
      <c r="AJ34" s="2">
        <f>AH34-AI34</f>
        <v>41594741.42051313</v>
      </c>
      <c r="AK34" s="3">
        <v>0.25</v>
      </c>
    </row>
    <row r="35" spans="1:37">
      <c r="A35" s="2">
        <v>34</v>
      </c>
      <c r="B35" s="2">
        <v>2029</v>
      </c>
      <c r="C35" s="2">
        <v>97</v>
      </c>
      <c r="D35" s="2">
        <v>371304.391</v>
      </c>
      <c r="E35" s="2">
        <v>36016525.927</v>
      </c>
      <c r="F35" s="2">
        <f>E35/1.19</f>
        <v>30265988.17394958</v>
      </c>
      <c r="G35" s="2">
        <v>130</v>
      </c>
      <c r="H35" s="2">
        <v>10377245.9492437</v>
      </c>
      <c r="I35" s="2">
        <v>237</v>
      </c>
      <c r="J35" s="2">
        <v>18913747.3223374</v>
      </c>
      <c r="K35" s="2">
        <v>7741069.579184508</v>
      </c>
      <c r="L35" s="2">
        <v>3037555.662684761</v>
      </c>
      <c r="M35" s="2">
        <v>4439866.5</v>
      </c>
      <c r="N35" s="3">
        <v>1</v>
      </c>
      <c r="O35" s="3">
        <v>1</v>
      </c>
      <c r="P35" s="2">
        <v>169744</v>
      </c>
      <c r="Q35" s="2">
        <v>286443</v>
      </c>
      <c r="R35" s="2">
        <v>265225</v>
      </c>
      <c r="S35" s="2">
        <v>297052</v>
      </c>
      <c r="T35" s="2">
        <v>1989187.5</v>
      </c>
      <c r="U35" s="2">
        <f>M35+P35+Q35+R35+S35+T35</f>
        <v>7447518.0</v>
      </c>
      <c r="V35" s="2">
        <f>F35-K35-L35-U35</f>
        <v>12039844.932080314</v>
      </c>
      <c r="W35" s="2">
        <v>217197.3009214191</v>
      </c>
      <c r="X35" s="2">
        <v>170456.3706922502</v>
      </c>
      <c r="Y35" s="2">
        <f>W35+X35</f>
        <v>387653.6716136693</v>
      </c>
      <c r="Z35" s="2">
        <v>22719420.39432993</v>
      </c>
      <c r="AA35" s="2">
        <v>0</v>
      </c>
      <c r="AB35" s="2">
        <v>0</v>
      </c>
      <c r="AC35" s="2">
        <v>0</v>
      </c>
      <c r="AD35" s="2">
        <v>449559.9053899159</v>
      </c>
      <c r="AE35" s="2">
        <v>1948092.923356302</v>
      </c>
      <c r="AF35" s="2">
        <f>F35-H35-L35-U35-AA35-AC35-AD35</f>
        <v>8954108.656631205</v>
      </c>
      <c r="AG35" s="2">
        <f>F35-H35-L35-U35-AA35-AB35-AD35-Y35</f>
        <v>8566454.985017536</v>
      </c>
      <c r="AH35" s="2">
        <f>AH34+AG35</f>
        <v>74881089.02037168</v>
      </c>
      <c r="AI35" s="2">
        <v>24719892.61484101</v>
      </c>
      <c r="AJ35" s="2">
        <f>AH35-AI35</f>
        <v>50161196.40553067</v>
      </c>
      <c r="AK35" s="3">
        <v>0.25</v>
      </c>
    </row>
    <row r="36" spans="1:37">
      <c r="A36" s="2">
        <v>35</v>
      </c>
      <c r="B36" s="2">
        <v>2029</v>
      </c>
      <c r="C36" s="2">
        <v>105</v>
      </c>
      <c r="D36" s="2">
        <v>371304.391</v>
      </c>
      <c r="E36" s="2">
        <v>38986961.055</v>
      </c>
      <c r="F36" s="2">
        <f>E36/1.19</f>
        <v>32762152.147058826</v>
      </c>
      <c r="G36" s="2">
        <v>20</v>
      </c>
      <c r="H36" s="2">
        <v>1596499.376806722</v>
      </c>
      <c r="I36" s="2">
        <v>152</v>
      </c>
      <c r="J36" s="2">
        <v>12130573.92322921</v>
      </c>
      <c r="K36" s="2">
        <v>8379672.775914915</v>
      </c>
      <c r="L36" s="2">
        <v>3288088.874823193</v>
      </c>
      <c r="M36" s="2">
        <v>4439866.5</v>
      </c>
      <c r="N36" s="3">
        <v>1</v>
      </c>
      <c r="O36" s="3">
        <v>1</v>
      </c>
      <c r="P36" s="2">
        <v>169744</v>
      </c>
      <c r="Q36" s="2">
        <v>286443</v>
      </c>
      <c r="R36" s="2">
        <v>265225</v>
      </c>
      <c r="S36" s="2">
        <v>297052</v>
      </c>
      <c r="T36" s="2">
        <v>1989187.5</v>
      </c>
      <c r="U36" s="2">
        <f>M36+P36+Q36+R36+S36+T36</f>
        <v>7447518.0</v>
      </c>
      <c r="V36" s="2">
        <f>F36-K36-L36-U36</f>
        <v>13646872.496320717</v>
      </c>
      <c r="W36" s="2">
        <v>215579.8757155398</v>
      </c>
      <c r="X36" s="2">
        <v>172073.7958981295</v>
      </c>
      <c r="Y36" s="2">
        <f>W36+X36</f>
        <v>387653.6716136693</v>
      </c>
      <c r="Z36" s="2">
        <v>22547346.5984318</v>
      </c>
      <c r="AA36" s="2">
        <v>0</v>
      </c>
      <c r="AB36" s="2">
        <v>0</v>
      </c>
      <c r="AC36" s="2">
        <v>0</v>
      </c>
      <c r="AD36" s="2">
        <v>-1648386.319763025</v>
      </c>
      <c r="AE36" s="2">
        <v>299706.6035932773</v>
      </c>
      <c r="AF36" s="2">
        <f>F36-H36-L36-U36-AA36-AC36-AD36</f>
        <v>22078432.215191934</v>
      </c>
      <c r="AG36" s="2">
        <f>F36-H36-L36-U36-AA36-AB36-AD36-Y36</f>
        <v>21690778.543578263</v>
      </c>
      <c r="AH36" s="2">
        <f>AH35+AG36</f>
        <v>96571867.56394994</v>
      </c>
      <c r="AI36" s="2">
        <v>24719892.61484101</v>
      </c>
      <c r="AJ36" s="2">
        <f>AH36-AI36</f>
        <v>71851974.94910893</v>
      </c>
      <c r="AK36" s="3">
        <v>0.25</v>
      </c>
    </row>
    <row r="37" spans="1:37">
      <c r="A37" s="2">
        <v>36</v>
      </c>
      <c r="B37" s="2">
        <v>2029</v>
      </c>
      <c r="C37" s="2">
        <v>127</v>
      </c>
      <c r="D37" s="2">
        <v>371304.391</v>
      </c>
      <c r="E37" s="2">
        <v>47155657.657</v>
      </c>
      <c r="F37" s="2">
        <f>E37/1.19</f>
        <v>39626603.07310925</v>
      </c>
      <c r="G37" s="2">
        <v>30</v>
      </c>
      <c r="H37" s="2">
        <v>2394749.065210084</v>
      </c>
      <c r="I37" s="2">
        <v>55</v>
      </c>
      <c r="J37" s="2">
        <v>4389520.683319569</v>
      </c>
      <c r="K37" s="2">
        <v>10135802.30511973</v>
      </c>
      <c r="L37" s="2">
        <v>3977052.867259578</v>
      </c>
      <c r="M37" s="2">
        <v>4439866.5</v>
      </c>
      <c r="N37" s="3">
        <v>1</v>
      </c>
      <c r="O37" s="3">
        <v>1</v>
      </c>
      <c r="P37" s="2">
        <v>169744</v>
      </c>
      <c r="Q37" s="2">
        <v>286443</v>
      </c>
      <c r="R37" s="2">
        <v>265225</v>
      </c>
      <c r="S37" s="2">
        <v>297052</v>
      </c>
      <c r="T37" s="2">
        <v>1989187.5</v>
      </c>
      <c r="U37" s="2">
        <f>M37+P37+Q37+R37+S37+T37</f>
        <v>7447518.0</v>
      </c>
      <c r="V37" s="2">
        <f>F37-K37-L37-U37</f>
        <v>18066229.900729943</v>
      </c>
      <c r="W37" s="2">
        <v>213947.1030967948</v>
      </c>
      <c r="X37" s="2">
        <v>173706.5685168745</v>
      </c>
      <c r="Y37" s="2">
        <f>W37+X37</f>
        <v>387653.6716136693</v>
      </c>
      <c r="Z37" s="2">
        <v>22373640.02991493</v>
      </c>
      <c r="AA37" s="2">
        <v>0</v>
      </c>
      <c r="AB37" s="2">
        <v>14456811.73910539</v>
      </c>
      <c r="AC37" s="2">
        <v>15124767.2754558</v>
      </c>
      <c r="AD37" s="2">
        <v>149853.3017966386</v>
      </c>
      <c r="AE37" s="2">
        <v>449559.9053899159</v>
      </c>
      <c r="AF37" s="2">
        <f>F37-H37-L37-U37-AA37-AC37-AD37</f>
        <v>10532662.563387146</v>
      </c>
      <c r="AG37" s="2">
        <f>F37-H37-L37-U37-AA37-AB37-AD37-Y37</f>
        <v>10812964.428123886</v>
      </c>
      <c r="AH37" s="2">
        <f>AH36+AG37</f>
        <v>107384831.99207383</v>
      </c>
      <c r="AI37" s="2">
        <v>24719892.61484101</v>
      </c>
      <c r="AJ37" s="2">
        <f>AH37-AI37</f>
        <v>82664939.37723282</v>
      </c>
      <c r="AK37" s="3">
        <v>0.25</v>
      </c>
    </row>
    <row r="38" spans="1:37">
      <c r="A38" s="2">
        <v>37</v>
      </c>
      <c r="B38" s="2">
        <v>2030</v>
      </c>
      <c r="C38" s="2">
        <v>20</v>
      </c>
      <c r="D38" s="2">
        <v>382443.52273</v>
      </c>
      <c r="E38" s="2">
        <v>7648870.4546</v>
      </c>
      <c r="F38" s="2">
        <f>E38/1.19</f>
        <v>6427622.230756302</v>
      </c>
      <c r="G38" s="2">
        <v>40</v>
      </c>
      <c r="H38" s="2">
        <v>3288788.716221849</v>
      </c>
      <c r="I38" s="2">
        <v>75</v>
      </c>
      <c r="J38" s="2">
        <v>6061823.210164277</v>
      </c>
      <c r="K38" s="2">
        <v>1616486.18937714</v>
      </c>
      <c r="L38" s="2">
        <v>642889.6578801712</v>
      </c>
      <c r="M38" s="2">
        <v>6048243.945</v>
      </c>
      <c r="N38" s="3">
        <v>1.5</v>
      </c>
      <c r="O38" s="3">
        <v>1.5</v>
      </c>
      <c r="P38" s="2">
        <v>196690.86</v>
      </c>
      <c r="Q38" s="2">
        <v>389283.99375</v>
      </c>
      <c r="R38" s="2">
        <v>273181.75</v>
      </c>
      <c r="S38" s="2">
        <v>305963.56</v>
      </c>
      <c r="T38" s="2">
        <v>2663522.0625</v>
      </c>
      <c r="U38" s="2">
        <f>M38+P38+Q38+R38+S38+T38</f>
        <v>9876886.17125</v>
      </c>
      <c r="V38" s="2">
        <f>F38-K38-L38-U38</f>
        <v>-5708639.78775101</v>
      </c>
      <c r="W38" s="2">
        <v>212298.8374367612</v>
      </c>
      <c r="X38" s="2">
        <v>175354.8341769081</v>
      </c>
      <c r="Y38" s="2">
        <f>W38+X38</f>
        <v>387653.6716136693</v>
      </c>
      <c r="Z38" s="2">
        <v>22198285.19573802</v>
      </c>
      <c r="AA38" s="2">
        <v>1639090.5</v>
      </c>
      <c r="AB38" s="2">
        <v>0</v>
      </c>
      <c r="AC38" s="2">
        <v>0</v>
      </c>
      <c r="AD38" s="2">
        <v>167835.6980122352</v>
      </c>
      <c r="AE38" s="2">
        <v>617395.6034021511</v>
      </c>
      <c r="AF38" s="2">
        <f>F38-H38-L38-U38-AA38-AC38-AD38</f>
        <v>-9187868.512607953</v>
      </c>
      <c r="AG38" s="2">
        <f>F38-H38-L38-U38-AA38-AB38-AD38-Y38</f>
        <v>-9575522.184221622</v>
      </c>
      <c r="AH38" s="2">
        <f>AH37+AG38</f>
        <v>97809309.80785221</v>
      </c>
      <c r="AI38" s="2">
        <v>32007997.12859101</v>
      </c>
      <c r="AJ38" s="2">
        <f>AH38-AI38</f>
        <v>65801312.6792612</v>
      </c>
      <c r="AK38" s="3">
        <v>0.25</v>
      </c>
    </row>
    <row r="39" spans="1:37">
      <c r="A39" s="2">
        <v>38</v>
      </c>
      <c r="B39" s="2">
        <v>2030</v>
      </c>
      <c r="C39" s="2">
        <v>29</v>
      </c>
      <c r="D39" s="2">
        <v>382443.52273</v>
      </c>
      <c r="E39" s="2">
        <v>11090862.15917</v>
      </c>
      <c r="F39" s="2">
        <f>E39/1.19</f>
        <v>9320052.23459664</v>
      </c>
      <c r="G39" s="2">
        <v>50</v>
      </c>
      <c r="H39" s="2">
        <v>4110985.89527731</v>
      </c>
      <c r="I39" s="2">
        <v>96</v>
      </c>
      <c r="J39" s="2">
        <v>7812717.392979139</v>
      </c>
      <c r="K39" s="2">
        <v>2360091.712462448</v>
      </c>
      <c r="L39" s="2">
        <v>933484.9429554959</v>
      </c>
      <c r="M39" s="2">
        <v>6048243.945</v>
      </c>
      <c r="N39" s="3">
        <v>1.5</v>
      </c>
      <c r="O39" s="3">
        <v>1.5</v>
      </c>
      <c r="P39" s="2">
        <v>196690.86</v>
      </c>
      <c r="Q39" s="2">
        <v>389283.99375</v>
      </c>
      <c r="R39" s="2">
        <v>273181.75</v>
      </c>
      <c r="S39" s="2">
        <v>305963.56</v>
      </c>
      <c r="T39" s="2">
        <v>2663522.0625</v>
      </c>
      <c r="U39" s="2">
        <f>M39+P39+Q39+R39+S39+T39</f>
        <v>9876886.17125</v>
      </c>
      <c r="V39" s="2">
        <f>F39-K39-L39-U39</f>
        <v>-3850410.592071304</v>
      </c>
      <c r="W39" s="2">
        <v>210634.9317251784</v>
      </c>
      <c r="X39" s="2">
        <v>177018.739888491</v>
      </c>
      <c r="Y39" s="2">
        <f>W39+X39</f>
        <v>387653.6716136693</v>
      </c>
      <c r="Z39" s="2">
        <v>22021266.45584953</v>
      </c>
      <c r="AA39" s="2">
        <v>0</v>
      </c>
      <c r="AB39" s="2">
        <v>0</v>
      </c>
      <c r="AC39" s="2">
        <v>0</v>
      </c>
      <c r="AD39" s="2">
        <v>154348.9008505378</v>
      </c>
      <c r="AE39" s="2">
        <v>771744.504252689</v>
      </c>
      <c r="AF39" s="2">
        <f>F39-H39-L39-U39-AA39-AC39-AD39</f>
        <v>-5755653.675736705</v>
      </c>
      <c r="AG39" s="2">
        <f>F39-H39-L39-U39-AA39-AB39-AD39-Y39</f>
        <v>-6143307.347350374</v>
      </c>
      <c r="AH39" s="2">
        <f>AH38+AG39</f>
        <v>91666002.46050183</v>
      </c>
      <c r="AI39" s="2">
        <v>32007997.12859101</v>
      </c>
      <c r="AJ39" s="2">
        <f>AH39-AI39</f>
        <v>59658005.331910826</v>
      </c>
      <c r="AK39" s="3">
        <v>0.25</v>
      </c>
    </row>
    <row r="40" spans="1:37">
      <c r="A40" s="2">
        <v>39</v>
      </c>
      <c r="B40" s="2">
        <v>2030</v>
      </c>
      <c r="C40" s="2">
        <v>39</v>
      </c>
      <c r="D40" s="2">
        <v>382443.52273</v>
      </c>
      <c r="E40" s="2">
        <v>14915297.38647</v>
      </c>
      <c r="F40" s="2">
        <f>E40/1.19</f>
        <v>12533863.34997479</v>
      </c>
      <c r="G40" s="2">
        <v>60</v>
      </c>
      <c r="H40" s="2">
        <v>4933183.074332773</v>
      </c>
      <c r="I40" s="2">
        <v>117</v>
      </c>
      <c r="J40" s="2">
        <v>9559425.350483935</v>
      </c>
      <c r="K40" s="2">
        <v>3186475.116827978</v>
      </c>
      <c r="L40" s="2">
        <v>1256380.996669738</v>
      </c>
      <c r="M40" s="2">
        <v>6048243.945</v>
      </c>
      <c r="N40" s="3">
        <v>1.5</v>
      </c>
      <c r="O40" s="3">
        <v>1.5</v>
      </c>
      <c r="P40" s="2">
        <v>196690.86</v>
      </c>
      <c r="Q40" s="2">
        <v>389283.99375</v>
      </c>
      <c r="R40" s="2">
        <v>273181.75</v>
      </c>
      <c r="S40" s="2">
        <v>305963.56</v>
      </c>
      <c r="T40" s="2">
        <v>2663522.0625</v>
      </c>
      <c r="U40" s="2">
        <f>M40+P40+Q40+R40+S40+T40</f>
        <v>9876886.17125</v>
      </c>
      <c r="V40" s="2">
        <f>F40-K40-L40-U40</f>
        <v>-1785878.9347729255</v>
      </c>
      <c r="W40" s="2">
        <v>208955.2375568357</v>
      </c>
      <c r="X40" s="2">
        <v>178698.4340568336</v>
      </c>
      <c r="Y40" s="2">
        <f>W40+X40</f>
        <v>387653.6716136693</v>
      </c>
      <c r="Z40" s="2">
        <v>21842568.0217927</v>
      </c>
      <c r="AA40" s="2">
        <v>0</v>
      </c>
      <c r="AB40" s="2">
        <v>0</v>
      </c>
      <c r="AC40" s="2">
        <v>0</v>
      </c>
      <c r="AD40" s="2">
        <v>154348.9008505379</v>
      </c>
      <c r="AE40" s="2">
        <v>926093.4051032269</v>
      </c>
      <c r="AF40" s="2">
        <f>F40-H40-L40-U40-AA40-AC40-AD40</f>
        <v>-3686935.7931282595</v>
      </c>
      <c r="AG40" s="2">
        <f>F40-H40-L40-U40-AA40-AB40-AD40-Y40</f>
        <v>-4074589.464741929</v>
      </c>
      <c r="AH40" s="2">
        <f>AH39+AG40</f>
        <v>87591412.9957599</v>
      </c>
      <c r="AI40" s="2">
        <v>32007997.12859101</v>
      </c>
      <c r="AJ40" s="2">
        <f>AH40-AI40</f>
        <v>55583415.867168896</v>
      </c>
      <c r="AK40" s="3">
        <v>0.25</v>
      </c>
    </row>
    <row r="41" spans="1:37">
      <c r="A41" s="2">
        <v>40</v>
      </c>
      <c r="B41" s="2">
        <v>2030</v>
      </c>
      <c r="C41" s="2">
        <v>49</v>
      </c>
      <c r="D41" s="2">
        <v>382443.52273</v>
      </c>
      <c r="E41" s="2">
        <v>18739732.61377</v>
      </c>
      <c r="F41" s="2">
        <f>E41/1.19</f>
        <v>15747674.465352943</v>
      </c>
      <c r="G41" s="2">
        <v>60</v>
      </c>
      <c r="H41" s="2">
        <v>4933183.074332773</v>
      </c>
      <c r="I41" s="2">
        <v>128</v>
      </c>
      <c r="J41" s="2">
        <v>10480530.38630813</v>
      </c>
      <c r="K41" s="2">
        <v>4012078.03850858</v>
      </c>
      <c r="L41" s="2">
        <v>1579214.611769187</v>
      </c>
      <c r="M41" s="2">
        <v>6048243.945</v>
      </c>
      <c r="N41" s="3">
        <v>1.5</v>
      </c>
      <c r="O41" s="3">
        <v>1.5</v>
      </c>
      <c r="P41" s="2">
        <v>196690.86</v>
      </c>
      <c r="Q41" s="2">
        <v>389283.99375</v>
      </c>
      <c r="R41" s="2">
        <v>273181.75</v>
      </c>
      <c r="S41" s="2">
        <v>305963.56</v>
      </c>
      <c r="T41" s="2">
        <v>2663522.0625</v>
      </c>
      <c r="U41" s="2">
        <f>M41+P41+Q41+R41+S41+T41</f>
        <v>9876886.17125</v>
      </c>
      <c r="V41" s="2">
        <f>F41-K41-L41-U41</f>
        <v>279495.64382517524</v>
      </c>
      <c r="W41" s="2">
        <v>207259.6051183361</v>
      </c>
      <c r="X41" s="2">
        <v>180394.0664953332</v>
      </c>
      <c r="Y41" s="2">
        <f>W41+X41</f>
        <v>387653.6716136693</v>
      </c>
      <c r="Z41" s="2">
        <v>21662173.95529737</v>
      </c>
      <c r="AA41" s="2">
        <v>0</v>
      </c>
      <c r="AB41" s="2">
        <v>0</v>
      </c>
      <c r="AC41" s="2">
        <v>0</v>
      </c>
      <c r="AD41" s="2">
        <v>0</v>
      </c>
      <c r="AE41" s="2">
        <v>926093.4051032269</v>
      </c>
      <c r="AF41" s="2">
        <f>F41-H41-L41-U41-AA41-AC41-AD41</f>
        <v>-641609.3919990156</v>
      </c>
      <c r="AG41" s="2">
        <f>F41-H41-L41-U41-AA41-AB41-AD41-Y41</f>
        <v>-1029263.0636126848</v>
      </c>
      <c r="AH41" s="2">
        <f>AH40+AG41</f>
        <v>86562149.93214722</v>
      </c>
      <c r="AI41" s="2">
        <v>32007997.12859101</v>
      </c>
      <c r="AJ41" s="2">
        <f>AH41-AI41</f>
        <v>54554152.80355621</v>
      </c>
      <c r="AK41" s="3">
        <v>0.25</v>
      </c>
    </row>
    <row r="42" spans="1:37">
      <c r="A42" s="2">
        <v>41</v>
      </c>
      <c r="B42" s="2">
        <v>2030</v>
      </c>
      <c r="C42" s="2">
        <v>59</v>
      </c>
      <c r="D42" s="2">
        <v>382443.52273</v>
      </c>
      <c r="E42" s="2">
        <v>22564167.84107</v>
      </c>
      <c r="F42" s="2">
        <f>E42/1.19</f>
        <v>18961485.580731094</v>
      </c>
      <c r="G42" s="2">
        <v>80</v>
      </c>
      <c r="H42" s="2">
        <v>6577577.432443697</v>
      </c>
      <c r="I42" s="2">
        <v>149</v>
      </c>
      <c r="J42" s="2">
        <v>12219509.92785588</v>
      </c>
      <c r="K42" s="2">
        <v>4838597.890895951</v>
      </c>
      <c r="L42" s="2">
        <v>1902121.581325176</v>
      </c>
      <c r="M42" s="2">
        <v>6048243.945</v>
      </c>
      <c r="N42" s="3">
        <v>1.5</v>
      </c>
      <c r="O42" s="3">
        <v>1.5</v>
      </c>
      <c r="P42" s="2">
        <v>196690.86</v>
      </c>
      <c r="Q42" s="2">
        <v>389283.99375</v>
      </c>
      <c r="R42" s="2">
        <v>273181.75</v>
      </c>
      <c r="S42" s="2">
        <v>305963.56</v>
      </c>
      <c r="T42" s="2">
        <v>2663522.0625</v>
      </c>
      <c r="U42" s="2">
        <f>M42+P42+Q42+R42+S42+T42</f>
        <v>9876886.17125</v>
      </c>
      <c r="V42" s="2">
        <f>F42-K42-L42-U42</f>
        <v>2343879.9372599646</v>
      </c>
      <c r="W42" s="2">
        <v>205547.8831747345</v>
      </c>
      <c r="X42" s="2">
        <v>182105.7884389348</v>
      </c>
      <c r="Y42" s="2">
        <f>W42+X42</f>
        <v>387653.6716136693</v>
      </c>
      <c r="Z42" s="2">
        <v>21480068.16685843</v>
      </c>
      <c r="AA42" s="2">
        <v>0</v>
      </c>
      <c r="AB42" s="2">
        <v>0</v>
      </c>
      <c r="AC42" s="2">
        <v>0</v>
      </c>
      <c r="AD42" s="2">
        <v>308697.8017010754</v>
      </c>
      <c r="AE42" s="2">
        <v>1234791.206804302</v>
      </c>
      <c r="AF42" s="2">
        <f>F42-H42-L42-U42-AA42-AC42-AD42</f>
        <v>296202.5940111438</v>
      </c>
      <c r="AG42" s="2">
        <f>F42-H42-L42-U42-AA42-AB42-AD42-Y42</f>
        <v>-91451.07760252553</v>
      </c>
      <c r="AH42" s="2">
        <f>AH41+AG42</f>
        <v>86470698.8545447</v>
      </c>
      <c r="AI42" s="2">
        <v>32007997.12859101</v>
      </c>
      <c r="AJ42" s="2">
        <f>AH42-AI42</f>
        <v>54462701.72595369</v>
      </c>
      <c r="AK42" s="3">
        <v>0.25</v>
      </c>
    </row>
    <row r="43" spans="1:37">
      <c r="A43" s="2">
        <v>42</v>
      </c>
      <c r="B43" s="2">
        <v>2030</v>
      </c>
      <c r="C43" s="2">
        <v>68</v>
      </c>
      <c r="D43" s="2">
        <v>382443.52273</v>
      </c>
      <c r="E43" s="2">
        <v>26006159.54564</v>
      </c>
      <c r="F43" s="2">
        <f>E43/1.19</f>
        <v>21853915.58457143</v>
      </c>
      <c r="G43" s="2">
        <v>100</v>
      </c>
      <c r="H43" s="2">
        <v>8221971.79055462</v>
      </c>
      <c r="I43" s="2">
        <v>181</v>
      </c>
      <c r="J43" s="2">
        <v>14859069.04029036</v>
      </c>
      <c r="K43" s="2">
        <v>5582412.678120135</v>
      </c>
      <c r="L43" s="2">
        <v>2192733.607531611</v>
      </c>
      <c r="M43" s="2">
        <v>6048243.945</v>
      </c>
      <c r="N43" s="3">
        <v>1.5</v>
      </c>
      <c r="O43" s="3">
        <v>1.5</v>
      </c>
      <c r="P43" s="2">
        <v>196690.86</v>
      </c>
      <c r="Q43" s="2">
        <v>389283.99375</v>
      </c>
      <c r="R43" s="2">
        <v>273181.75</v>
      </c>
      <c r="S43" s="2">
        <v>305963.56</v>
      </c>
      <c r="T43" s="2">
        <v>2663522.0625</v>
      </c>
      <c r="U43" s="2">
        <f>M43+P43+Q43+R43+S43+T43</f>
        <v>9876886.17125</v>
      </c>
      <c r="V43" s="2">
        <f>F43-K43-L43-U43</f>
        <v>4201883.127669681</v>
      </c>
      <c r="W43" s="2">
        <v>203819.9190560485</v>
      </c>
      <c r="X43" s="2">
        <v>183833.7525576208</v>
      </c>
      <c r="Y43" s="2">
        <f>W43+X43</f>
        <v>387653.6716136693</v>
      </c>
      <c r="Z43" s="2">
        <v>21296234.41430081</v>
      </c>
      <c r="AA43" s="2">
        <v>0</v>
      </c>
      <c r="AB43" s="2">
        <v>0</v>
      </c>
      <c r="AC43" s="2">
        <v>0</v>
      </c>
      <c r="AD43" s="2">
        <v>308697.8017010756</v>
      </c>
      <c r="AE43" s="2">
        <v>1543489.008505378</v>
      </c>
      <c r="AF43" s="2">
        <f>F43-H43-L43-U43-AA43-AC43-AD43</f>
        <v>1253626.2135341212</v>
      </c>
      <c r="AG43" s="2">
        <f>F43-H43-L43-U43-AA43-AB43-AD43-Y43</f>
        <v>865972.5419204519</v>
      </c>
      <c r="AH43" s="2">
        <f>AH42+AG43</f>
        <v>87336671.39646515</v>
      </c>
      <c r="AI43" s="2">
        <v>32007997.12859101</v>
      </c>
      <c r="AJ43" s="2">
        <f>AH43-AI43</f>
        <v>55328674.267874144</v>
      </c>
      <c r="AK43" s="3">
        <v>0.25</v>
      </c>
    </row>
    <row r="44" spans="1:37">
      <c r="A44" s="2">
        <v>43</v>
      </c>
      <c r="B44" s="2">
        <v>2030</v>
      </c>
      <c r="C44" s="2">
        <v>78</v>
      </c>
      <c r="D44" s="2">
        <v>382443.52273</v>
      </c>
      <c r="E44" s="2">
        <v>29830594.77294</v>
      </c>
      <c r="F44" s="2">
        <f>E44/1.19</f>
        <v>25067726.69994958</v>
      </c>
      <c r="G44" s="2">
        <v>110</v>
      </c>
      <c r="H44" s="2">
        <v>9044168.969610084</v>
      </c>
      <c r="I44" s="2">
        <v>213</v>
      </c>
      <c r="J44" s="2">
        <v>17496184.52271063</v>
      </c>
      <c r="K44" s="2">
        <v>6407053.48718981</v>
      </c>
      <c r="L44" s="2">
        <v>2515490.253622185</v>
      </c>
      <c r="M44" s="2">
        <v>6048243.945</v>
      </c>
      <c r="N44" s="3">
        <v>1.5</v>
      </c>
      <c r="O44" s="3">
        <v>1.5</v>
      </c>
      <c r="P44" s="2">
        <v>196690.86</v>
      </c>
      <c r="Q44" s="2">
        <v>389283.99375</v>
      </c>
      <c r="R44" s="2">
        <v>273181.75</v>
      </c>
      <c r="S44" s="2">
        <v>305963.56</v>
      </c>
      <c r="T44" s="2">
        <v>2663522.0625</v>
      </c>
      <c r="U44" s="2">
        <f>M44+P44+Q44+R44+S44+T44</f>
        <v>9876886.17125</v>
      </c>
      <c r="V44" s="2">
        <f>F44-K44-L44-U44</f>
        <v>6268296.787887584</v>
      </c>
      <c r="W44" s="2">
        <v>202075.5586436419</v>
      </c>
      <c r="X44" s="2">
        <v>185578.1129700275</v>
      </c>
      <c r="Y44" s="2">
        <f>W44+X44</f>
        <v>387653.6716136693</v>
      </c>
      <c r="Z44" s="2">
        <v>21110656.30133078</v>
      </c>
      <c r="AA44" s="2">
        <v>0</v>
      </c>
      <c r="AB44" s="2">
        <v>0</v>
      </c>
      <c r="AC44" s="2">
        <v>0</v>
      </c>
      <c r="AD44" s="2">
        <v>154348.9008505379</v>
      </c>
      <c r="AE44" s="2">
        <v>1697837.909355916</v>
      </c>
      <c r="AF44" s="2">
        <f>F44-H44-L44-U44-AA44-AC44-AD44</f>
        <v>3476832.404616773</v>
      </c>
      <c r="AG44" s="2">
        <f>F44-H44-L44-U44-AA44-AB44-AD44-Y44</f>
        <v>3089178.7330031036</v>
      </c>
      <c r="AH44" s="2">
        <f>AH43+AG44</f>
        <v>90425850.12946826</v>
      </c>
      <c r="AI44" s="2">
        <v>32007997.12859101</v>
      </c>
      <c r="AJ44" s="2">
        <f>AH44-AI44</f>
        <v>58417853.00087725</v>
      </c>
      <c r="AK44" s="3">
        <v>0.25</v>
      </c>
    </row>
    <row r="45" spans="1:37">
      <c r="A45" s="2">
        <v>44</v>
      </c>
      <c r="B45" s="2">
        <v>2030</v>
      </c>
      <c r="C45" s="2">
        <v>97</v>
      </c>
      <c r="D45" s="2">
        <v>382443.52273</v>
      </c>
      <c r="E45" s="2">
        <v>37097021.70481</v>
      </c>
      <c r="F45" s="2">
        <f>E45/1.19</f>
        <v>31173967.81916807</v>
      </c>
      <c r="G45" s="2">
        <v>120</v>
      </c>
      <c r="H45" s="2">
        <v>9866366.148665546</v>
      </c>
      <c r="I45" s="2">
        <v>236</v>
      </c>
      <c r="J45" s="2">
        <v>19392077.95328762</v>
      </c>
      <c r="K45" s="2">
        <v>7970472.718088556</v>
      </c>
      <c r="L45" s="2">
        <v>3128456.016687585</v>
      </c>
      <c r="M45" s="2">
        <v>6048243.945</v>
      </c>
      <c r="N45" s="3">
        <v>1.5</v>
      </c>
      <c r="O45" s="3">
        <v>1.5</v>
      </c>
      <c r="P45" s="2">
        <v>196690.86</v>
      </c>
      <c r="Q45" s="2">
        <v>389283.99375</v>
      </c>
      <c r="R45" s="2">
        <v>273181.75</v>
      </c>
      <c r="S45" s="2">
        <v>305963.56</v>
      </c>
      <c r="T45" s="2">
        <v>2663522.0625</v>
      </c>
      <c r="U45" s="2">
        <f>M45+P45+Q45+R45+S45+T45</f>
        <v>9876886.17125</v>
      </c>
      <c r="V45" s="2">
        <f>F45-K45-L45-U45</f>
        <v>10198152.913141929</v>
      </c>
      <c r="W45" s="2">
        <v>200314.6463564786</v>
      </c>
      <c r="X45" s="2">
        <v>187339.0252571907</v>
      </c>
      <c r="Y45" s="2">
        <f>W45+X45</f>
        <v>387653.6716136693</v>
      </c>
      <c r="Z45" s="2">
        <v>20923317.27607359</v>
      </c>
      <c r="AA45" s="2">
        <v>0</v>
      </c>
      <c r="AB45" s="2">
        <v>0</v>
      </c>
      <c r="AC45" s="2">
        <v>0</v>
      </c>
      <c r="AD45" s="2">
        <v>154348.9008505379</v>
      </c>
      <c r="AE45" s="2">
        <v>1852186.810206454</v>
      </c>
      <c r="AF45" s="2">
        <f>F45-H45-L45-U45-AA45-AC45-AD45</f>
        <v>8147910.581714399</v>
      </c>
      <c r="AG45" s="2">
        <f>F45-H45-L45-U45-AA45-AB45-AD45-Y45</f>
        <v>7760256.91010073</v>
      </c>
      <c r="AH45" s="2">
        <f>AH44+AG45</f>
        <v>98186107.03956899</v>
      </c>
      <c r="AI45" s="2">
        <v>32007997.12859101</v>
      </c>
      <c r="AJ45" s="2">
        <f>AH45-AI45</f>
        <v>66178109.91097798</v>
      </c>
      <c r="AK45" s="3">
        <v>0.25</v>
      </c>
    </row>
    <row r="46" spans="1:37">
      <c r="A46" s="2">
        <v>45</v>
      </c>
      <c r="B46" s="2">
        <v>2030</v>
      </c>
      <c r="C46" s="2">
        <v>107</v>
      </c>
      <c r="D46" s="2">
        <v>382443.52273</v>
      </c>
      <c r="E46" s="2">
        <v>40921456.93211</v>
      </c>
      <c r="F46" s="2">
        <f>E46/1.19</f>
        <v>34387778.93454622</v>
      </c>
      <c r="G46" s="2">
        <v>140</v>
      </c>
      <c r="H46" s="2">
        <v>11510760.50677647</v>
      </c>
      <c r="I46" s="2">
        <v>269</v>
      </c>
      <c r="J46" s="2">
        <v>22108679.64297139</v>
      </c>
      <c r="K46" s="2">
        <v>8794158.817092709</v>
      </c>
      <c r="L46" s="2">
        <v>3451136.285972917</v>
      </c>
      <c r="M46" s="2">
        <v>6048243.945</v>
      </c>
      <c r="N46" s="3">
        <v>1.5</v>
      </c>
      <c r="O46" s="3">
        <v>1.5</v>
      </c>
      <c r="P46" s="2">
        <v>196690.86</v>
      </c>
      <c r="Q46" s="2">
        <v>389283.99375</v>
      </c>
      <c r="R46" s="2">
        <v>273181.75</v>
      </c>
      <c r="S46" s="2">
        <v>305963.56</v>
      </c>
      <c r="T46" s="2">
        <v>2663522.0625</v>
      </c>
      <c r="U46" s="2">
        <f>M46+P46+Q46+R46+S46+T46</f>
        <v>9876886.17125</v>
      </c>
      <c r="V46" s="2">
        <f>F46-K46-L46-U46</f>
        <v>12265597.660230592</v>
      </c>
      <c r="W46" s="2">
        <v>198537.0251372465</v>
      </c>
      <c r="X46" s="2">
        <v>189116.6464764228</v>
      </c>
      <c r="Y46" s="2">
        <f>W46+X46</f>
        <v>387653.6716136693</v>
      </c>
      <c r="Z46" s="2">
        <v>20734200.62959717</v>
      </c>
      <c r="AA46" s="2">
        <v>0</v>
      </c>
      <c r="AB46" s="2">
        <v>0</v>
      </c>
      <c r="AC46" s="2">
        <v>0</v>
      </c>
      <c r="AD46" s="2">
        <v>308697.8017010754</v>
      </c>
      <c r="AE46" s="2">
        <v>2160884.611907529</v>
      </c>
      <c r="AF46" s="2">
        <f>F46-H46-L46-U46-AA46-AC46-AD46</f>
        <v>9240298.168845754</v>
      </c>
      <c r="AG46" s="2">
        <f>F46-H46-L46-U46-AA46-AB46-AD46-Y46</f>
        <v>8852644.497232085</v>
      </c>
      <c r="AH46" s="2">
        <f>AH45+AG46</f>
        <v>107038751.53680107</v>
      </c>
      <c r="AI46" s="2">
        <v>32007997.12859101</v>
      </c>
      <c r="AJ46" s="2">
        <f>AH46-AI46</f>
        <v>75030754.40821007</v>
      </c>
      <c r="AK46" s="3">
        <v>0.25</v>
      </c>
    </row>
    <row r="47" spans="1:37">
      <c r="A47" s="2">
        <v>46</v>
      </c>
      <c r="B47" s="2">
        <v>2030</v>
      </c>
      <c r="C47" s="2">
        <v>127</v>
      </c>
      <c r="D47" s="2">
        <v>382443.52273</v>
      </c>
      <c r="E47" s="2">
        <v>48570327.38671</v>
      </c>
      <c r="F47" s="2">
        <f>E47/1.19</f>
        <v>40815401.16530252</v>
      </c>
      <c r="G47" s="2">
        <v>160</v>
      </c>
      <c r="H47" s="2">
        <v>13155154.86488739</v>
      </c>
      <c r="I47" s="2">
        <v>302</v>
      </c>
      <c r="J47" s="2">
        <v>24824424.29224557</v>
      </c>
      <c r="K47" s="2">
        <v>10439410.21561321</v>
      </c>
      <c r="L47" s="2">
        <v>4096327.160584557</v>
      </c>
      <c r="M47" s="2">
        <v>6048243.945</v>
      </c>
      <c r="N47" s="3">
        <v>1.5</v>
      </c>
      <c r="O47" s="3">
        <v>1.5</v>
      </c>
      <c r="P47" s="2">
        <v>196690.86</v>
      </c>
      <c r="Q47" s="2">
        <v>389283.99375</v>
      </c>
      <c r="R47" s="2">
        <v>273181.75</v>
      </c>
      <c r="S47" s="2">
        <v>305963.56</v>
      </c>
      <c r="T47" s="2">
        <v>2663522.0625</v>
      </c>
      <c r="U47" s="2">
        <f>M47+P47+Q47+R47+S47+T47</f>
        <v>9876886.17125</v>
      </c>
      <c r="V47" s="2">
        <f>F47-K47-L47-U47</f>
        <v>16402777.617854755</v>
      </c>
      <c r="W47" s="2">
        <v>196742.5364383489</v>
      </c>
      <c r="X47" s="2">
        <v>190911.1351753204</v>
      </c>
      <c r="Y47" s="2">
        <f>W47+X47</f>
        <v>387653.6716136693</v>
      </c>
      <c r="Z47" s="2">
        <v>20543289.49442185</v>
      </c>
      <c r="AA47" s="2">
        <v>0</v>
      </c>
      <c r="AB47" s="2">
        <v>0</v>
      </c>
      <c r="AC47" s="2">
        <v>0</v>
      </c>
      <c r="AD47" s="2">
        <v>308697.8017010754</v>
      </c>
      <c r="AE47" s="2">
        <v>2469582.413608605</v>
      </c>
      <c r="AF47" s="2">
        <f>F47-H47-L47-U47-AA47-AC47-AD47</f>
        <v>13378335.166879494</v>
      </c>
      <c r="AG47" s="2">
        <f>F47-H47-L47-U47-AA47-AB47-AD47-Y47</f>
        <v>12990681.495265825</v>
      </c>
      <c r="AH47" s="2">
        <f>AH46+AG47</f>
        <v>120029433.0320669</v>
      </c>
      <c r="AI47" s="2">
        <v>32007997.12859101</v>
      </c>
      <c r="AJ47" s="2">
        <f>AH47-AI47</f>
        <v>88021435.90347588</v>
      </c>
      <c r="AK47" s="3">
        <v>0.25</v>
      </c>
    </row>
    <row r="48" spans="1:37">
      <c r="A48" s="2">
        <v>47</v>
      </c>
      <c r="B48" s="2">
        <v>2030</v>
      </c>
      <c r="C48" s="2">
        <v>136</v>
      </c>
      <c r="D48" s="2">
        <v>382443.52273</v>
      </c>
      <c r="E48" s="2">
        <v>52012319.09128</v>
      </c>
      <c r="F48" s="2">
        <f>E48/1.19</f>
        <v>43707831.16914286</v>
      </c>
      <c r="G48" s="2">
        <v>30</v>
      </c>
      <c r="H48" s="2">
        <v>2466591.537166386</v>
      </c>
      <c r="I48" s="2">
        <v>196</v>
      </c>
      <c r="J48" s="2">
        <v>16111563.561942</v>
      </c>
      <c r="K48" s="2">
        <v>11179452.26746996</v>
      </c>
      <c r="L48" s="2">
        <v>4386637.367961597</v>
      </c>
      <c r="M48" s="2">
        <v>6048243.945</v>
      </c>
      <c r="N48" s="3">
        <v>1.5</v>
      </c>
      <c r="O48" s="3">
        <v>1.5</v>
      </c>
      <c r="P48" s="2">
        <v>196690.86</v>
      </c>
      <c r="Q48" s="2">
        <v>389283.99375</v>
      </c>
      <c r="R48" s="2">
        <v>273181.75</v>
      </c>
      <c r="S48" s="2">
        <v>305963.56</v>
      </c>
      <c r="T48" s="2">
        <v>2663522.0625</v>
      </c>
      <c r="U48" s="2">
        <f>M48+P48+Q48+R48+S48+T48</f>
        <v>9876886.17125</v>
      </c>
      <c r="V48" s="2">
        <f>F48-K48-L48-U48</f>
        <v>18264855.362461302</v>
      </c>
      <c r="W48" s="2">
        <v>194931.0202077641</v>
      </c>
      <c r="X48" s="2">
        <v>192722.6514059052</v>
      </c>
      <c r="Y48" s="2">
        <f>W48+X48</f>
        <v>387653.6716136693</v>
      </c>
      <c r="Z48" s="2">
        <v>20350566.84301594</v>
      </c>
      <c r="AA48" s="2">
        <v>0</v>
      </c>
      <c r="AB48" s="2">
        <v>0</v>
      </c>
      <c r="AC48" s="2">
        <v>0</v>
      </c>
      <c r="AD48" s="2">
        <v>-2006535.711056991</v>
      </c>
      <c r="AE48" s="2">
        <v>463046.7025516134</v>
      </c>
      <c r="AF48" s="2">
        <f>F48-H48-L48-U48-AA48-AC48-AD48</f>
        <v>28984251.80382186</v>
      </c>
      <c r="AG48" s="2">
        <f>F48-H48-L48-U48-AA48-AB48-AD48-Y48</f>
        <v>28596598.13220819</v>
      </c>
      <c r="AH48" s="2">
        <f>AH47+AG48</f>
        <v>148626031.16427508</v>
      </c>
      <c r="AI48" s="2">
        <v>32007997.12859101</v>
      </c>
      <c r="AJ48" s="2">
        <f>AH48-AI48</f>
        <v>116618034.03568408</v>
      </c>
      <c r="AK48" s="3">
        <v>0.25</v>
      </c>
    </row>
    <row r="49" spans="1:37">
      <c r="A49" s="2">
        <v>48</v>
      </c>
      <c r="B49" s="2">
        <v>2030</v>
      </c>
      <c r="C49" s="2">
        <v>166</v>
      </c>
      <c r="D49" s="2">
        <v>382443.52273</v>
      </c>
      <c r="E49" s="2">
        <v>63485624.77318</v>
      </c>
      <c r="F49" s="2">
        <f>E49/1.19</f>
        <v>53349264.51527731</v>
      </c>
      <c r="G49" s="2">
        <v>40</v>
      </c>
      <c r="H49" s="2">
        <v>3288788.716221849</v>
      </c>
      <c r="I49" s="2">
        <v>70</v>
      </c>
      <c r="J49" s="2">
        <v>5754341.77742148</v>
      </c>
      <c r="K49" s="2">
        <v>13646010.50074237</v>
      </c>
      <c r="L49" s="2">
        <v>5354318.17071839</v>
      </c>
      <c r="M49" s="2">
        <v>6048243.945</v>
      </c>
      <c r="N49" s="3">
        <v>1.5</v>
      </c>
      <c r="O49" s="3">
        <v>1.5</v>
      </c>
      <c r="P49" s="2">
        <v>196690.86</v>
      </c>
      <c r="Q49" s="2">
        <v>389283.99375</v>
      </c>
      <c r="R49" s="2">
        <v>273181.75</v>
      </c>
      <c r="S49" s="2">
        <v>305963.56</v>
      </c>
      <c r="T49" s="2">
        <v>2663522.0625</v>
      </c>
      <c r="U49" s="2">
        <f>M49+P49+Q49+R49+S49+T49</f>
        <v>9876886.17125</v>
      </c>
      <c r="V49" s="2">
        <f>F49-K49-L49-U49</f>
        <v>24472049.672566555</v>
      </c>
      <c r="W49" s="2">
        <v>193102.3148747697</v>
      </c>
      <c r="X49" s="2">
        <v>194551.3567388996</v>
      </c>
      <c r="Y49" s="2">
        <f>W49+X49</f>
        <v>387653.6716136693</v>
      </c>
      <c r="Z49" s="2">
        <v>20156015.48627704</v>
      </c>
      <c r="AA49" s="2">
        <v>0</v>
      </c>
      <c r="AB49" s="2">
        <v>19478482.07461856</v>
      </c>
      <c r="AC49" s="2">
        <v>20087036.9535501</v>
      </c>
      <c r="AD49" s="2">
        <v>154348.9008505377</v>
      </c>
      <c r="AE49" s="2">
        <v>617395.6034021511</v>
      </c>
      <c r="AF49" s="2">
        <f>F49-H49-L49-U49-AA49-AC49-AD49</f>
        <v>14587885.602686439</v>
      </c>
      <c r="AG49" s="2">
        <f>F49-H49-L49-U49-AA49-AB49-AD49-Y49</f>
        <v>14808786.810004307</v>
      </c>
      <c r="AH49" s="2">
        <f>AH48+AG49</f>
        <v>163434817.97427937</v>
      </c>
      <c r="AI49" s="2">
        <v>32007997.12859101</v>
      </c>
      <c r="AJ49" s="2">
        <f>AH49-AI49</f>
        <v>131426820.84568837</v>
      </c>
      <c r="AK49" s="3">
        <v>0.25</v>
      </c>
    </row>
    <row r="50" spans="1:37">
      <c r="A50" s="2">
        <v>49</v>
      </c>
      <c r="B50" s="2">
        <v>2031</v>
      </c>
      <c r="C50" s="2">
        <v>26</v>
      </c>
      <c r="D50" s="2">
        <v>393916.8284119</v>
      </c>
      <c r="E50" s="2">
        <v>10241837.5387094</v>
      </c>
      <c r="F50" s="2">
        <f>E50/1.19</f>
        <v>8606586.166982692</v>
      </c>
      <c r="G50" s="2">
        <v>50</v>
      </c>
      <c r="H50" s="2">
        <v>4234315.47213563</v>
      </c>
      <c r="I50" s="2">
        <v>94</v>
      </c>
      <c r="J50" s="2">
        <v>7824448.178819736</v>
      </c>
      <c r="K50" s="2">
        <v>2164209.070737374</v>
      </c>
      <c r="L50" s="2">
        <v>860807.9769544601</v>
      </c>
      <c r="M50" s="2">
        <v>8470860.681262502</v>
      </c>
      <c r="N50" s="3">
        <v>2</v>
      </c>
      <c r="O50" s="3">
        <v>2.5</v>
      </c>
      <c r="P50" s="2">
        <v>236356.8501</v>
      </c>
      <c r="Q50" s="2">
        <v>527582.2546875001</v>
      </c>
      <c r="R50" s="2">
        <v>281377.2025</v>
      </c>
      <c r="S50" s="2">
        <v>315142.4668000001</v>
      </c>
      <c r="T50" s="2">
        <v>3587559.331875</v>
      </c>
      <c r="U50" s="2">
        <f>M50+P50+Q50+R50+S50+T50</f>
        <v>13418878.787225002</v>
      </c>
      <c r="V50" s="2">
        <f>F50-K50-L50-U50</f>
        <v>-7837309.667934145</v>
      </c>
      <c r="W50" s="2">
        <v>191256.2573355321</v>
      </c>
      <c r="X50" s="2">
        <v>196397.4142781372</v>
      </c>
      <c r="Y50" s="2">
        <f>W50+X50</f>
        <v>387653.6716136693</v>
      </c>
      <c r="Z50" s="2">
        <v>19959618.07199891</v>
      </c>
      <c r="AA50" s="2">
        <v>0</v>
      </c>
      <c r="AB50" s="2">
        <v>0</v>
      </c>
      <c r="AC50" s="2">
        <v>0</v>
      </c>
      <c r="AD50" s="2">
        <v>177501.2359781186</v>
      </c>
      <c r="AE50" s="2">
        <v>794896.8393802698</v>
      </c>
      <c r="AF50" s="2">
        <f>F50-H50-L50-U50-AA50-AC50-AD50</f>
        <v>-10084917.305310521</v>
      </c>
      <c r="AG50" s="2">
        <f>F50-H50-L50-U50-AA50-AB50-AD50-Y50</f>
        <v>-10472570.97692419</v>
      </c>
      <c r="AH50" s="2">
        <f>AH49+AG50</f>
        <v>152962246.9973552</v>
      </c>
      <c r="AI50" s="2">
        <v>42633974.97651602</v>
      </c>
      <c r="AJ50" s="2">
        <f>AH50-AI50</f>
        <v>110328272.02083918</v>
      </c>
      <c r="AK50" s="3">
        <v>0.25</v>
      </c>
    </row>
    <row r="51" spans="1:37">
      <c r="A51" s="2">
        <v>50</v>
      </c>
      <c r="B51" s="2">
        <v>2031</v>
      </c>
      <c r="C51" s="2">
        <v>38</v>
      </c>
      <c r="D51" s="2">
        <v>393916.8284119</v>
      </c>
      <c r="E51" s="2">
        <v>14968839.4796522</v>
      </c>
      <c r="F51" s="2">
        <f>E51/1.19</f>
        <v>12578856.705590086</v>
      </c>
      <c r="G51" s="2">
        <v>60</v>
      </c>
      <c r="H51" s="2">
        <v>5081178.566562757</v>
      </c>
      <c r="I51" s="2">
        <v>116</v>
      </c>
      <c r="J51" s="2">
        <v>9721121.444573827</v>
      </c>
      <c r="K51" s="2">
        <v>3184505.300808667</v>
      </c>
      <c r="L51" s="2">
        <v>1259818.406727304</v>
      </c>
      <c r="M51" s="2">
        <v>8470860.681262502</v>
      </c>
      <c r="N51" s="3">
        <v>2</v>
      </c>
      <c r="O51" s="3">
        <v>2.5</v>
      </c>
      <c r="P51" s="2">
        <v>236356.8501</v>
      </c>
      <c r="Q51" s="2">
        <v>527582.2546875001</v>
      </c>
      <c r="R51" s="2">
        <v>281377.2025</v>
      </c>
      <c r="S51" s="2">
        <v>315142.4668000001</v>
      </c>
      <c r="T51" s="2">
        <v>3587559.331875</v>
      </c>
      <c r="U51" s="2">
        <f>M51+P51+Q51+R51+S51+T51</f>
        <v>13418878.787225002</v>
      </c>
      <c r="V51" s="2">
        <f>F51-K51-L51-U51</f>
        <v>-5284345.789170886</v>
      </c>
      <c r="W51" s="2">
        <v>189392.6829385593</v>
      </c>
      <c r="X51" s="2">
        <v>198260.98867511</v>
      </c>
      <c r="Y51" s="2">
        <f>W51+X51</f>
        <v>387653.6716136693</v>
      </c>
      <c r="Z51" s="2">
        <v>19761357.0833238</v>
      </c>
      <c r="AA51" s="2">
        <v>0</v>
      </c>
      <c r="AB51" s="2">
        <v>0</v>
      </c>
      <c r="AC51" s="2">
        <v>0</v>
      </c>
      <c r="AD51" s="2">
        <v>158979.367876054</v>
      </c>
      <c r="AE51" s="2">
        <v>953876.2072563238</v>
      </c>
      <c r="AF51" s="2">
        <f>F51-H51-L51-U51-AA51-AC51-AD51</f>
        <v>-7339998.422801031</v>
      </c>
      <c r="AG51" s="2">
        <f>F51-H51-L51-U51-AA51-AB51-AD51-Y51</f>
        <v>-7727652.0944147</v>
      </c>
      <c r="AH51" s="2">
        <f>AH50+AG51</f>
        <v>145234594.90294048</v>
      </c>
      <c r="AI51" s="2">
        <v>42633974.97651602</v>
      </c>
      <c r="AJ51" s="2">
        <f>AH51-AI51</f>
        <v>102600619.92642447</v>
      </c>
      <c r="AK51" s="3">
        <v>0.25</v>
      </c>
    </row>
    <row r="52" spans="1:37">
      <c r="A52" s="2">
        <v>51</v>
      </c>
      <c r="B52" s="2">
        <v>2031</v>
      </c>
      <c r="C52" s="2">
        <v>51</v>
      </c>
      <c r="D52" s="2">
        <v>393916.8284119</v>
      </c>
      <c r="E52" s="2">
        <v>20089758.2490069</v>
      </c>
      <c r="F52" s="2">
        <f>E52/1.19</f>
        <v>16882149.789081432</v>
      </c>
      <c r="G52" s="2">
        <v>80</v>
      </c>
      <c r="H52" s="2">
        <v>6774904.755417009</v>
      </c>
      <c r="I52" s="2">
        <v>145</v>
      </c>
      <c r="J52" s="2">
        <v>12203692.85203404</v>
      </c>
      <c r="K52" s="2">
        <v>4292333.347956799</v>
      </c>
      <c r="L52" s="2">
        <v>1692280.276146889</v>
      </c>
      <c r="M52" s="2">
        <v>8470860.681262502</v>
      </c>
      <c r="N52" s="3">
        <v>2</v>
      </c>
      <c r="O52" s="3">
        <v>2.5</v>
      </c>
      <c r="P52" s="2">
        <v>236356.8501</v>
      </c>
      <c r="Q52" s="2">
        <v>527582.2546875001</v>
      </c>
      <c r="R52" s="2">
        <v>281377.2025</v>
      </c>
      <c r="S52" s="2">
        <v>315142.4668000001</v>
      </c>
      <c r="T52" s="2">
        <v>3587559.331875</v>
      </c>
      <c r="U52" s="2">
        <f>M52+P52+Q52+R52+S52+T52</f>
        <v>13418878.787225002</v>
      </c>
      <c r="V52" s="2">
        <f>F52-K52-L52-U52</f>
        <v>-2521342.622247258</v>
      </c>
      <c r="W52" s="2">
        <v>187511.4254700154</v>
      </c>
      <c r="X52" s="2">
        <v>200142.2461436539</v>
      </c>
      <c r="Y52" s="2">
        <f>W52+X52</f>
        <v>387653.6716136693</v>
      </c>
      <c r="Z52" s="2">
        <v>19561214.83718014</v>
      </c>
      <c r="AA52" s="2">
        <v>0</v>
      </c>
      <c r="AB52" s="2">
        <v>0</v>
      </c>
      <c r="AC52" s="2">
        <v>0</v>
      </c>
      <c r="AD52" s="2">
        <v>317958.7357521079</v>
      </c>
      <c r="AE52" s="2">
        <v>1271834.943008432</v>
      </c>
      <c r="AF52" s="2">
        <f>F52-H52-L52-U52-AA52-AC52-AD52</f>
        <v>-5321872.765459575</v>
      </c>
      <c r="AG52" s="2">
        <f>F52-H52-L52-U52-AA52-AB52-AD52-Y52</f>
        <v>-5709526.437073244</v>
      </c>
      <c r="AH52" s="2">
        <f>AH51+AG52</f>
        <v>139525068.46586725</v>
      </c>
      <c r="AI52" s="2">
        <v>42633974.97651602</v>
      </c>
      <c r="AJ52" s="2">
        <f>AH52-AI52</f>
        <v>96891093.48935124</v>
      </c>
      <c r="AK52" s="3">
        <v>0.25</v>
      </c>
    </row>
    <row r="53" spans="1:37">
      <c r="A53" s="2">
        <v>52</v>
      </c>
      <c r="B53" s="2">
        <v>2031</v>
      </c>
      <c r="C53" s="2">
        <v>64</v>
      </c>
      <c r="D53" s="2">
        <v>393916.8284119</v>
      </c>
      <c r="E53" s="2">
        <v>25210677.0183616</v>
      </c>
      <c r="F53" s="2">
        <f>E53/1.19</f>
        <v>21185442.872572776</v>
      </c>
      <c r="G53" s="2">
        <v>90</v>
      </c>
      <c r="H53" s="2">
        <v>7621767.849844134</v>
      </c>
      <c r="I53" s="2">
        <v>171</v>
      </c>
      <c r="J53" s="2">
        <v>14426186.29796241</v>
      </c>
      <c r="K53" s="2">
        <v>5399274.403915757</v>
      </c>
      <c r="L53" s="2">
        <v>2124671.186271341</v>
      </c>
      <c r="M53" s="2">
        <v>8470860.681262502</v>
      </c>
      <c r="N53" s="3">
        <v>2</v>
      </c>
      <c r="O53" s="3">
        <v>2.5</v>
      </c>
      <c r="P53" s="2">
        <v>236356.8501</v>
      </c>
      <c r="Q53" s="2">
        <v>527582.2546875001</v>
      </c>
      <c r="R53" s="2">
        <v>281377.2025</v>
      </c>
      <c r="S53" s="2">
        <v>315142.4668000001</v>
      </c>
      <c r="T53" s="2">
        <v>3587559.331875</v>
      </c>
      <c r="U53" s="2">
        <f>M53+P53+Q53+R53+S53+T53</f>
        <v>13418878.787225002</v>
      </c>
      <c r="V53" s="2">
        <f>F53-K53-L53-U53</f>
        <v>242618.49516067468</v>
      </c>
      <c r="W53" s="2">
        <v>185612.317138896</v>
      </c>
      <c r="X53" s="2">
        <v>202041.3544747733</v>
      </c>
      <c r="Y53" s="2">
        <f>W53+X53</f>
        <v>387653.6716136693</v>
      </c>
      <c r="Z53" s="2">
        <v>19359173.48270537</v>
      </c>
      <c r="AA53" s="2">
        <v>0</v>
      </c>
      <c r="AB53" s="2">
        <v>0</v>
      </c>
      <c r="AC53" s="2">
        <v>0</v>
      </c>
      <c r="AD53" s="2">
        <v>158979.3678760538</v>
      </c>
      <c r="AE53" s="2">
        <v>1430814.310884485</v>
      </c>
      <c r="AF53" s="2">
        <f>F53-H53-L53-U53-AA53-AC53-AD53</f>
        <v>-2138854.3186437553</v>
      </c>
      <c r="AG53" s="2">
        <f>F53-H53-L53-U53-AA53-AB53-AD53-Y53</f>
        <v>-2526507.990257425</v>
      </c>
      <c r="AH53" s="2">
        <f>AH52+AG53</f>
        <v>136998560.47560984</v>
      </c>
      <c r="AI53" s="2">
        <v>42633974.97651602</v>
      </c>
      <c r="AJ53" s="2">
        <f>AH53-AI53</f>
        <v>94364585.49909383</v>
      </c>
      <c r="AK53" s="3">
        <v>0.25</v>
      </c>
    </row>
    <row r="54" spans="1:37">
      <c r="A54" s="2">
        <v>53</v>
      </c>
      <c r="B54" s="2">
        <v>2031</v>
      </c>
      <c r="C54" s="2">
        <v>77</v>
      </c>
      <c r="D54" s="2">
        <v>393916.8284119</v>
      </c>
      <c r="E54" s="2">
        <v>30331595.7877163</v>
      </c>
      <c r="F54" s="2">
        <f>E54/1.19</f>
        <v>25488735.95606412</v>
      </c>
      <c r="G54" s="2">
        <v>100</v>
      </c>
      <c r="H54" s="2">
        <v>8468630.944271261</v>
      </c>
      <c r="I54" s="2">
        <v>194</v>
      </c>
      <c r="J54" s="2">
        <v>16389647.76750307</v>
      </c>
      <c r="K54" s="2">
        <v>6505169.474730601</v>
      </c>
      <c r="L54" s="2">
        <v>2556978.417584263</v>
      </c>
      <c r="M54" s="2">
        <v>8470860.681262502</v>
      </c>
      <c r="N54" s="3">
        <v>2</v>
      </c>
      <c r="O54" s="3">
        <v>2.5</v>
      </c>
      <c r="P54" s="2">
        <v>236356.8501</v>
      </c>
      <c r="Q54" s="2">
        <v>527582.2546875001</v>
      </c>
      <c r="R54" s="2">
        <v>281377.2025</v>
      </c>
      <c r="S54" s="2">
        <v>315142.4668000001</v>
      </c>
      <c r="T54" s="2">
        <v>3587559.331875</v>
      </c>
      <c r="U54" s="2">
        <f>M54+P54+Q54+R54+S54+T54</f>
        <v>13418878.787225002</v>
      </c>
      <c r="V54" s="2">
        <f>F54-K54-L54-U54</f>
        <v>3007709.276524255</v>
      </c>
      <c r="W54" s="2">
        <v>183695.1885620622</v>
      </c>
      <c r="X54" s="2">
        <v>203958.4830516072</v>
      </c>
      <c r="Y54" s="2">
        <f>W54+X54</f>
        <v>387653.6716136693</v>
      </c>
      <c r="Z54" s="2">
        <v>19155214.99965376</v>
      </c>
      <c r="AA54" s="2">
        <v>0</v>
      </c>
      <c r="AB54" s="2">
        <v>0</v>
      </c>
      <c r="AC54" s="2">
        <v>0</v>
      </c>
      <c r="AD54" s="2">
        <v>158979.367876054</v>
      </c>
      <c r="AE54" s="2">
        <v>1589793.67876054</v>
      </c>
      <c r="AF54" s="2">
        <f>F54-H54-L54-U54-AA54-AC54-AD54</f>
        <v>885268.4391075417</v>
      </c>
      <c r="AG54" s="2">
        <f>F54-H54-L54-U54-AA54-AB54-AD54-Y54</f>
        <v>497614.7674938724</v>
      </c>
      <c r="AH54" s="2">
        <f>AH53+AG54</f>
        <v>137496175.2431037</v>
      </c>
      <c r="AI54" s="2">
        <v>42633974.97651602</v>
      </c>
      <c r="AJ54" s="2">
        <f>AH54-AI54</f>
        <v>94862200.2665877</v>
      </c>
      <c r="AK54" s="3">
        <v>0.25</v>
      </c>
    </row>
    <row r="55" spans="1:37">
      <c r="A55" s="2">
        <v>54</v>
      </c>
      <c r="B55" s="2">
        <v>2031</v>
      </c>
      <c r="C55" s="2">
        <v>89</v>
      </c>
      <c r="D55" s="2">
        <v>393916.8284119</v>
      </c>
      <c r="E55" s="2">
        <v>35058597.7286591</v>
      </c>
      <c r="F55" s="2">
        <f>E55/1.19</f>
        <v>29461006.494671516</v>
      </c>
      <c r="G55" s="2">
        <v>130</v>
      </c>
      <c r="H55" s="2">
        <v>11009220.22755264</v>
      </c>
      <c r="I55" s="2">
        <v>235</v>
      </c>
      <c r="J55" s="2">
        <v>19872635.7371546</v>
      </c>
      <c r="K55" s="2">
        <v>7526232.257901106</v>
      </c>
      <c r="L55" s="2">
        <v>2956050.171605044</v>
      </c>
      <c r="M55" s="2">
        <v>8470860.681262502</v>
      </c>
      <c r="N55" s="3">
        <v>2</v>
      </c>
      <c r="O55" s="3">
        <v>2.5</v>
      </c>
      <c r="P55" s="2">
        <v>236356.8501</v>
      </c>
      <c r="Q55" s="2">
        <v>527582.2546875001</v>
      </c>
      <c r="R55" s="2">
        <v>281377.2025</v>
      </c>
      <c r="S55" s="2">
        <v>315142.4668000001</v>
      </c>
      <c r="T55" s="2">
        <v>3587559.331875</v>
      </c>
      <c r="U55" s="2">
        <f>M55+P55+Q55+R55+S55+T55</f>
        <v>13418878.787225002</v>
      </c>
      <c r="V55" s="2">
        <f>F55-K55-L55-U55</f>
        <v>5559845.277940365</v>
      </c>
      <c r="W55" s="2">
        <v>181759.8687491338</v>
      </c>
      <c r="X55" s="2">
        <v>205893.8028645355</v>
      </c>
      <c r="Y55" s="2">
        <f>W55+X55</f>
        <v>387653.6716136693</v>
      </c>
      <c r="Z55" s="2">
        <v>18949321.19678923</v>
      </c>
      <c r="AA55" s="2">
        <v>0</v>
      </c>
      <c r="AB55" s="2">
        <v>0</v>
      </c>
      <c r="AC55" s="2">
        <v>0</v>
      </c>
      <c r="AD55" s="2">
        <v>476938.1036281618</v>
      </c>
      <c r="AE55" s="2">
        <v>2066731.782388701</v>
      </c>
      <c r="AF55" s="2">
        <f>F55-H55-L55-U55-AA55-AC55-AD55</f>
        <v>1599919.2046606713</v>
      </c>
      <c r="AG55" s="2">
        <f>F55-H55-L55-U55-AA55-AB55-AD55-Y55</f>
        <v>1212265.533047002</v>
      </c>
      <c r="AH55" s="2">
        <f>AH54+AG55</f>
        <v>138708440.7761507</v>
      </c>
      <c r="AI55" s="2">
        <v>42633974.97651602</v>
      </c>
      <c r="AJ55" s="2">
        <f>AH55-AI55</f>
        <v>96074465.7996347</v>
      </c>
      <c r="AK55" s="3">
        <v>0.25</v>
      </c>
    </row>
    <row r="56" spans="1:37">
      <c r="A56" s="2">
        <v>55</v>
      </c>
      <c r="B56" s="2">
        <v>2031</v>
      </c>
      <c r="C56" s="2">
        <v>102</v>
      </c>
      <c r="D56" s="2">
        <v>393916.8284119</v>
      </c>
      <c r="E56" s="2">
        <v>40179516.4980138</v>
      </c>
      <c r="F56" s="2">
        <f>E56/1.19</f>
        <v>33764299.578162864</v>
      </c>
      <c r="G56" s="2">
        <v>140</v>
      </c>
      <c r="H56" s="2">
        <v>11856083.32197977</v>
      </c>
      <c r="I56" s="2">
        <v>273</v>
      </c>
      <c r="J56" s="2">
        <v>23098507.47504982</v>
      </c>
      <c r="K56" s="2">
        <v>8630211.584084548</v>
      </c>
      <c r="L56" s="2">
        <v>3388204.143347454</v>
      </c>
      <c r="M56" s="2">
        <v>8470860.681262502</v>
      </c>
      <c r="N56" s="3">
        <v>2</v>
      </c>
      <c r="O56" s="3">
        <v>2.5</v>
      </c>
      <c r="P56" s="2">
        <v>236356.8501</v>
      </c>
      <c r="Q56" s="2">
        <v>527582.2546875001</v>
      </c>
      <c r="R56" s="2">
        <v>281377.2025</v>
      </c>
      <c r="S56" s="2">
        <v>315142.4668000001</v>
      </c>
      <c r="T56" s="2">
        <v>3587559.331875</v>
      </c>
      <c r="U56" s="2">
        <f>M56+P56+Q56+R56+S56+T56</f>
        <v>13418878.787225002</v>
      </c>
      <c r="V56" s="2">
        <f>F56-K56-L56-U56</f>
        <v>8327005.06350586</v>
      </c>
      <c r="W56" s="2">
        <v>179806.1850872384</v>
      </c>
      <c r="X56" s="2">
        <v>207847.486526431</v>
      </c>
      <c r="Y56" s="2">
        <f>W56+X56</f>
        <v>387653.6716136693</v>
      </c>
      <c r="Z56" s="2">
        <v>18741473.7102628</v>
      </c>
      <c r="AA56" s="2">
        <v>0</v>
      </c>
      <c r="AB56" s="2">
        <v>0</v>
      </c>
      <c r="AC56" s="2">
        <v>0</v>
      </c>
      <c r="AD56" s="2">
        <v>158979.3678760545</v>
      </c>
      <c r="AE56" s="2">
        <v>2225711.150264756</v>
      </c>
      <c r="AF56" s="2">
        <f>F56-H56-L56-U56-AA56-AC56-AD56</f>
        <v>4942153.957734585</v>
      </c>
      <c r="AG56" s="2">
        <f>F56-H56-L56-U56-AA56-AB56-AD56-Y56</f>
        <v>4554500.286120916</v>
      </c>
      <c r="AH56" s="2">
        <f>AH55+AG56</f>
        <v>143262941.06227162</v>
      </c>
      <c r="AI56" s="2">
        <v>42633974.97651602</v>
      </c>
      <c r="AJ56" s="2">
        <f>AH56-AI56</f>
        <v>100628966.08575562</v>
      </c>
      <c r="AK56" s="3">
        <v>0.25</v>
      </c>
    </row>
    <row r="57" spans="1:37">
      <c r="A57" s="2">
        <v>56</v>
      </c>
      <c r="B57" s="2">
        <v>2031</v>
      </c>
      <c r="C57" s="2">
        <v>127</v>
      </c>
      <c r="D57" s="2">
        <v>393916.8284119</v>
      </c>
      <c r="E57" s="2">
        <v>50027437.2083113</v>
      </c>
      <c r="F57" s="2">
        <f>E57/1.19</f>
        <v>42039863.2002616</v>
      </c>
      <c r="G57" s="2">
        <v>160</v>
      </c>
      <c r="H57" s="2">
        <v>13549809.51083402</v>
      </c>
      <c r="I57" s="2">
        <v>306</v>
      </c>
      <c r="J57" s="2">
        <v>25899272.5119641</v>
      </c>
      <c r="K57" s="2">
        <v>10749044.47391974</v>
      </c>
      <c r="L57" s="2">
        <v>4218933.131549145</v>
      </c>
      <c r="M57" s="2">
        <v>8470860.681262502</v>
      </c>
      <c r="N57" s="3">
        <v>2</v>
      </c>
      <c r="O57" s="3">
        <v>2.5</v>
      </c>
      <c r="P57" s="2">
        <v>236356.8501</v>
      </c>
      <c r="Q57" s="2">
        <v>527582.2546875001</v>
      </c>
      <c r="R57" s="2">
        <v>281377.2025</v>
      </c>
      <c r="S57" s="2">
        <v>315142.4668000001</v>
      </c>
      <c r="T57" s="2">
        <v>3587559.331875</v>
      </c>
      <c r="U57" s="2">
        <f>M57+P57+Q57+R57+S57+T57</f>
        <v>13418878.787225002</v>
      </c>
      <c r="V57" s="2">
        <f>F57-K57-L57-U57</f>
        <v>13653006.80756771</v>
      </c>
      <c r="W57" s="2">
        <v>177833.9633256155</v>
      </c>
      <c r="X57" s="2">
        <v>209819.7082880538</v>
      </c>
      <c r="Y57" s="2">
        <f>W57+X57</f>
        <v>387653.6716136693</v>
      </c>
      <c r="Z57" s="2">
        <v>18531654.00197474</v>
      </c>
      <c r="AA57" s="2">
        <v>0</v>
      </c>
      <c r="AB57" s="2">
        <v>0</v>
      </c>
      <c r="AC57" s="2">
        <v>0</v>
      </c>
      <c r="AD57" s="2">
        <v>317958.7357521076</v>
      </c>
      <c r="AE57" s="2">
        <v>2543669.886016863</v>
      </c>
      <c r="AF57" s="2">
        <f>F57-H57-L57-U57-AA57-AC57-AD57</f>
        <v>10534283.034901328</v>
      </c>
      <c r="AG57" s="2">
        <f>F57-H57-L57-U57-AA57-AB57-AD57-Y57</f>
        <v>10146629.36328766</v>
      </c>
      <c r="AH57" s="2">
        <f>AH56+AG57</f>
        <v>153409570.42555928</v>
      </c>
      <c r="AI57" s="2">
        <v>42633974.97651602</v>
      </c>
      <c r="AJ57" s="2">
        <f>AH57-AI57</f>
        <v>110775595.44904327</v>
      </c>
      <c r="AK57" s="3">
        <v>0.25</v>
      </c>
    </row>
    <row r="58" spans="1:37">
      <c r="A58" s="2">
        <v>57</v>
      </c>
      <c r="B58" s="2">
        <v>2031</v>
      </c>
      <c r="C58" s="2">
        <v>140</v>
      </c>
      <c r="D58" s="2">
        <v>393916.8284119</v>
      </c>
      <c r="E58" s="2">
        <v>55148355.97766601</v>
      </c>
      <c r="F58" s="2">
        <f>E58/1.19</f>
        <v>46343156.28375295</v>
      </c>
      <c r="G58" s="2">
        <v>180</v>
      </c>
      <c r="H58" s="2">
        <v>15243535.69968827</v>
      </c>
      <c r="I58" s="2">
        <v>346</v>
      </c>
      <c r="J58" s="2">
        <v>29290970.4552093</v>
      </c>
      <c r="K58" s="2">
        <v>11851837.75644307</v>
      </c>
      <c r="L58" s="2">
        <v>4650992.219798746</v>
      </c>
      <c r="M58" s="2">
        <v>8470860.681262502</v>
      </c>
      <c r="N58" s="3">
        <v>2</v>
      </c>
      <c r="O58" s="3">
        <v>2.5</v>
      </c>
      <c r="P58" s="2">
        <v>236356.8501</v>
      </c>
      <c r="Q58" s="2">
        <v>527582.2546875001</v>
      </c>
      <c r="R58" s="2">
        <v>281377.2025</v>
      </c>
      <c r="S58" s="2">
        <v>315142.4668000001</v>
      </c>
      <c r="T58" s="2">
        <v>3587559.331875</v>
      </c>
      <c r="U58" s="2">
        <f>M58+P58+Q58+R58+S58+T58</f>
        <v>13418878.787225002</v>
      </c>
      <c r="V58" s="2">
        <f>F58-K58-L58-U58</f>
        <v>16421447.520286134</v>
      </c>
      <c r="W58" s="2">
        <v>175843.0275600756</v>
      </c>
      <c r="X58" s="2">
        <v>211810.6440535937</v>
      </c>
      <c r="Y58" s="2">
        <f>W58+X58</f>
        <v>387653.6716136693</v>
      </c>
      <c r="Z58" s="2">
        <v>18319843.35792115</v>
      </c>
      <c r="AA58" s="2">
        <v>0</v>
      </c>
      <c r="AB58" s="2">
        <v>0</v>
      </c>
      <c r="AC58" s="2">
        <v>0</v>
      </c>
      <c r="AD58" s="2">
        <v>317958.7357521076</v>
      </c>
      <c r="AE58" s="2">
        <v>2861628.621768971</v>
      </c>
      <c r="AF58" s="2">
        <f>F58-H58-L58-U58-AA58-AC58-AD58</f>
        <v>12711790.841288824</v>
      </c>
      <c r="AG58" s="2">
        <f>F58-H58-L58-U58-AA58-AB58-AD58-Y58</f>
        <v>12324137.169675155</v>
      </c>
      <c r="AH58" s="2">
        <f>AH57+AG58</f>
        <v>165733707.59523442</v>
      </c>
      <c r="AI58" s="2">
        <v>42633974.97651602</v>
      </c>
      <c r="AJ58" s="2">
        <f>AH58-AI58</f>
        <v>123099732.61871842</v>
      </c>
      <c r="AK58" s="3">
        <v>0.25</v>
      </c>
    </row>
    <row r="59" spans="1:37">
      <c r="A59" s="2">
        <v>58</v>
      </c>
      <c r="B59" s="2">
        <v>2031</v>
      </c>
      <c r="C59" s="2">
        <v>166</v>
      </c>
      <c r="D59" s="2">
        <v>393916.8284119</v>
      </c>
      <c r="E59" s="2">
        <v>65390193.51637541</v>
      </c>
      <c r="F59" s="2">
        <f>E59/1.19</f>
        <v>54949742.450735636</v>
      </c>
      <c r="G59" s="2">
        <v>220</v>
      </c>
      <c r="H59" s="2">
        <v>18630988.07739677</v>
      </c>
      <c r="I59" s="2">
        <v>400</v>
      </c>
      <c r="J59" s="2">
        <v>33867108.50360853</v>
      </c>
      <c r="K59" s="2">
        <v>14054850.02899754</v>
      </c>
      <c r="L59" s="2">
        <v>5514904.452898574</v>
      </c>
      <c r="M59" s="2">
        <v>8470860.681262502</v>
      </c>
      <c r="N59" s="3">
        <v>2</v>
      </c>
      <c r="O59" s="3">
        <v>2.5</v>
      </c>
      <c r="P59" s="2">
        <v>236356.8501</v>
      </c>
      <c r="Q59" s="2">
        <v>527582.2546875001</v>
      </c>
      <c r="R59" s="2">
        <v>281377.2025</v>
      </c>
      <c r="S59" s="2">
        <v>315142.4668000001</v>
      </c>
      <c r="T59" s="2">
        <v>3587559.331875</v>
      </c>
      <c r="U59" s="2">
        <f>M59+P59+Q59+R59+S59+T59</f>
        <v>13418878.787225002</v>
      </c>
      <c r="V59" s="2">
        <f>F59-K59-L59-U59</f>
        <v>21961109.18161452</v>
      </c>
      <c r="W59" s="2">
        <v>173833.2002173103</v>
      </c>
      <c r="X59" s="2">
        <v>213820.471396359</v>
      </c>
      <c r="Y59" s="2">
        <f>W59+X59</f>
        <v>387653.6716136693</v>
      </c>
      <c r="Z59" s="2">
        <v>18106022.88652479</v>
      </c>
      <c r="AA59" s="2">
        <v>0</v>
      </c>
      <c r="AB59" s="2">
        <v>0</v>
      </c>
      <c r="AC59" s="2">
        <v>0</v>
      </c>
      <c r="AD59" s="2">
        <v>635917.4715042156</v>
      </c>
      <c r="AE59" s="2">
        <v>3497546.093273187</v>
      </c>
      <c r="AF59" s="2">
        <f>F59-H59-L59-U59-AA59-AC59-AD59</f>
        <v>16749053.66171107</v>
      </c>
      <c r="AG59" s="2">
        <f>F59-H59-L59-U59-AA59-AB59-AD59-Y59</f>
        <v>16361399.990097402</v>
      </c>
      <c r="AH59" s="2">
        <f>AH58+AG59</f>
        <v>182095107.58533183</v>
      </c>
      <c r="AI59" s="2">
        <v>42633974.97651602</v>
      </c>
      <c r="AJ59" s="2">
        <f>AH59-AI59</f>
        <v>139461132.60881582</v>
      </c>
      <c r="AK59" s="3">
        <v>0.25</v>
      </c>
    </row>
    <row r="60" spans="1:37">
      <c r="A60" s="2">
        <v>59</v>
      </c>
      <c r="B60" s="2">
        <v>2031</v>
      </c>
      <c r="C60" s="2">
        <v>178</v>
      </c>
      <c r="D60" s="2">
        <v>393916.8284119</v>
      </c>
      <c r="E60" s="2">
        <v>70117195.4573182</v>
      </c>
      <c r="F60" s="2">
        <f>E60/1.19</f>
        <v>58922012.98934303</v>
      </c>
      <c r="G60" s="2">
        <v>30</v>
      </c>
      <c r="H60" s="2">
        <v>2540589.283281378</v>
      </c>
      <c r="I60" s="2">
        <v>252</v>
      </c>
      <c r="J60" s="2">
        <v>21336604.2844099</v>
      </c>
      <c r="K60" s="2">
        <v>15071093.50248001</v>
      </c>
      <c r="L60" s="2">
        <v>5913590.662144311</v>
      </c>
      <c r="M60" s="2">
        <v>8470860.681262502</v>
      </c>
      <c r="N60" s="3">
        <v>2</v>
      </c>
      <c r="O60" s="3">
        <v>2.5</v>
      </c>
      <c r="P60" s="2">
        <v>236356.8501</v>
      </c>
      <c r="Q60" s="2">
        <v>527582.2546875001</v>
      </c>
      <c r="R60" s="2">
        <v>281377.2025</v>
      </c>
      <c r="S60" s="2">
        <v>315142.4668000001</v>
      </c>
      <c r="T60" s="2">
        <v>3587559.331875</v>
      </c>
      <c r="U60" s="2">
        <f>M60+P60+Q60+R60+S60+T60</f>
        <v>13418878.787225002</v>
      </c>
      <c r="V60" s="2">
        <f>F60-K60-L60-U60</f>
        <v>24518450.037493713</v>
      </c>
      <c r="W60" s="2">
        <v>171804.3020390553</v>
      </c>
      <c r="X60" s="2">
        <v>215849.369574614</v>
      </c>
      <c r="Y60" s="2">
        <f>W60+X60</f>
        <v>387653.6716136693</v>
      </c>
      <c r="Z60" s="2">
        <v>17890173.51695018</v>
      </c>
      <c r="AA60" s="2">
        <v>0</v>
      </c>
      <c r="AB60" s="2">
        <v>0</v>
      </c>
      <c r="AC60" s="2">
        <v>0</v>
      </c>
      <c r="AD60" s="2">
        <v>-3020607.989645025</v>
      </c>
      <c r="AE60" s="2">
        <v>476938.1036281619</v>
      </c>
      <c r="AF60" s="2">
        <f>F60-H60-L60-U60-AA60-AC60-AD60</f>
        <v>40069562.24633737</v>
      </c>
      <c r="AG60" s="2">
        <f>F60-H60-L60-U60-AA60-AB60-AD60-Y60</f>
        <v>39681908.5747237</v>
      </c>
      <c r="AH60" s="2">
        <f>AH59+AG60</f>
        <v>221777016.16005552</v>
      </c>
      <c r="AI60" s="2">
        <v>42633974.97651602</v>
      </c>
      <c r="AJ60" s="2">
        <f>AH60-AI60</f>
        <v>179143041.1835395</v>
      </c>
      <c r="AK60" s="3">
        <v>0.25</v>
      </c>
    </row>
    <row r="61" spans="1:37">
      <c r="A61" s="2">
        <v>60</v>
      </c>
      <c r="B61" s="2">
        <v>2031</v>
      </c>
      <c r="C61" s="2">
        <v>217</v>
      </c>
      <c r="D61" s="2">
        <v>393916.8284119</v>
      </c>
      <c r="E61" s="2">
        <v>85479951.7653823</v>
      </c>
      <c r="F61" s="2">
        <f>E61/1.19</f>
        <v>71831892.23981707</v>
      </c>
      <c r="G61" s="2">
        <v>40</v>
      </c>
      <c r="H61" s="2">
        <v>3387452.377708504</v>
      </c>
      <c r="I61" s="2">
        <v>75</v>
      </c>
      <c r="J61" s="2">
        <v>6350357.019379726</v>
      </c>
      <c r="K61" s="2">
        <v>18373699.64273868</v>
      </c>
      <c r="L61" s="2">
        <v>7209306.03030821</v>
      </c>
      <c r="M61" s="2">
        <v>8470860.681262502</v>
      </c>
      <c r="N61" s="3">
        <v>2</v>
      </c>
      <c r="O61" s="3">
        <v>2.5</v>
      </c>
      <c r="P61" s="2">
        <v>236356.8501</v>
      </c>
      <c r="Q61" s="2">
        <v>527582.2546875001</v>
      </c>
      <c r="R61" s="2">
        <v>281377.2025</v>
      </c>
      <c r="S61" s="2">
        <v>315142.4668000001</v>
      </c>
      <c r="T61" s="2">
        <v>3587559.331875</v>
      </c>
      <c r="U61" s="2">
        <f>M61+P61+Q61+R61+S61+T61</f>
        <v>13418878.787225002</v>
      </c>
      <c r="V61" s="2">
        <f>F61-K61-L61-U61</f>
        <v>32830007.779545173</v>
      </c>
      <c r="W61" s="2">
        <v>169756.1520661016</v>
      </c>
      <c r="X61" s="2">
        <v>217897.5195475678</v>
      </c>
      <c r="Y61" s="2">
        <f>W61+X61</f>
        <v>387653.6716136693</v>
      </c>
      <c r="Z61" s="2">
        <v>17672275.99740261</v>
      </c>
      <c r="AA61" s="2">
        <v>0</v>
      </c>
      <c r="AB61" s="2">
        <v>27028520.38695957</v>
      </c>
      <c r="AC61" s="2">
        <v>27570546.52958196</v>
      </c>
      <c r="AD61" s="2">
        <v>158979.367876054</v>
      </c>
      <c r="AE61" s="2">
        <v>635917.4715042158</v>
      </c>
      <c r="AF61" s="2">
        <f>F61-H61-L61-U61-AA61-AC61-AD61</f>
        <v>20086729.14711733</v>
      </c>
      <c r="AG61" s="2">
        <f>F61-H61-L61-U61-AA61-AB61-AD61-Y61</f>
        <v>20241101.618126057</v>
      </c>
      <c r="AH61" s="2">
        <f>AH60+AG61</f>
        <v>242018117.77818158</v>
      </c>
      <c r="AI61" s="2">
        <v>42633974.97651602</v>
      </c>
      <c r="AJ61" s="2">
        <f>AH61-AI61</f>
        <v>199384142.80166557</v>
      </c>
      <c r="AK61" s="3">
        <v>0.25</v>
      </c>
    </row>
    <row r="62" spans="1:37">
      <c r="A62" s="2">
        <v>61</v>
      </c>
      <c r="B62" s="2">
        <v>2032</v>
      </c>
      <c r="C62" s="2">
        <v>27</v>
      </c>
      <c r="D62" s="2">
        <v>405734.333264257</v>
      </c>
      <c r="E62" s="2">
        <v>10954826.99813494</v>
      </c>
      <c r="F62" s="2">
        <f>E62/1.19</f>
        <v>9205736.973222638</v>
      </c>
      <c r="G62" s="2">
        <v>50</v>
      </c>
      <c r="H62" s="2">
        <v>4361344.936299698</v>
      </c>
      <c r="I62" s="2">
        <v>98</v>
      </c>
      <c r="J62" s="2">
        <v>8397974.333252668</v>
      </c>
      <c r="K62" s="2">
        <v>2313727.622426756</v>
      </c>
      <c r="L62" s="2">
        <v>920641.9597374875</v>
      </c>
      <c r="M62" s="2">
        <v>9311869.001814751</v>
      </c>
      <c r="N62" s="3">
        <v>2</v>
      </c>
      <c r="O62" s="3">
        <v>3</v>
      </c>
      <c r="P62" s="2">
        <v>255040.296346</v>
      </c>
      <c r="Q62" s="2">
        <v>660148.6216101351</v>
      </c>
      <c r="R62" s="2">
        <v>289818.518575</v>
      </c>
      <c r="S62" s="2">
        <v>324596.740804</v>
      </c>
      <c r="T62" s="2">
        <v>3880669.96371925</v>
      </c>
      <c r="U62" s="2">
        <f>M62+P62+Q62+R62+S62+T62</f>
        <v>14722143.142869135</v>
      </c>
      <c r="V62" s="2">
        <f>F62-K62-L62-U62</f>
        <v>-8750775.75181074</v>
      </c>
      <c r="W62" s="2">
        <v>167688.5676221554</v>
      </c>
      <c r="X62" s="2">
        <v>219965.1039915139</v>
      </c>
      <c r="Y62" s="2">
        <f>W62+X62</f>
        <v>387653.6716136693</v>
      </c>
      <c r="Z62" s="2">
        <v>17452310.8934111</v>
      </c>
      <c r="AA62" s="2">
        <v>0</v>
      </c>
      <c r="AB62" s="2">
        <v>0</v>
      </c>
      <c r="AC62" s="2">
        <v>0</v>
      </c>
      <c r="AD62" s="2">
        <v>182826.2730574618</v>
      </c>
      <c r="AE62" s="2">
        <v>818743.7445616777</v>
      </c>
      <c r="AF62" s="2">
        <f>F62-H62-L62-U62-AA62-AC62-AD62</f>
        <v>-10981219.338741146</v>
      </c>
      <c r="AG62" s="2">
        <f>F62-H62-L62-U62-AA62-AB62-AD62-Y62</f>
        <v>-11368873.010354815</v>
      </c>
      <c r="AH62" s="2">
        <f>AH61+AG62</f>
        <v>230649244.76782677</v>
      </c>
      <c r="AI62" s="2">
        <v>46543768.04344841</v>
      </c>
      <c r="AJ62" s="2">
        <f>AH62-AI62</f>
        <v>184105476.72437835</v>
      </c>
      <c r="AK62" s="3">
        <v>0.25</v>
      </c>
    </row>
    <row r="63" spans="1:37">
      <c r="A63" s="2">
        <v>62</v>
      </c>
      <c r="B63" s="2">
        <v>2032</v>
      </c>
      <c r="C63" s="2">
        <v>40</v>
      </c>
      <c r="D63" s="2">
        <v>405734.333264257</v>
      </c>
      <c r="E63" s="2">
        <v>16229373.33057028</v>
      </c>
      <c r="F63" s="2">
        <f>E63/1.19</f>
        <v>13638128.849218724</v>
      </c>
      <c r="G63" s="2">
        <v>70</v>
      </c>
      <c r="H63" s="2">
        <v>6105882.910819579</v>
      </c>
      <c r="I63" s="2">
        <v>128</v>
      </c>
      <c r="J63" s="2">
        <v>11050557.90024552</v>
      </c>
      <c r="K63" s="2">
        <v>3453299.343826725</v>
      </c>
      <c r="L63" s="2">
        <v>1365958.391866652</v>
      </c>
      <c r="M63" s="2">
        <v>9311869.001814751</v>
      </c>
      <c r="N63" s="3">
        <v>2</v>
      </c>
      <c r="O63" s="3">
        <v>3</v>
      </c>
      <c r="P63" s="2">
        <v>255040.296346</v>
      </c>
      <c r="Q63" s="2">
        <v>660148.6216101351</v>
      </c>
      <c r="R63" s="2">
        <v>289818.518575</v>
      </c>
      <c r="S63" s="2">
        <v>324596.740804</v>
      </c>
      <c r="T63" s="2">
        <v>3880669.96371925</v>
      </c>
      <c r="U63" s="2">
        <f>M63+P63+Q63+R63+S63+T63</f>
        <v>14722143.142869135</v>
      </c>
      <c r="V63" s="2">
        <f>F63-K63-L63-U63</f>
        <v>-5903272.029343788</v>
      </c>
      <c r="W63" s="2">
        <v>165601.3642975459</v>
      </c>
      <c r="X63" s="2">
        <v>222052.3073161234</v>
      </c>
      <c r="Y63" s="2">
        <f>W63+X63</f>
        <v>387653.6716136693</v>
      </c>
      <c r="Z63" s="2">
        <v>17230258.58609497</v>
      </c>
      <c r="AA63" s="2">
        <v>0</v>
      </c>
      <c r="AB63" s="2">
        <v>0</v>
      </c>
      <c r="AC63" s="2">
        <v>0</v>
      </c>
      <c r="AD63" s="2">
        <v>327497.4978246711</v>
      </c>
      <c r="AE63" s="2">
        <v>1146241.242386349</v>
      </c>
      <c r="AF63" s="2">
        <f>F63-H63-L63-U63-AA63-AC63-AD63</f>
        <v>-8883353.094161313</v>
      </c>
      <c r="AG63" s="2">
        <f>F63-H63-L63-U63-AA63-AB63-AD63-Y63</f>
        <v>-9271006.765774982</v>
      </c>
      <c r="AH63" s="2">
        <f>AH62+AG63</f>
        <v>221378238.00205177</v>
      </c>
      <c r="AI63" s="2">
        <v>46543768.04344841</v>
      </c>
      <c r="AJ63" s="2">
        <f>AH63-AI63</f>
        <v>174834469.95860335</v>
      </c>
      <c r="AK63" s="3">
        <v>0.25</v>
      </c>
    </row>
    <row r="64" spans="1:37">
      <c r="A64" s="2">
        <v>63</v>
      </c>
      <c r="B64" s="2">
        <v>2032</v>
      </c>
      <c r="C64" s="2">
        <v>54</v>
      </c>
      <c r="D64" s="2">
        <v>405734.333264257</v>
      </c>
      <c r="E64" s="2">
        <v>21909653.99626988</v>
      </c>
      <c r="F64" s="2">
        <f>E64/1.19</f>
        <v>18411473.946445275</v>
      </c>
      <c r="G64" s="2">
        <v>80</v>
      </c>
      <c r="H64" s="2">
        <v>6978151.898079519</v>
      </c>
      <c r="I64" s="2">
        <v>154</v>
      </c>
      <c r="J64" s="2">
        <v>13348179.36991373</v>
      </c>
      <c r="K64" s="2">
        <v>4680530.428411309</v>
      </c>
      <c r="L64" s="2">
        <v>1845529.934159599</v>
      </c>
      <c r="M64" s="2">
        <v>9311869.001814751</v>
      </c>
      <c r="N64" s="3">
        <v>2</v>
      </c>
      <c r="O64" s="3">
        <v>3</v>
      </c>
      <c r="P64" s="2">
        <v>255040.296346</v>
      </c>
      <c r="Q64" s="2">
        <v>660148.6216101351</v>
      </c>
      <c r="R64" s="2">
        <v>289818.518575</v>
      </c>
      <c r="S64" s="2">
        <v>324596.740804</v>
      </c>
      <c r="T64" s="2">
        <v>3880669.96371925</v>
      </c>
      <c r="U64" s="2">
        <f>M64+P64+Q64+R64+S64+T64</f>
        <v>14722143.142869135</v>
      </c>
      <c r="V64" s="2">
        <f>F64-K64-L64-U64</f>
        <v>-2836729.558994768</v>
      </c>
      <c r="W64" s="2">
        <v>163494.3559327768</v>
      </c>
      <c r="X64" s="2">
        <v>224159.3156808925</v>
      </c>
      <c r="Y64" s="2">
        <f>W64+X64</f>
        <v>387653.6716136693</v>
      </c>
      <c r="Z64" s="2">
        <v>17006099.27041408</v>
      </c>
      <c r="AA64" s="2">
        <v>0</v>
      </c>
      <c r="AB64" s="2">
        <v>0</v>
      </c>
      <c r="AC64" s="2">
        <v>0</v>
      </c>
      <c r="AD64" s="2">
        <v>163748.7489123358</v>
      </c>
      <c r="AE64" s="2">
        <v>1309989.991298685</v>
      </c>
      <c r="AF64" s="2">
        <f>F64-H64-L64-U64-AA64-AC64-AD64</f>
        <v>-5298099.777575314</v>
      </c>
      <c r="AG64" s="2">
        <f>F64-H64-L64-U64-AA64-AB64-AD64-Y64</f>
        <v>-5685753.449188983</v>
      </c>
      <c r="AH64" s="2">
        <f>AH63+AG64</f>
        <v>215692484.5528628</v>
      </c>
      <c r="AI64" s="2">
        <v>46543768.04344841</v>
      </c>
      <c r="AJ64" s="2">
        <f>AH64-AI64</f>
        <v>169148716.50941437</v>
      </c>
      <c r="AK64" s="3">
        <v>0.25</v>
      </c>
    </row>
    <row r="65" spans="1:37">
      <c r="A65" s="2">
        <v>64</v>
      </c>
      <c r="B65" s="2">
        <v>2032</v>
      </c>
      <c r="C65" s="2">
        <v>67</v>
      </c>
      <c r="D65" s="2">
        <v>405734.333264257</v>
      </c>
      <c r="E65" s="2">
        <v>27184200.32870522</v>
      </c>
      <c r="F65" s="2">
        <f>E65/1.19</f>
        <v>22843865.82244136</v>
      </c>
      <c r="G65" s="2">
        <v>90</v>
      </c>
      <c r="H65" s="2">
        <v>7850420.885339458</v>
      </c>
      <c r="I65" s="2">
        <v>177</v>
      </c>
      <c r="J65" s="2">
        <v>15377673.13598284</v>
      </c>
      <c r="K65" s="2">
        <v>5820927.119270343</v>
      </c>
      <c r="L65" s="2">
        <v>2290912.363845489</v>
      </c>
      <c r="M65" s="2">
        <v>9311869.001814751</v>
      </c>
      <c r="N65" s="3">
        <v>2</v>
      </c>
      <c r="O65" s="3">
        <v>3</v>
      </c>
      <c r="P65" s="2">
        <v>255040.296346</v>
      </c>
      <c r="Q65" s="2">
        <v>660148.6216101351</v>
      </c>
      <c r="R65" s="2">
        <v>289818.518575</v>
      </c>
      <c r="S65" s="2">
        <v>324596.740804</v>
      </c>
      <c r="T65" s="2">
        <v>3880669.96371925</v>
      </c>
      <c r="U65" s="2">
        <f>M65+P65+Q65+R65+S65+T65</f>
        <v>14722143.142869135</v>
      </c>
      <c r="V65" s="2">
        <f>F65-K65-L65-U65</f>
        <v>9883.19645639509</v>
      </c>
      <c r="W65" s="2">
        <v>161367.354601923</v>
      </c>
      <c r="X65" s="2">
        <v>226286.3170117463</v>
      </c>
      <c r="Y65" s="2">
        <f>W65+X65</f>
        <v>387653.6716136693</v>
      </c>
      <c r="Z65" s="2">
        <v>16779812.95340233</v>
      </c>
      <c r="AA65" s="2">
        <v>0</v>
      </c>
      <c r="AB65" s="2">
        <v>0</v>
      </c>
      <c r="AC65" s="2">
        <v>0</v>
      </c>
      <c r="AD65" s="2">
        <v>163748.7489123354</v>
      </c>
      <c r="AE65" s="2">
        <v>1473738.74021102</v>
      </c>
      <c r="AF65" s="2">
        <f>F65-H65-L65-U65-AA65-AC65-AD65</f>
        <v>-2183359.3185250545</v>
      </c>
      <c r="AG65" s="2">
        <f>F65-H65-L65-U65-AA65-AB65-AD65-Y65</f>
        <v>-2571012.990138724</v>
      </c>
      <c r="AH65" s="2">
        <f>AH64+AG65</f>
        <v>213121471.56272408</v>
      </c>
      <c r="AI65" s="2">
        <v>46543768.04344841</v>
      </c>
      <c r="AJ65" s="2">
        <f>AH65-AI65</f>
        <v>166577703.51927567</v>
      </c>
      <c r="AK65" s="3">
        <v>0.25</v>
      </c>
    </row>
    <row r="66" spans="1:37">
      <c r="A66" s="2">
        <v>65</v>
      </c>
      <c r="B66" s="2">
        <v>2032</v>
      </c>
      <c r="C66" s="2">
        <v>80</v>
      </c>
      <c r="D66" s="2">
        <v>405734.333264257</v>
      </c>
      <c r="E66" s="2">
        <v>32458746.66114056</v>
      </c>
      <c r="F66" s="2">
        <f>E66/1.19</f>
        <v>27276257.69843745</v>
      </c>
      <c r="G66" s="2">
        <v>110</v>
      </c>
      <c r="H66" s="2">
        <v>9594958.859859338</v>
      </c>
      <c r="I66" s="2">
        <v>207</v>
      </c>
      <c r="J66" s="2">
        <v>18011619.59281997</v>
      </c>
      <c r="K66" s="2">
        <v>6961012.40302221</v>
      </c>
      <c r="L66" s="2">
        <v>2736269.880962805</v>
      </c>
      <c r="M66" s="2">
        <v>9311869.001814751</v>
      </c>
      <c r="N66" s="3">
        <v>2</v>
      </c>
      <c r="O66" s="3">
        <v>3</v>
      </c>
      <c r="P66" s="2">
        <v>255040.296346</v>
      </c>
      <c r="Q66" s="2">
        <v>660148.6216101351</v>
      </c>
      <c r="R66" s="2">
        <v>289818.518575</v>
      </c>
      <c r="S66" s="2">
        <v>324596.740804</v>
      </c>
      <c r="T66" s="2">
        <v>3880669.96371925</v>
      </c>
      <c r="U66" s="2">
        <f>M66+P66+Q66+R66+S66+T66</f>
        <v>14722143.142869135</v>
      </c>
      <c r="V66" s="2">
        <f>F66-K66-L66-U66</f>
        <v>2856832.271583298</v>
      </c>
      <c r="W66" s="2">
        <v>159220.1705958691</v>
      </c>
      <c r="X66" s="2">
        <v>228433.5010178002</v>
      </c>
      <c r="Y66" s="2">
        <f>W66+X66</f>
        <v>387653.6716136693</v>
      </c>
      <c r="Z66" s="2">
        <v>16551379.45238453</v>
      </c>
      <c r="AA66" s="2">
        <v>0</v>
      </c>
      <c r="AB66" s="2">
        <v>0</v>
      </c>
      <c r="AC66" s="2">
        <v>0</v>
      </c>
      <c r="AD66" s="2">
        <v>327497.4978246712</v>
      </c>
      <c r="AE66" s="2">
        <v>1801236.238035691</v>
      </c>
      <c r="AF66" s="2">
        <f>F66-H66-L66-U66-AA66-AC66-AD66</f>
        <v>-104611.68307849811</v>
      </c>
      <c r="AG66" s="2">
        <f>F66-H66-L66-U66-AA66-AB66-AD66-Y66</f>
        <v>-492265.3546921674</v>
      </c>
      <c r="AH66" s="2">
        <f>AH65+AG66</f>
        <v>212629206.20803192</v>
      </c>
      <c r="AI66" s="2">
        <v>46543768.04344841</v>
      </c>
      <c r="AJ66" s="2">
        <f>AH66-AI66</f>
        <v>166085438.1645835</v>
      </c>
      <c r="AK66" s="3">
        <v>0.25</v>
      </c>
    </row>
    <row r="67" spans="1:37">
      <c r="A67" s="2">
        <v>66</v>
      </c>
      <c r="B67" s="2">
        <v>2032</v>
      </c>
      <c r="C67" s="2">
        <v>94</v>
      </c>
      <c r="D67" s="2">
        <v>405734.333264257</v>
      </c>
      <c r="E67" s="2">
        <v>38139027.32684016</v>
      </c>
      <c r="F67" s="2">
        <f>E67/1.19</f>
        <v>32049602.795664005</v>
      </c>
      <c r="G67" s="2">
        <v>130</v>
      </c>
      <c r="H67" s="2">
        <v>11339496.83437922</v>
      </c>
      <c r="I67" s="2">
        <v>243</v>
      </c>
      <c r="J67" s="2">
        <v>21164158.13593295</v>
      </c>
      <c r="K67" s="2">
        <v>8186958.291266243</v>
      </c>
      <c r="L67" s="2">
        <v>3215738.607548508</v>
      </c>
      <c r="M67" s="2">
        <v>9311869.001814751</v>
      </c>
      <c r="N67" s="3">
        <v>2</v>
      </c>
      <c r="O67" s="3">
        <v>3</v>
      </c>
      <c r="P67" s="2">
        <v>255040.296346</v>
      </c>
      <c r="Q67" s="2">
        <v>660148.6216101351</v>
      </c>
      <c r="R67" s="2">
        <v>289818.518575</v>
      </c>
      <c r="S67" s="2">
        <v>324596.740804</v>
      </c>
      <c r="T67" s="2">
        <v>3880669.96371925</v>
      </c>
      <c r="U67" s="2">
        <f>M67+P67+Q67+R67+S67+T67</f>
        <v>14722143.142869135</v>
      </c>
      <c r="V67" s="2">
        <f>F67-K67-L67-U67</f>
        <v>5924762.753980117</v>
      </c>
      <c r="W67" s="2">
        <v>157052.6124053894</v>
      </c>
      <c r="X67" s="2">
        <v>230601.0592082799</v>
      </c>
      <c r="Y67" s="2">
        <f>W67+X67</f>
        <v>387653.6716136693</v>
      </c>
      <c r="Z67" s="2">
        <v>16320778.39317625</v>
      </c>
      <c r="AA67" s="2">
        <v>0</v>
      </c>
      <c r="AB67" s="2">
        <v>0</v>
      </c>
      <c r="AC67" s="2">
        <v>0</v>
      </c>
      <c r="AD67" s="2">
        <v>327497.497824671</v>
      </c>
      <c r="AE67" s="2">
        <v>2128733.735860362</v>
      </c>
      <c r="AF67" s="2">
        <f>F67-H67-L67-U67-AA67-AC67-AD67</f>
        <v>2444726.7130424716</v>
      </c>
      <c r="AG67" s="2">
        <f>F67-H67-L67-U67-AA67-AB67-AD67-Y67</f>
        <v>2057073.0414288023</v>
      </c>
      <c r="AH67" s="2">
        <f>AH66+AG67</f>
        <v>214686279.24946073</v>
      </c>
      <c r="AI67" s="2">
        <v>46543768.04344841</v>
      </c>
      <c r="AJ67" s="2">
        <f>AH67-AI67</f>
        <v>168142511.2060123</v>
      </c>
      <c r="AK67" s="3">
        <v>0.25</v>
      </c>
    </row>
    <row r="68" spans="1:37">
      <c r="A68" s="2">
        <v>67</v>
      </c>
      <c r="B68" s="2">
        <v>2032</v>
      </c>
      <c r="C68" s="2">
        <v>107</v>
      </c>
      <c r="D68" s="2">
        <v>405734.333264257</v>
      </c>
      <c r="E68" s="2">
        <v>43413573.6592755</v>
      </c>
      <c r="F68" s="2">
        <f>E68/1.19</f>
        <v>36481994.67166009</v>
      </c>
      <c r="G68" s="2">
        <v>150</v>
      </c>
      <c r="H68" s="2">
        <v>13084034.8088991</v>
      </c>
      <c r="I68" s="2">
        <v>286</v>
      </c>
      <c r="J68" s="2">
        <v>24923621.32880907</v>
      </c>
      <c r="K68" s="2">
        <v>9324571.616022974</v>
      </c>
      <c r="L68" s="2">
        <v>3660898.367946213</v>
      </c>
      <c r="M68" s="2">
        <v>9311869.001814751</v>
      </c>
      <c r="N68" s="3">
        <v>2</v>
      </c>
      <c r="O68" s="3">
        <v>3</v>
      </c>
      <c r="P68" s="2">
        <v>255040.296346</v>
      </c>
      <c r="Q68" s="2">
        <v>660148.6216101351</v>
      </c>
      <c r="R68" s="2">
        <v>289818.518575</v>
      </c>
      <c r="S68" s="2">
        <v>324596.740804</v>
      </c>
      <c r="T68" s="2">
        <v>3880669.96371925</v>
      </c>
      <c r="U68" s="2">
        <f>M68+P68+Q68+R68+S68+T68</f>
        <v>14722143.142869135</v>
      </c>
      <c r="V68" s="2">
        <f>F68-K68-L68-U68</f>
        <v>8774381.544821763</v>
      </c>
      <c r="W68" s="2">
        <v>154864.4867040665</v>
      </c>
      <c r="X68" s="2">
        <v>232789.1849096028</v>
      </c>
      <c r="Y68" s="2">
        <f>W68+X68</f>
        <v>387653.6716136693</v>
      </c>
      <c r="Z68" s="2">
        <v>16087989.20826665</v>
      </c>
      <c r="AA68" s="2">
        <v>0</v>
      </c>
      <c r="AB68" s="2">
        <v>0</v>
      </c>
      <c r="AC68" s="2">
        <v>0</v>
      </c>
      <c r="AD68" s="2">
        <v>327497.4978246712</v>
      </c>
      <c r="AE68" s="2">
        <v>2456231.233685033</v>
      </c>
      <c r="AF68" s="2">
        <f>F68-H68-L68-U68-AA68-AC68-AD68</f>
        <v>4687420.85412097</v>
      </c>
      <c r="AG68" s="2">
        <f>F68-H68-L68-U68-AA68-AB68-AD68-Y68</f>
        <v>4299767.182507301</v>
      </c>
      <c r="AH68" s="2">
        <f>AH67+AG68</f>
        <v>218986046.43196803</v>
      </c>
      <c r="AI68" s="2">
        <v>46543768.04344841</v>
      </c>
      <c r="AJ68" s="2">
        <f>AH68-AI68</f>
        <v>172442278.38851961</v>
      </c>
      <c r="AK68" s="3">
        <v>0.25</v>
      </c>
    </row>
    <row r="69" spans="1:37">
      <c r="A69" s="2">
        <v>68</v>
      </c>
      <c r="B69" s="2">
        <v>2032</v>
      </c>
      <c r="C69" s="2">
        <v>134</v>
      </c>
      <c r="D69" s="2">
        <v>405734.333264257</v>
      </c>
      <c r="E69" s="2">
        <v>54368400.65741044</v>
      </c>
      <c r="F69" s="2">
        <f>E69/1.19</f>
        <v>45687731.64488272</v>
      </c>
      <c r="G69" s="2">
        <v>170</v>
      </c>
      <c r="H69" s="2">
        <v>14828572.78341898</v>
      </c>
      <c r="I69" s="2">
        <v>322</v>
      </c>
      <c r="J69" s="2">
        <v>28070628.298547</v>
      </c>
      <c r="K69" s="2">
        <v>11681565.81368105</v>
      </c>
      <c r="L69" s="2">
        <v>4585001.653702206</v>
      </c>
      <c r="M69" s="2">
        <v>9311869.001814751</v>
      </c>
      <c r="N69" s="3">
        <v>2</v>
      </c>
      <c r="O69" s="3">
        <v>3</v>
      </c>
      <c r="P69" s="2">
        <v>255040.296346</v>
      </c>
      <c r="Q69" s="2">
        <v>660148.6216101351</v>
      </c>
      <c r="R69" s="2">
        <v>289818.518575</v>
      </c>
      <c r="S69" s="2">
        <v>324596.740804</v>
      </c>
      <c r="T69" s="2">
        <v>3880669.96371925</v>
      </c>
      <c r="U69" s="2">
        <f>M69+P69+Q69+R69+S69+T69</f>
        <v>14722143.142869135</v>
      </c>
      <c r="V69" s="2">
        <f>F69-K69-L69-U69</f>
        <v>14699021.03463033</v>
      </c>
      <c r="W69" s="2">
        <v>152655.5983310489</v>
      </c>
      <c r="X69" s="2">
        <v>234998.0732826204</v>
      </c>
      <c r="Y69" s="2">
        <f>W69+X69</f>
        <v>387653.6716136693</v>
      </c>
      <c r="Z69" s="2">
        <v>15852991.13498403</v>
      </c>
      <c r="AA69" s="2">
        <v>0</v>
      </c>
      <c r="AB69" s="2">
        <v>0</v>
      </c>
      <c r="AC69" s="2">
        <v>0</v>
      </c>
      <c r="AD69" s="2">
        <v>327497.4978246712</v>
      </c>
      <c r="AE69" s="2">
        <v>2783728.731509705</v>
      </c>
      <c r="AF69" s="2">
        <f>F69-H69-L69-U69-AA69-AC69-AD69</f>
        <v>11224516.567067735</v>
      </c>
      <c r="AG69" s="2">
        <f>F69-H69-L69-U69-AA69-AB69-AD69-Y69</f>
        <v>10836862.895454066</v>
      </c>
      <c r="AH69" s="2">
        <f>AH68+AG69</f>
        <v>229822909.3274221</v>
      </c>
      <c r="AI69" s="2">
        <v>46543768.04344841</v>
      </c>
      <c r="AJ69" s="2">
        <f>AH69-AI69</f>
        <v>183279141.2839737</v>
      </c>
      <c r="AK69" s="3">
        <v>0.25</v>
      </c>
    </row>
    <row r="70" spans="1:37">
      <c r="A70" s="2">
        <v>69</v>
      </c>
      <c r="B70" s="2">
        <v>2032</v>
      </c>
      <c r="C70" s="2">
        <v>147</v>
      </c>
      <c r="D70" s="2">
        <v>405734.333264257</v>
      </c>
      <c r="E70" s="2">
        <v>59642946.98984578</v>
      </c>
      <c r="F70" s="2">
        <f>E70/1.19</f>
        <v>50120123.520878814</v>
      </c>
      <c r="G70" s="2">
        <v>190</v>
      </c>
      <c r="H70" s="2">
        <v>16573110.75793886</v>
      </c>
      <c r="I70" s="2">
        <v>365</v>
      </c>
      <c r="J70" s="2">
        <v>31826103.03831511</v>
      </c>
      <c r="K70" s="2">
        <v>12817636.01817074</v>
      </c>
      <c r="L70" s="2">
        <v>5030037.964478549</v>
      </c>
      <c r="M70" s="2">
        <v>9311869.001814751</v>
      </c>
      <c r="N70" s="3">
        <v>2</v>
      </c>
      <c r="O70" s="3">
        <v>3</v>
      </c>
      <c r="P70" s="2">
        <v>255040.296346</v>
      </c>
      <c r="Q70" s="2">
        <v>660148.6216101351</v>
      </c>
      <c r="R70" s="2">
        <v>289818.518575</v>
      </c>
      <c r="S70" s="2">
        <v>324596.740804</v>
      </c>
      <c r="T70" s="2">
        <v>3880669.96371925</v>
      </c>
      <c r="U70" s="2">
        <f>M70+P70+Q70+R70+S70+T70</f>
        <v>14722143.142869135</v>
      </c>
      <c r="V70" s="2">
        <f>F70-K70-L70-U70</f>
        <v>17550306.395360388</v>
      </c>
      <c r="W70" s="2">
        <v>150425.7502736441</v>
      </c>
      <c r="X70" s="2">
        <v>237227.9213400252</v>
      </c>
      <c r="Y70" s="2">
        <f>W70+X70</f>
        <v>387653.6716136693</v>
      </c>
      <c r="Z70" s="2">
        <v>15615763.21364401</v>
      </c>
      <c r="AA70" s="2">
        <v>0</v>
      </c>
      <c r="AB70" s="2">
        <v>0</v>
      </c>
      <c r="AC70" s="2">
        <v>0</v>
      </c>
      <c r="AD70" s="2">
        <v>327497.4978246712</v>
      </c>
      <c r="AE70" s="2">
        <v>3111226.229334376</v>
      </c>
      <c r="AF70" s="2">
        <f>F70-H70-L70-U70-AA70-AC70-AD70</f>
        <v>13467334.157767605</v>
      </c>
      <c r="AG70" s="2">
        <f>F70-H70-L70-U70-AA70-AB70-AD70-Y70</f>
        <v>13079680.486153936</v>
      </c>
      <c r="AH70" s="2">
        <f>AH69+AG70</f>
        <v>242902589.81357604</v>
      </c>
      <c r="AI70" s="2">
        <v>46543768.04344841</v>
      </c>
      <c r="AJ70" s="2">
        <f>AH70-AI70</f>
        <v>196358821.77012762</v>
      </c>
      <c r="AK70" s="3">
        <v>0.25</v>
      </c>
    </row>
    <row r="71" spans="1:37">
      <c r="A71" s="2">
        <v>70</v>
      </c>
      <c r="B71" s="2">
        <v>2032</v>
      </c>
      <c r="C71" s="2">
        <v>174</v>
      </c>
      <c r="D71" s="2">
        <v>405734.333264257</v>
      </c>
      <c r="E71" s="2">
        <v>70597773.98798072</v>
      </c>
      <c r="F71" s="2">
        <f>E71/1.19</f>
        <v>59325860.49410145</v>
      </c>
      <c r="G71" s="2">
        <v>230</v>
      </c>
      <c r="H71" s="2">
        <v>20062186.70697862</v>
      </c>
      <c r="I71" s="2">
        <v>421</v>
      </c>
      <c r="J71" s="2">
        <v>36714235.26515741</v>
      </c>
      <c r="K71" s="2">
        <v>15174054.48013632</v>
      </c>
      <c r="L71" s="2">
        <v>5954095.191379142</v>
      </c>
      <c r="M71" s="2">
        <v>9311869.001814751</v>
      </c>
      <c r="N71" s="3">
        <v>2</v>
      </c>
      <c r="O71" s="3">
        <v>3</v>
      </c>
      <c r="P71" s="2">
        <v>255040.296346</v>
      </c>
      <c r="Q71" s="2">
        <v>660148.6216101351</v>
      </c>
      <c r="R71" s="2">
        <v>289818.518575</v>
      </c>
      <c r="S71" s="2">
        <v>324596.740804</v>
      </c>
      <c r="T71" s="2">
        <v>3880669.96371925</v>
      </c>
      <c r="U71" s="2">
        <f>M71+P71+Q71+R71+S71+T71</f>
        <v>14722143.142869135</v>
      </c>
      <c r="V71" s="2">
        <f>F71-K71-L71-U71</f>
        <v>23475567.679716848</v>
      </c>
      <c r="W71" s="2">
        <v>148174.7436497471</v>
      </c>
      <c r="X71" s="2">
        <v>239478.9279639222</v>
      </c>
      <c r="Y71" s="2">
        <f>W71+X71</f>
        <v>387653.6716136693</v>
      </c>
      <c r="Z71" s="2">
        <v>15376284.28568008</v>
      </c>
      <c r="AA71" s="2">
        <v>0</v>
      </c>
      <c r="AB71" s="2">
        <v>0</v>
      </c>
      <c r="AC71" s="2">
        <v>0</v>
      </c>
      <c r="AD71" s="2">
        <v>654994.995649342</v>
      </c>
      <c r="AE71" s="2">
        <v>3766221.224983718</v>
      </c>
      <c r="AF71" s="2">
        <f>F71-H71-L71-U71-AA71-AC71-AD71</f>
        <v>17932440.457225215</v>
      </c>
      <c r="AG71" s="2">
        <f>F71-H71-L71-U71-AA71-AB71-AD71-Y71</f>
        <v>17544786.785611544</v>
      </c>
      <c r="AH71" s="2">
        <f>AH70+AG71</f>
        <v>260447376.59918758</v>
      </c>
      <c r="AI71" s="2">
        <v>46543768.04344841</v>
      </c>
      <c r="AJ71" s="2">
        <f>AH71-AI71</f>
        <v>213903608.55573916</v>
      </c>
      <c r="AK71" s="3">
        <v>0.25</v>
      </c>
    </row>
    <row r="72" spans="1:37">
      <c r="A72" s="2">
        <v>71</v>
      </c>
      <c r="B72" s="2">
        <v>2032</v>
      </c>
      <c r="C72" s="2">
        <v>187</v>
      </c>
      <c r="D72" s="2">
        <v>405734.333264257</v>
      </c>
      <c r="E72" s="2">
        <v>75872320.32041606</v>
      </c>
      <c r="F72" s="2">
        <f>E72/1.19</f>
        <v>63758252.37009753</v>
      </c>
      <c r="G72" s="2">
        <v>30</v>
      </c>
      <c r="H72" s="2">
        <v>2616806.96177982</v>
      </c>
      <c r="I72" s="2">
        <v>264</v>
      </c>
      <c r="J72" s="2">
        <v>23023049.10845106</v>
      </c>
      <c r="K72" s="2">
        <v>16307993.11848617</v>
      </c>
      <c r="L72" s="2">
        <v>6398960.976864297</v>
      </c>
      <c r="M72" s="2">
        <v>9311869.001814751</v>
      </c>
      <c r="N72" s="3">
        <v>2</v>
      </c>
      <c r="O72" s="3">
        <v>3</v>
      </c>
      <c r="P72" s="2">
        <v>255040.296346</v>
      </c>
      <c r="Q72" s="2">
        <v>660148.6216101351</v>
      </c>
      <c r="R72" s="2">
        <v>289818.518575</v>
      </c>
      <c r="S72" s="2">
        <v>324596.740804</v>
      </c>
      <c r="T72" s="2">
        <v>3880669.96371925</v>
      </c>
      <c r="U72" s="2">
        <f>M72+P72+Q72+R72+S72+T72</f>
        <v>14722143.142869135</v>
      </c>
      <c r="V72" s="2">
        <f>F72-K72-L72-U72</f>
        <v>26329155.131877936</v>
      </c>
      <c r="W72" s="2">
        <v>145902.3776901015</v>
      </c>
      <c r="X72" s="2">
        <v>241751.2939235678</v>
      </c>
      <c r="Y72" s="2">
        <f>W72+X72</f>
        <v>387653.6716136693</v>
      </c>
      <c r="Z72" s="2">
        <v>15134532.99175652</v>
      </c>
      <c r="AA72" s="2">
        <v>0</v>
      </c>
      <c r="AB72" s="2">
        <v>0</v>
      </c>
      <c r="AC72" s="2">
        <v>0</v>
      </c>
      <c r="AD72" s="2">
        <v>-3274974.978246711</v>
      </c>
      <c r="AE72" s="2">
        <v>491246.2467370068</v>
      </c>
      <c r="AF72" s="2">
        <f>F72-H72-L72-U72-AA72-AC72-AD72</f>
        <v>43295316.266830996</v>
      </c>
      <c r="AG72" s="2">
        <f>F72-H72-L72-U72-AA72-AB72-AD72-Y72</f>
        <v>42907662.595217325</v>
      </c>
      <c r="AH72" s="2">
        <f>AH71+AG72</f>
        <v>303355039.1944049</v>
      </c>
      <c r="AI72" s="2">
        <v>46543768.04344841</v>
      </c>
      <c r="AJ72" s="2">
        <f>AH72-AI72</f>
        <v>256811271.15095648</v>
      </c>
      <c r="AK72" s="3">
        <v>0.25</v>
      </c>
    </row>
    <row r="73" spans="1:37">
      <c r="A73" s="2">
        <v>72</v>
      </c>
      <c r="B73" s="2">
        <v>2032</v>
      </c>
      <c r="C73" s="2">
        <v>228</v>
      </c>
      <c r="D73" s="2">
        <v>405734.333264257</v>
      </c>
      <c r="E73" s="2">
        <v>92507427.98425061</v>
      </c>
      <c r="F73" s="2">
        <f>E73/1.19</f>
        <v>77737334.44054674</v>
      </c>
      <c r="G73" s="2">
        <v>40</v>
      </c>
      <c r="H73" s="2">
        <v>3489075.94903976</v>
      </c>
      <c r="I73" s="2">
        <v>76</v>
      </c>
      <c r="J73" s="2">
        <v>6628031.264372701</v>
      </c>
      <c r="K73" s="2">
        <v>19884093.79311812</v>
      </c>
      <c r="L73" s="2">
        <v>7801985.836304381</v>
      </c>
      <c r="M73" s="2">
        <v>9311869.001814751</v>
      </c>
      <c r="N73" s="3">
        <v>2</v>
      </c>
      <c r="O73" s="3">
        <v>3</v>
      </c>
      <c r="P73" s="2">
        <v>255040.296346</v>
      </c>
      <c r="Q73" s="2">
        <v>660148.6216101351</v>
      </c>
      <c r="R73" s="2">
        <v>289818.518575</v>
      </c>
      <c r="S73" s="2">
        <v>324596.740804</v>
      </c>
      <c r="T73" s="2">
        <v>3880669.96371925</v>
      </c>
      <c r="U73" s="2">
        <f>M73+P73+Q73+R73+S73+T73</f>
        <v>14722143.142869135</v>
      </c>
      <c r="V73" s="2">
        <f>F73-K73-L73-U73</f>
        <v>35329111.6682551</v>
      </c>
      <c r="W73" s="2">
        <v>143608.4497203932</v>
      </c>
      <c r="X73" s="2">
        <v>244045.2218932761</v>
      </c>
      <c r="Y73" s="2">
        <f>W73+X73</f>
        <v>387653.6716136693</v>
      </c>
      <c r="Z73" s="2">
        <v>14890487.76986324</v>
      </c>
      <c r="AA73" s="2">
        <v>0</v>
      </c>
      <c r="AB73" s="2">
        <v>28827628.56492881</v>
      </c>
      <c r="AC73" s="2">
        <v>29295142.52288498</v>
      </c>
      <c r="AD73" s="2">
        <v>163748.7489123355</v>
      </c>
      <c r="AE73" s="2">
        <v>654994.9956493423</v>
      </c>
      <c r="AF73" s="2">
        <f>F73-H73-L73-U73-AA73-AC73-AD73</f>
        <v>22265238.240536146</v>
      </c>
      <c r="AG73" s="2">
        <f>F73-H73-L73-U73-AA73-AB73-AD73-Y73</f>
        <v>22345098.52687864</v>
      </c>
      <c r="AH73" s="2">
        <f>AH72+AG73</f>
        <v>325700137.72128356</v>
      </c>
      <c r="AI73" s="2">
        <v>46543768.04344841</v>
      </c>
      <c r="AJ73" s="2">
        <f>AH73-AI73</f>
        <v>279156369.67783517</v>
      </c>
      <c r="AK73" s="3">
        <v>0.25</v>
      </c>
    </row>
    <row r="74" spans="1:37">
      <c r="A74" s="2">
        <v>73</v>
      </c>
      <c r="B74" s="2">
        <v>2033</v>
      </c>
      <c r="C74" s="2">
        <v>28</v>
      </c>
      <c r="D74" s="2">
        <v>417906.3632621848</v>
      </c>
      <c r="E74" s="2">
        <v>11701378.17134117</v>
      </c>
      <c r="F74" s="2">
        <f>E74/1.19</f>
        <v>9833090.9002867</v>
      </c>
      <c r="G74" s="2">
        <v>50</v>
      </c>
      <c r="H74" s="2">
        <v>4492185.28438869</v>
      </c>
      <c r="I74" s="2">
        <v>98</v>
      </c>
      <c r="J74" s="2">
        <v>8649057.315703304</v>
      </c>
      <c r="K74" s="2">
        <v>2471159.233058087</v>
      </c>
      <c r="L74" s="2">
        <v>983362.4330285777</v>
      </c>
      <c r="M74" s="2">
        <v>10195714.046987</v>
      </c>
      <c r="N74" s="3">
        <v>2</v>
      </c>
      <c r="O74" s="3">
        <v>3.5</v>
      </c>
      <c r="P74" s="2">
        <v>274632.02820167</v>
      </c>
      <c r="Q74" s="2">
        <v>781149.0123892719</v>
      </c>
      <c r="R74" s="2">
        <v>298513.07413225</v>
      </c>
      <c r="S74" s="2">
        <v>334334.64302812</v>
      </c>
      <c r="T74" s="2">
        <v>4197093.822299436</v>
      </c>
      <c r="U74" s="2">
        <f>M74+P74+Q74+R74+S74+T74</f>
        <v>16081436.627037747</v>
      </c>
      <c r="V74" s="2">
        <f>F74-K74-L74-U74</f>
        <v>-9702867.39283771</v>
      </c>
      <c r="W74" s="2">
        <v>141292.7551431736</v>
      </c>
      <c r="X74" s="2">
        <v>246360.9164704958</v>
      </c>
      <c r="Y74" s="2">
        <f>W74+X74</f>
        <v>387653.6716136693</v>
      </c>
      <c r="Z74" s="2">
        <v>14644126.85339274</v>
      </c>
      <c r="AA74" s="2">
        <v>1791078.4447935</v>
      </c>
      <c r="AB74" s="2">
        <v>0</v>
      </c>
      <c r="AC74" s="2">
        <v>0</v>
      </c>
      <c r="AD74" s="2">
        <v>188311.0612491859</v>
      </c>
      <c r="AE74" s="2">
        <v>843306.0568985282</v>
      </c>
      <c r="AF74" s="2">
        <f>F74-H74-L74-U74-AA74-AC74-AD74</f>
        <v>-13703282.950211</v>
      </c>
      <c r="AG74" s="2">
        <f>F74-H74-L74-U74-AA74-AB74-AD74-Y74</f>
        <v>-14090936.621824669</v>
      </c>
      <c r="AH74" s="2">
        <f>AH73+AG74</f>
        <v>311609201.0994589</v>
      </c>
      <c r="AI74" s="2">
        <v>50621648.49595425</v>
      </c>
      <c r="AJ74" s="2">
        <f>AH74-AI74</f>
        <v>260987552.60350463</v>
      </c>
      <c r="AK74" s="3">
        <v>0.25</v>
      </c>
    </row>
    <row r="75" spans="1:37">
      <c r="A75" s="2">
        <v>74</v>
      </c>
      <c r="B75" s="2">
        <v>2033</v>
      </c>
      <c r="C75" s="2">
        <v>42</v>
      </c>
      <c r="D75" s="2">
        <v>417906.3632621848</v>
      </c>
      <c r="E75" s="2">
        <v>17552067.25701176</v>
      </c>
      <c r="F75" s="2">
        <f>E75/1.19</f>
        <v>14749636.35043005</v>
      </c>
      <c r="G75" s="2">
        <v>70</v>
      </c>
      <c r="H75" s="2">
        <v>6289059.398144167</v>
      </c>
      <c r="I75" s="2">
        <v>126</v>
      </c>
      <c r="J75" s="2">
        <v>11203587.5353856</v>
      </c>
      <c r="K75" s="2">
        <v>3734529.178461868</v>
      </c>
      <c r="L75" s="2">
        <v>1477266.875852846</v>
      </c>
      <c r="M75" s="2">
        <v>10195714.046987</v>
      </c>
      <c r="N75" s="3">
        <v>2</v>
      </c>
      <c r="O75" s="3">
        <v>3.5</v>
      </c>
      <c r="P75" s="2">
        <v>274632.02820167</v>
      </c>
      <c r="Q75" s="2">
        <v>781149.0123892719</v>
      </c>
      <c r="R75" s="2">
        <v>298513.07413225</v>
      </c>
      <c r="S75" s="2">
        <v>334334.64302812</v>
      </c>
      <c r="T75" s="2">
        <v>4197093.822299436</v>
      </c>
      <c r="U75" s="2">
        <f>M75+P75+Q75+R75+S75+T75</f>
        <v>16081436.627037747</v>
      </c>
      <c r="V75" s="2">
        <f>F75-K75-L75-U75</f>
        <v>-6543596.33092241</v>
      </c>
      <c r="W75" s="2">
        <v>138955.0874196109</v>
      </c>
      <c r="X75" s="2">
        <v>248698.5841940584</v>
      </c>
      <c r="Y75" s="2">
        <f>W75+X75</f>
        <v>387653.6716136693</v>
      </c>
      <c r="Z75" s="2">
        <v>14395428.26919869</v>
      </c>
      <c r="AA75" s="2">
        <v>0</v>
      </c>
      <c r="AB75" s="2">
        <v>0</v>
      </c>
      <c r="AC75" s="2">
        <v>0</v>
      </c>
      <c r="AD75" s="2">
        <v>337322.4227594114</v>
      </c>
      <c r="AE75" s="2">
        <v>1180628.47965794</v>
      </c>
      <c r="AF75" s="2">
        <f>F75-H75-L75-U75-AA75-AC75-AD75</f>
        <v>-9435448.97336412</v>
      </c>
      <c r="AG75" s="2">
        <f>F75-H75-L75-U75-AA75-AB75-AD75-Y75</f>
        <v>-9823102.64497779</v>
      </c>
      <c r="AH75" s="2">
        <f>AH74+AG75</f>
        <v>301786098.45448107</v>
      </c>
      <c r="AI75" s="2">
        <v>50621648.49595425</v>
      </c>
      <c r="AJ75" s="2">
        <f>AH75-AI75</f>
        <v>251164449.95852682</v>
      </c>
      <c r="AK75" s="3">
        <v>0.25</v>
      </c>
    </row>
    <row r="76" spans="1:37">
      <c r="A76" s="2">
        <v>75</v>
      </c>
      <c r="B76" s="2">
        <v>2033</v>
      </c>
      <c r="C76" s="2">
        <v>56</v>
      </c>
      <c r="D76" s="2">
        <v>417906.3632621848</v>
      </c>
      <c r="E76" s="2">
        <v>23402756.34268235</v>
      </c>
      <c r="F76" s="2">
        <f>E76/1.19</f>
        <v>19666181.8005734</v>
      </c>
      <c r="G76" s="2">
        <v>90</v>
      </c>
      <c r="H76" s="2">
        <v>8085933.511899642</v>
      </c>
      <c r="I76" s="2">
        <v>160</v>
      </c>
      <c r="J76" s="2">
        <v>14288534.10910018</v>
      </c>
      <c r="K76" s="2">
        <v>5000986.938185063</v>
      </c>
      <c r="L76" s="2">
        <v>1971418.343822667</v>
      </c>
      <c r="M76" s="2">
        <v>10195714.046987</v>
      </c>
      <c r="N76" s="3">
        <v>2</v>
      </c>
      <c r="O76" s="3">
        <v>3.5</v>
      </c>
      <c r="P76" s="2">
        <v>274632.02820167</v>
      </c>
      <c r="Q76" s="2">
        <v>781149.0123892719</v>
      </c>
      <c r="R76" s="2">
        <v>298513.07413225</v>
      </c>
      <c r="S76" s="2">
        <v>334334.64302812</v>
      </c>
      <c r="T76" s="2">
        <v>4197093.822299436</v>
      </c>
      <c r="U76" s="2">
        <f>M76+P76+Q76+R76+S76+T76</f>
        <v>16081436.627037747</v>
      </c>
      <c r="V76" s="2">
        <f>F76-K76-L76-U76</f>
        <v>-3387660.1084720753</v>
      </c>
      <c r="W76" s="2">
        <v>136595.2380510695</v>
      </c>
      <c r="X76" s="2">
        <v>251058.4335625998</v>
      </c>
      <c r="Y76" s="2">
        <f>W76+X76</f>
        <v>387653.6716136693</v>
      </c>
      <c r="Z76" s="2">
        <v>14144369.83563609</v>
      </c>
      <c r="AA76" s="2">
        <v>0</v>
      </c>
      <c r="AB76" s="2">
        <v>0</v>
      </c>
      <c r="AC76" s="2">
        <v>0</v>
      </c>
      <c r="AD76" s="2">
        <v>337322.4227594109</v>
      </c>
      <c r="AE76" s="2">
        <v>1517950.902417351</v>
      </c>
      <c r="AF76" s="2">
        <f>F76-H76-L76-U76-AA76-AC76-AD76</f>
        <v>-6809929.104946067</v>
      </c>
      <c r="AG76" s="2">
        <f>F76-H76-L76-U76-AA76-AB76-AD76-Y76</f>
        <v>-7197582.776559736</v>
      </c>
      <c r="AH76" s="2">
        <f>AH75+AG76</f>
        <v>294588515.67792135</v>
      </c>
      <c r="AI76" s="2">
        <v>50621648.49595425</v>
      </c>
      <c r="AJ76" s="2">
        <f>AH76-AI76</f>
        <v>243966867.1819671</v>
      </c>
      <c r="AK76" s="3">
        <v>0.25</v>
      </c>
    </row>
    <row r="77" spans="1:37">
      <c r="A77" s="2">
        <v>76</v>
      </c>
      <c r="B77" s="2">
        <v>2033</v>
      </c>
      <c r="C77" s="2">
        <v>70</v>
      </c>
      <c r="D77" s="2">
        <v>417906.3632621848</v>
      </c>
      <c r="E77" s="2">
        <v>29253445.42835293</v>
      </c>
      <c r="F77" s="2">
        <f>E77/1.19</f>
        <v>24582727.250716753</v>
      </c>
      <c r="G77" s="2">
        <v>100</v>
      </c>
      <c r="H77" s="2">
        <v>8984370.568777381</v>
      </c>
      <c r="I77" s="2">
        <v>190</v>
      </c>
      <c r="J77" s="2">
        <v>17007122.64921822</v>
      </c>
      <c r="K77" s="2">
        <v>6265782.028659344</v>
      </c>
      <c r="L77" s="2">
        <v>2465436.798252574</v>
      </c>
      <c r="M77" s="2">
        <v>10195714.046987</v>
      </c>
      <c r="N77" s="3">
        <v>2</v>
      </c>
      <c r="O77" s="3">
        <v>3.5</v>
      </c>
      <c r="P77" s="2">
        <v>274632.02820167</v>
      </c>
      <c r="Q77" s="2">
        <v>781149.0123892719</v>
      </c>
      <c r="R77" s="2">
        <v>298513.07413225</v>
      </c>
      <c r="S77" s="2">
        <v>334334.64302812</v>
      </c>
      <c r="T77" s="2">
        <v>4197093.822299436</v>
      </c>
      <c r="U77" s="2">
        <f>M77+P77+Q77+R77+S77+T77</f>
        <v>16081436.627037747</v>
      </c>
      <c r="V77" s="2">
        <f>F77-K77-L77-U77</f>
        <v>-229928.20323291235</v>
      </c>
      <c r="W77" s="2">
        <v>134212.9965605132</v>
      </c>
      <c r="X77" s="2">
        <v>253440.6750531561</v>
      </c>
      <c r="Y77" s="2">
        <f>W77+X77</f>
        <v>387653.6716136693</v>
      </c>
      <c r="Z77" s="2">
        <v>13890929.16058293</v>
      </c>
      <c r="AA77" s="2">
        <v>0</v>
      </c>
      <c r="AB77" s="2">
        <v>0</v>
      </c>
      <c r="AC77" s="2">
        <v>0</v>
      </c>
      <c r="AD77" s="2">
        <v>168661.2113797059</v>
      </c>
      <c r="AE77" s="2">
        <v>1686612.113797056</v>
      </c>
      <c r="AF77" s="2">
        <f>F77-H77-L77-U77-AA77-AC77-AD77</f>
        <v>-3117177.954730653</v>
      </c>
      <c r="AG77" s="2">
        <f>F77-H77-L77-U77-AA77-AB77-AD77-Y77</f>
        <v>-3504831.6263443227</v>
      </c>
      <c r="AH77" s="2">
        <f>AH76+AG77</f>
        <v>291083684.05157703</v>
      </c>
      <c r="AI77" s="2">
        <v>50621648.49595425</v>
      </c>
      <c r="AJ77" s="2">
        <f>AH77-AI77</f>
        <v>240462035.5556228</v>
      </c>
      <c r="AK77" s="3">
        <v>0.25</v>
      </c>
    </row>
    <row r="78" spans="1:37">
      <c r="A78" s="2">
        <v>77</v>
      </c>
      <c r="B78" s="2">
        <v>2033</v>
      </c>
      <c r="C78" s="2">
        <v>84</v>
      </c>
      <c r="D78" s="2">
        <v>417906.3632621848</v>
      </c>
      <c r="E78" s="2">
        <v>35104134.51402352</v>
      </c>
      <c r="F78" s="2">
        <f>E78/1.19</f>
        <v>29499272.7008601</v>
      </c>
      <c r="G78" s="2">
        <v>110</v>
      </c>
      <c r="H78" s="2">
        <v>9882807.625655118</v>
      </c>
      <c r="I78" s="2">
        <v>216</v>
      </c>
      <c r="J78" s="2">
        <v>19360749.7979088</v>
      </c>
      <c r="K78" s="2">
        <v>7529180.476964534</v>
      </c>
      <c r="L78" s="2">
        <v>2959343.521308955</v>
      </c>
      <c r="M78" s="2">
        <v>10195714.046987</v>
      </c>
      <c r="N78" s="3">
        <v>2</v>
      </c>
      <c r="O78" s="3">
        <v>3.5</v>
      </c>
      <c r="P78" s="2">
        <v>274632.02820167</v>
      </c>
      <c r="Q78" s="2">
        <v>781149.0123892719</v>
      </c>
      <c r="R78" s="2">
        <v>298513.07413225</v>
      </c>
      <c r="S78" s="2">
        <v>334334.64302812</v>
      </c>
      <c r="T78" s="2">
        <v>4197093.822299436</v>
      </c>
      <c r="U78" s="2">
        <f>M78+P78+Q78+R78+S78+T78</f>
        <v>16081436.627037747</v>
      </c>
      <c r="V78" s="2">
        <f>F78-K78-L78-U78</f>
        <v>2929312.0755488668</v>
      </c>
      <c r="W78" s="2">
        <v>131808.1504737329</v>
      </c>
      <c r="X78" s="2">
        <v>255845.5211399364</v>
      </c>
      <c r="Y78" s="2">
        <f>W78+X78</f>
        <v>387653.6716136693</v>
      </c>
      <c r="Z78" s="2">
        <v>13635083.63944299</v>
      </c>
      <c r="AA78" s="2">
        <v>0</v>
      </c>
      <c r="AB78" s="2">
        <v>0</v>
      </c>
      <c r="AC78" s="2">
        <v>0</v>
      </c>
      <c r="AD78" s="2">
        <v>168661.2113797055</v>
      </c>
      <c r="AE78" s="2">
        <v>1855273.325176762</v>
      </c>
      <c r="AF78" s="2">
        <f>F78-H78-L78-U78-AA78-AC78-AD78</f>
        <v>407023.71547857625</v>
      </c>
      <c r="AG78" s="2">
        <f>F78-H78-L78-U78-AA78-AB78-AD78-Y78</f>
        <v>19370.04386490694</v>
      </c>
      <c r="AH78" s="2">
        <f>AH77+AG78</f>
        <v>291103054.09544194</v>
      </c>
      <c r="AI78" s="2">
        <v>50621648.49595425</v>
      </c>
      <c r="AJ78" s="2">
        <f>AH78-AI78</f>
        <v>240481405.5994877</v>
      </c>
      <c r="AK78" s="3">
        <v>0.25</v>
      </c>
    </row>
    <row r="79" spans="1:37">
      <c r="A79" s="2">
        <v>78</v>
      </c>
      <c r="B79" s="2">
        <v>2033</v>
      </c>
      <c r="C79" s="2">
        <v>98</v>
      </c>
      <c r="D79" s="2">
        <v>417906.3632621848</v>
      </c>
      <c r="E79" s="2">
        <v>40954823.5996941</v>
      </c>
      <c r="F79" s="2">
        <f>E79/1.19</f>
        <v>34415818.15100345</v>
      </c>
      <c r="G79" s="2">
        <v>140</v>
      </c>
      <c r="H79" s="2">
        <v>12578118.79628833</v>
      </c>
      <c r="I79" s="2">
        <v>258</v>
      </c>
      <c r="J79" s="2">
        <v>23146708.13849118</v>
      </c>
      <c r="K79" s="2">
        <v>8792160.455705952</v>
      </c>
      <c r="L79" s="2">
        <v>3453216.766800233</v>
      </c>
      <c r="M79" s="2">
        <v>10195714.046987</v>
      </c>
      <c r="N79" s="3">
        <v>2</v>
      </c>
      <c r="O79" s="3">
        <v>3.5</v>
      </c>
      <c r="P79" s="2">
        <v>274632.02820167</v>
      </c>
      <c r="Q79" s="2">
        <v>781149.0123892719</v>
      </c>
      <c r="R79" s="2">
        <v>298513.07413225</v>
      </c>
      <c r="S79" s="2">
        <v>334334.64302812</v>
      </c>
      <c r="T79" s="2">
        <v>4197093.822299436</v>
      </c>
      <c r="U79" s="2">
        <f>M79+P79+Q79+R79+S79+T79</f>
        <v>16081436.627037747</v>
      </c>
      <c r="V79" s="2">
        <f>F79-K79-L79-U79</f>
        <v>6089004.301459519</v>
      </c>
      <c r="W79" s="2">
        <v>129380.4853003956</v>
      </c>
      <c r="X79" s="2">
        <v>258273.1863132738</v>
      </c>
      <c r="Y79" s="2">
        <f>W79+X79</f>
        <v>387653.6716136693</v>
      </c>
      <c r="Z79" s="2">
        <v>13376810.45312972</v>
      </c>
      <c r="AA79" s="2">
        <v>0</v>
      </c>
      <c r="AB79" s="2">
        <v>0</v>
      </c>
      <c r="AC79" s="2">
        <v>0</v>
      </c>
      <c r="AD79" s="2">
        <v>505983.6341391173</v>
      </c>
      <c r="AE79" s="2">
        <v>2361256.959315879</v>
      </c>
      <c r="AF79" s="2">
        <f>F79-H79-L79-U79-AA79-AC79-AD79</f>
        <v>1797062.32673802</v>
      </c>
      <c r="AG79" s="2">
        <f>F79-H79-L79-U79-AA79-AB79-AD79-Y79</f>
        <v>1409408.6551243507</v>
      </c>
      <c r="AH79" s="2">
        <f>AH78+AG79</f>
        <v>292512462.7505663</v>
      </c>
      <c r="AI79" s="2">
        <v>50621648.49595425</v>
      </c>
      <c r="AJ79" s="2">
        <f>AH79-AI79</f>
        <v>241890814.25461206</v>
      </c>
      <c r="AK79" s="3">
        <v>0.25</v>
      </c>
    </row>
    <row r="80" spans="1:37">
      <c r="A80" s="2">
        <v>79</v>
      </c>
      <c r="B80" s="2">
        <v>2033</v>
      </c>
      <c r="C80" s="2">
        <v>113</v>
      </c>
      <c r="D80" s="2">
        <v>417906.3632621848</v>
      </c>
      <c r="E80" s="2">
        <v>47223419.04862688</v>
      </c>
      <c r="F80" s="2">
        <f>E80/1.19</f>
        <v>39683545.419014186</v>
      </c>
      <c r="G80" s="2">
        <v>160</v>
      </c>
      <c r="H80" s="2">
        <v>14374992.91004381</v>
      </c>
      <c r="I80" s="2">
        <v>305</v>
      </c>
      <c r="J80" s="2">
        <v>27378274.68852434</v>
      </c>
      <c r="K80" s="2">
        <v>10143426.36001066</v>
      </c>
      <c r="L80" s="2">
        <v>3982212.518278859</v>
      </c>
      <c r="M80" s="2">
        <v>10195714.046987</v>
      </c>
      <c r="N80" s="3">
        <v>2</v>
      </c>
      <c r="O80" s="3">
        <v>3.5</v>
      </c>
      <c r="P80" s="2">
        <v>274632.02820167</v>
      </c>
      <c r="Q80" s="2">
        <v>781149.0123892719</v>
      </c>
      <c r="R80" s="2">
        <v>298513.07413225</v>
      </c>
      <c r="S80" s="2">
        <v>334334.64302812</v>
      </c>
      <c r="T80" s="2">
        <v>4197093.822299436</v>
      </c>
      <c r="U80" s="2">
        <f>M80+P80+Q80+R80+S80+T80</f>
        <v>16081436.627037747</v>
      </c>
      <c r="V80" s="2">
        <f>F80-K80-L80-U80</f>
        <v>9476469.913686926</v>
      </c>
      <c r="W80" s="2">
        <v>126929.7845149139</v>
      </c>
      <c r="X80" s="2">
        <v>260723.8870987554</v>
      </c>
      <c r="Y80" s="2">
        <f>W80+X80</f>
        <v>387653.6716136693</v>
      </c>
      <c r="Z80" s="2">
        <v>13116086.56603096</v>
      </c>
      <c r="AA80" s="2">
        <v>0</v>
      </c>
      <c r="AB80" s="2">
        <v>0</v>
      </c>
      <c r="AC80" s="2">
        <v>0</v>
      </c>
      <c r="AD80" s="2">
        <v>337322.4227594109</v>
      </c>
      <c r="AE80" s="2">
        <v>2698579.38207529</v>
      </c>
      <c r="AF80" s="2">
        <f>F80-H80-L80-U80-AA80-AC80-AD80</f>
        <v>4907580.940894359</v>
      </c>
      <c r="AG80" s="2">
        <f>F80-H80-L80-U80-AA80-AB80-AD80-Y80</f>
        <v>4519927.26928069</v>
      </c>
      <c r="AH80" s="2">
        <f>AH79+AG80</f>
        <v>297032390.019847</v>
      </c>
      <c r="AI80" s="2">
        <v>50621648.49595425</v>
      </c>
      <c r="AJ80" s="2">
        <f>AH80-AI80</f>
        <v>246410741.52389273</v>
      </c>
      <c r="AK80" s="3">
        <v>0.25</v>
      </c>
    </row>
    <row r="81" spans="1:37">
      <c r="A81" s="2">
        <v>80</v>
      </c>
      <c r="B81" s="2">
        <v>2033</v>
      </c>
      <c r="C81" s="2">
        <v>141</v>
      </c>
      <c r="D81" s="2">
        <v>417906.3632621848</v>
      </c>
      <c r="E81" s="2">
        <v>58924797.21996805</v>
      </c>
      <c r="F81" s="2">
        <f>E81/1.19</f>
        <v>49516636.31930088</v>
      </c>
      <c r="G81" s="2">
        <v>180</v>
      </c>
      <c r="H81" s="2">
        <v>16171867.02379928</v>
      </c>
      <c r="I81" s="2">
        <v>344</v>
      </c>
      <c r="J81" s="2">
        <v>30889172.6784316</v>
      </c>
      <c r="K81" s="2">
        <v>12660969.03389202</v>
      </c>
      <c r="L81" s="2">
        <v>4969285.626573299</v>
      </c>
      <c r="M81" s="2">
        <v>10195714.046987</v>
      </c>
      <c r="N81" s="3">
        <v>2</v>
      </c>
      <c r="O81" s="3">
        <v>3.5</v>
      </c>
      <c r="P81" s="2">
        <v>274632.02820167</v>
      </c>
      <c r="Q81" s="2">
        <v>781149.0123892719</v>
      </c>
      <c r="R81" s="2">
        <v>298513.07413225</v>
      </c>
      <c r="S81" s="2">
        <v>334334.64302812</v>
      </c>
      <c r="T81" s="2">
        <v>4197093.822299436</v>
      </c>
      <c r="U81" s="2">
        <f>M81+P81+Q81+R81+S81+T81</f>
        <v>16081436.627037747</v>
      </c>
      <c r="V81" s="2">
        <f>F81-K81-L81-U81</f>
        <v>15804945.031797817</v>
      </c>
      <c r="W81" s="2">
        <v>124455.8295371342</v>
      </c>
      <c r="X81" s="2">
        <v>263197.8420765351</v>
      </c>
      <c r="Y81" s="2">
        <f>W81+X81</f>
        <v>387653.6716136693</v>
      </c>
      <c r="Z81" s="2">
        <v>12852888.72395443</v>
      </c>
      <c r="AA81" s="2">
        <v>0</v>
      </c>
      <c r="AB81" s="2">
        <v>0</v>
      </c>
      <c r="AC81" s="2">
        <v>0</v>
      </c>
      <c r="AD81" s="2">
        <v>337322.4227594109</v>
      </c>
      <c r="AE81" s="2">
        <v>3035901.804834701</v>
      </c>
      <c r="AF81" s="2">
        <f>F81-H81-L81-U81-AA81-AC81-AD81</f>
        <v>11956724.61913114</v>
      </c>
      <c r="AG81" s="2">
        <f>F81-H81-L81-U81-AA81-AB81-AD81-Y81</f>
        <v>11569070.947517471</v>
      </c>
      <c r="AH81" s="2">
        <f>AH80+AG81</f>
        <v>308601460.96736443</v>
      </c>
      <c r="AI81" s="2">
        <v>50621648.49595425</v>
      </c>
      <c r="AJ81" s="2">
        <f>AH81-AI81</f>
        <v>257979812.47141019</v>
      </c>
      <c r="AK81" s="3">
        <v>0.25</v>
      </c>
    </row>
    <row r="82" spans="1:37">
      <c r="A82" s="2">
        <v>81</v>
      </c>
      <c r="B82" s="2">
        <v>2033</v>
      </c>
      <c r="C82" s="2">
        <v>155</v>
      </c>
      <c r="D82" s="2">
        <v>417906.3632621848</v>
      </c>
      <c r="E82" s="2">
        <v>64775486.30563863</v>
      </c>
      <c r="F82" s="2">
        <f>E82/1.19</f>
        <v>54433181.769444235</v>
      </c>
      <c r="G82" s="2">
        <v>200</v>
      </c>
      <c r="H82" s="2">
        <v>17968741.13755476</v>
      </c>
      <c r="I82" s="2">
        <v>389</v>
      </c>
      <c r="J82" s="2">
        <v>34937000.87209319</v>
      </c>
      <c r="K82" s="2">
        <v>13920912.94389317</v>
      </c>
      <c r="L82" s="2">
        <v>5462915.986565355</v>
      </c>
      <c r="M82" s="2">
        <v>10195714.046987</v>
      </c>
      <c r="N82" s="3">
        <v>2</v>
      </c>
      <c r="O82" s="3">
        <v>3.5</v>
      </c>
      <c r="P82" s="2">
        <v>274632.02820167</v>
      </c>
      <c r="Q82" s="2">
        <v>781149.0123892719</v>
      </c>
      <c r="R82" s="2">
        <v>298513.07413225</v>
      </c>
      <c r="S82" s="2">
        <v>334334.64302812</v>
      </c>
      <c r="T82" s="2">
        <v>4197093.822299436</v>
      </c>
      <c r="U82" s="2">
        <f>M82+P82+Q82+R82+S82+T82</f>
        <v>16081436.627037747</v>
      </c>
      <c r="V82" s="2">
        <f>F82-K82-L82-U82</f>
        <v>18967916.211947963</v>
      </c>
      <c r="W82" s="2">
        <v>121958.3997128409</v>
      </c>
      <c r="X82" s="2">
        <v>265695.2719008284</v>
      </c>
      <c r="Y82" s="2">
        <f>W82+X82</f>
        <v>387653.6716136693</v>
      </c>
      <c r="Z82" s="2">
        <v>12587193.4520536</v>
      </c>
      <c r="AA82" s="2">
        <v>0</v>
      </c>
      <c r="AB82" s="2">
        <v>0</v>
      </c>
      <c r="AC82" s="2">
        <v>0</v>
      </c>
      <c r="AD82" s="2">
        <v>337322.4227594119</v>
      </c>
      <c r="AE82" s="2">
        <v>3373224.227594113</v>
      </c>
      <c r="AF82" s="2">
        <f>F82-H82-L82-U82-AA82-AC82-AD82</f>
        <v>14582765.595526963</v>
      </c>
      <c r="AG82" s="2">
        <f>F82-H82-L82-U82-AA82-AB82-AD82-Y82</f>
        <v>14195111.923913294</v>
      </c>
      <c r="AH82" s="2">
        <f>AH81+AG82</f>
        <v>322796572.89127773</v>
      </c>
      <c r="AI82" s="2">
        <v>50621648.49595425</v>
      </c>
      <c r="AJ82" s="2">
        <f>AH82-AI82</f>
        <v>272174924.39532346</v>
      </c>
      <c r="AK82" s="3">
        <v>0.25</v>
      </c>
    </row>
    <row r="83" spans="1:37">
      <c r="A83" s="2">
        <v>82</v>
      </c>
      <c r="B83" s="2">
        <v>2033</v>
      </c>
      <c r="C83" s="2">
        <v>183</v>
      </c>
      <c r="D83" s="2">
        <v>417906.3632621848</v>
      </c>
      <c r="E83" s="2">
        <v>76476864.47697981</v>
      </c>
      <c r="F83" s="2">
        <f>E83/1.19</f>
        <v>64266272.66973093</v>
      </c>
      <c r="G83" s="2">
        <v>230</v>
      </c>
      <c r="H83" s="2">
        <v>20664052.30818797</v>
      </c>
      <c r="I83" s="2">
        <v>436</v>
      </c>
      <c r="J83" s="2">
        <v>39163262.01389755</v>
      </c>
      <c r="K83" s="2">
        <v>16437791.16638361</v>
      </c>
      <c r="L83" s="2">
        <v>6449935.938748522</v>
      </c>
      <c r="M83" s="2">
        <v>10195714.046987</v>
      </c>
      <c r="N83" s="3">
        <v>2</v>
      </c>
      <c r="O83" s="3">
        <v>3.5</v>
      </c>
      <c r="P83" s="2">
        <v>274632.02820167</v>
      </c>
      <c r="Q83" s="2">
        <v>781149.0123892719</v>
      </c>
      <c r="R83" s="2">
        <v>298513.07413225</v>
      </c>
      <c r="S83" s="2">
        <v>334334.64302812</v>
      </c>
      <c r="T83" s="2">
        <v>4197093.822299436</v>
      </c>
      <c r="U83" s="2">
        <f>M83+P83+Q83+R83+S83+T83</f>
        <v>16081436.627037747</v>
      </c>
      <c r="V83" s="2">
        <f>F83-K83-L83-U83</f>
        <v>25297108.93756105</v>
      </c>
      <c r="W83" s="2">
        <v>119437.2722940762</v>
      </c>
      <c r="X83" s="2">
        <v>268216.3993195931</v>
      </c>
      <c r="Y83" s="2">
        <f>W83+X83</f>
        <v>387653.67161366926</v>
      </c>
      <c r="Z83" s="2">
        <v>12318977.05273401</v>
      </c>
      <c r="AA83" s="2">
        <v>0</v>
      </c>
      <c r="AB83" s="2">
        <v>0</v>
      </c>
      <c r="AC83" s="2">
        <v>0</v>
      </c>
      <c r="AD83" s="2">
        <v>505983.6341391159</v>
      </c>
      <c r="AE83" s="2">
        <v>3879207.861733229</v>
      </c>
      <c r="AF83" s="2">
        <f>F83-H83-L83-U83-AA83-AC83-AD83</f>
        <v>20564864.161617566</v>
      </c>
      <c r="AG83" s="2">
        <f>F83-H83-L83-U83-AA83-AB83-AD83-Y83</f>
        <v>20177210.490003895</v>
      </c>
      <c r="AH83" s="2">
        <f>AH82+AG83</f>
        <v>342973783.3812816</v>
      </c>
      <c r="AI83" s="2">
        <v>50621648.49595425</v>
      </c>
      <c r="AJ83" s="2">
        <f>AH83-AI83</f>
        <v>292352134.88532734</v>
      </c>
      <c r="AK83" s="3">
        <v>0.25</v>
      </c>
    </row>
    <row r="84" spans="1:37">
      <c r="A84" s="2">
        <v>83</v>
      </c>
      <c r="B84" s="2">
        <v>2033</v>
      </c>
      <c r="C84" s="2">
        <v>197</v>
      </c>
      <c r="D84" s="2">
        <v>417906.3632621848</v>
      </c>
      <c r="E84" s="2">
        <v>82327553.5626504</v>
      </c>
      <c r="F84" s="2">
        <f>E84/1.19</f>
        <v>69182818.11987428</v>
      </c>
      <c r="G84" s="2">
        <v>30</v>
      </c>
      <c r="H84" s="2">
        <v>2695311.170633215</v>
      </c>
      <c r="I84" s="2">
        <v>269</v>
      </c>
      <c r="J84" s="2">
        <v>24162996.1086669</v>
      </c>
      <c r="K84" s="2">
        <v>17695577.07586386</v>
      </c>
      <c r="L84" s="2">
        <v>6943393.658698907</v>
      </c>
      <c r="M84" s="2">
        <v>10195714.046987</v>
      </c>
      <c r="N84" s="3">
        <v>2</v>
      </c>
      <c r="O84" s="3">
        <v>3.5</v>
      </c>
      <c r="P84" s="2">
        <v>274632.02820167</v>
      </c>
      <c r="Q84" s="2">
        <v>781149.0123892719</v>
      </c>
      <c r="R84" s="2">
        <v>298513.07413225</v>
      </c>
      <c r="S84" s="2">
        <v>334334.64302812</v>
      </c>
      <c r="T84" s="2">
        <v>4197093.822299436</v>
      </c>
      <c r="U84" s="2">
        <f>M84+P84+Q84+R84+S84+T84</f>
        <v>16081436.627037747</v>
      </c>
      <c r="V84" s="2">
        <f>F84-K84-L84-U84</f>
        <v>28462410.758273758</v>
      </c>
      <c r="W84" s="2">
        <v>116892.2224192731</v>
      </c>
      <c r="X84" s="2">
        <v>270761.4491943962</v>
      </c>
      <c r="Y84" s="2">
        <f>W84+X84</f>
        <v>387653.6716136693</v>
      </c>
      <c r="Z84" s="2">
        <v>12048215.60353961</v>
      </c>
      <c r="AA84" s="2">
        <v>0</v>
      </c>
      <c r="AB84" s="2">
        <v>0</v>
      </c>
      <c r="AC84" s="2">
        <v>0</v>
      </c>
      <c r="AD84" s="2">
        <v>-3373224.227594112</v>
      </c>
      <c r="AE84" s="2">
        <v>505983.634139117</v>
      </c>
      <c r="AF84" s="2">
        <f>F84-H84-L84-U84-AA84-AC84-AD84</f>
        <v>46835900.89109853</v>
      </c>
      <c r="AG84" s="2">
        <f>F84-H84-L84-U84-AA84-AB84-AD84-Y84</f>
        <v>46448247.21948486</v>
      </c>
      <c r="AH84" s="2">
        <f>AH83+AG84</f>
        <v>389422030.6007665</v>
      </c>
      <c r="AI84" s="2">
        <v>50621648.49595425</v>
      </c>
      <c r="AJ84" s="2">
        <f>AH84-AI84</f>
        <v>338800382.1048122</v>
      </c>
      <c r="AK84" s="3">
        <v>0.25</v>
      </c>
    </row>
    <row r="85" spans="1:37">
      <c r="A85" s="2">
        <v>84</v>
      </c>
      <c r="B85" s="2">
        <v>2033</v>
      </c>
      <c r="C85" s="2">
        <v>239</v>
      </c>
      <c r="D85" s="2">
        <v>417906.3632621848</v>
      </c>
      <c r="E85" s="2">
        <v>99879620.81966215</v>
      </c>
      <c r="F85" s="2">
        <f>E85/1.19</f>
        <v>83932454.47030434</v>
      </c>
      <c r="G85" s="2">
        <v>50</v>
      </c>
      <c r="H85" s="2">
        <v>4492185.28438869</v>
      </c>
      <c r="I85" s="2">
        <v>80</v>
      </c>
      <c r="J85" s="2">
        <v>7186252.386973187</v>
      </c>
      <c r="K85" s="2">
        <v>21468929.00608241</v>
      </c>
      <c r="L85" s="2">
        <v>8423766.354692288</v>
      </c>
      <c r="M85" s="2">
        <v>10195714.046987</v>
      </c>
      <c r="N85" s="3">
        <v>2</v>
      </c>
      <c r="O85" s="3">
        <v>3.5</v>
      </c>
      <c r="P85" s="2">
        <v>274632.02820167</v>
      </c>
      <c r="Q85" s="2">
        <v>781149.0123892719</v>
      </c>
      <c r="R85" s="2">
        <v>298513.07413225</v>
      </c>
      <c r="S85" s="2">
        <v>334334.64302812</v>
      </c>
      <c r="T85" s="2">
        <v>4197093.822299436</v>
      </c>
      <c r="U85" s="2">
        <f>M85+P85+Q85+R85+S85+T85</f>
        <v>16081436.627037747</v>
      </c>
      <c r="V85" s="2">
        <f>F85-K85-L85-U85</f>
        <v>37958322.482491896</v>
      </c>
      <c r="W85" s="2">
        <v>114323.0230931999</v>
      </c>
      <c r="X85" s="2">
        <v>273330.6485204694</v>
      </c>
      <c r="Y85" s="2">
        <f>W85+X85</f>
        <v>387653.6716136693</v>
      </c>
      <c r="Z85" s="2">
        <v>11774884.95501914</v>
      </c>
      <c r="AA85" s="2">
        <v>0</v>
      </c>
      <c r="AB85" s="2">
        <v>30308974.2163472</v>
      </c>
      <c r="AC85" s="2">
        <v>30693034.52747718</v>
      </c>
      <c r="AD85" s="2">
        <v>337322.4227594113</v>
      </c>
      <c r="AE85" s="2">
        <v>843306.0568985282</v>
      </c>
      <c r="AF85" s="2">
        <f>F85-H85-L85-U85-AA85-AC85-AD85</f>
        <v>23904709.25394903</v>
      </c>
      <c r="AG85" s="2">
        <f>F85-H85-L85-U85-AA85-AB85-AD85-Y85</f>
        <v>23901115.893465344</v>
      </c>
      <c r="AH85" s="2">
        <f>AH84+AG85</f>
        <v>413323146.4942318</v>
      </c>
      <c r="AI85" s="2">
        <v>50621648.49595425</v>
      </c>
      <c r="AJ85" s="2">
        <f>AH85-AI85</f>
        <v>362701497.99827754</v>
      </c>
      <c r="AK85" s="3">
        <v>0.25</v>
      </c>
    </row>
    <row r="86" spans="1:37">
      <c r="A86" s="2">
        <v>85</v>
      </c>
      <c r="B86" s="2">
        <v>2034</v>
      </c>
      <c r="C86" s="2">
        <v>29</v>
      </c>
      <c r="D86" s="2">
        <v>430443.5541600503</v>
      </c>
      <c r="E86" s="2">
        <v>12482863.07064146</v>
      </c>
      <c r="F86" s="2">
        <f>E86/1.19</f>
        <v>10489800.899698706</v>
      </c>
      <c r="G86" s="2">
        <v>60</v>
      </c>
      <c r="H86" s="2">
        <v>5552341.011504422</v>
      </c>
      <c r="I86" s="2">
        <v>111</v>
      </c>
      <c r="J86" s="2">
        <v>10099884.76593582</v>
      </c>
      <c r="K86" s="2">
        <v>2638708.632541791</v>
      </c>
      <c r="L86" s="2">
        <v>1049237.896719344</v>
      </c>
      <c r="M86" s="2">
        <v>11663816.27122311</v>
      </c>
      <c r="N86" s="3">
        <v>2.5</v>
      </c>
      <c r="O86" s="3">
        <v>4</v>
      </c>
      <c r="P86" s="2">
        <v>307468.4663562176</v>
      </c>
      <c r="Q86" s="2">
        <v>889567.7668618086</v>
      </c>
      <c r="R86" s="2">
        <v>307468.4663562176</v>
      </c>
      <c r="S86" s="2">
        <v>344364.6823189636</v>
      </c>
      <c r="T86" s="2">
        <v>4538234.563417771</v>
      </c>
      <c r="U86" s="2">
        <f>M86+P86+Q86+R86+S86+T86</f>
        <v>18050920.216534093</v>
      </c>
      <c r="V86" s="2">
        <f>F86-K86-L86-U86</f>
        <v>-11249065.846096521</v>
      </c>
      <c r="W86" s="2">
        <v>111729.4451667138</v>
      </c>
      <c r="X86" s="2">
        <v>275924.2264469555</v>
      </c>
      <c r="Y86" s="2">
        <f>W86+X86</f>
        <v>387653.6716136693</v>
      </c>
      <c r="Z86" s="2">
        <v>11498960.72857219</v>
      </c>
      <c r="AA86" s="2">
        <v>0</v>
      </c>
      <c r="AB86" s="2">
        <v>0</v>
      </c>
      <c r="AC86" s="2">
        <v>0</v>
      </c>
      <c r="AD86" s="2">
        <v>199020.2294280528</v>
      </c>
      <c r="AE86" s="2">
        <v>1042326.286326581</v>
      </c>
      <c r="AF86" s="2">
        <f>F86-H86-L86-U86-AA86-AC86-AD86</f>
        <v>-14361718.454487205</v>
      </c>
      <c r="AG86" s="2">
        <f>F86-H86-L86-U86-AA86-AB86-AD86-Y86</f>
        <v>-14749372.126100874</v>
      </c>
      <c r="AH86" s="2">
        <f>AH85+AG86</f>
        <v>398573774.3681309</v>
      </c>
      <c r="AI86" s="2">
        <v>56530099.26444329</v>
      </c>
      <c r="AJ86" s="2">
        <f>AH86-AI86</f>
        <v>342043675.10368764</v>
      </c>
      <c r="AK86" s="3">
        <v>0.25</v>
      </c>
    </row>
    <row r="87" spans="1:37">
      <c r="A87" s="2">
        <v>86</v>
      </c>
      <c r="B87" s="2">
        <v>2034</v>
      </c>
      <c r="C87" s="2">
        <v>44</v>
      </c>
      <c r="D87" s="2">
        <v>430443.5541600503</v>
      </c>
      <c r="E87" s="2">
        <v>18939516.38304221</v>
      </c>
      <c r="F87" s="2">
        <f>E87/1.19</f>
        <v>15915559.985749759</v>
      </c>
      <c r="G87" s="2">
        <v>70</v>
      </c>
      <c r="H87" s="2">
        <v>6477731.180088492</v>
      </c>
      <c r="I87" s="2">
        <v>137</v>
      </c>
      <c r="J87" s="2">
        <v>12547698.25748802</v>
      </c>
      <c r="K87" s="2">
        <v>4029917.688536297</v>
      </c>
      <c r="L87" s="2">
        <v>1594055.93470718</v>
      </c>
      <c r="M87" s="2">
        <v>11663816.27122311</v>
      </c>
      <c r="N87" s="3">
        <v>2.5</v>
      </c>
      <c r="O87" s="3">
        <v>4</v>
      </c>
      <c r="P87" s="2">
        <v>307468.4663562176</v>
      </c>
      <c r="Q87" s="2">
        <v>889567.7668618086</v>
      </c>
      <c r="R87" s="2">
        <v>307468.4663562176</v>
      </c>
      <c r="S87" s="2">
        <v>344364.6823189636</v>
      </c>
      <c r="T87" s="2">
        <v>4538234.563417771</v>
      </c>
      <c r="U87" s="2">
        <f>M87+P87+Q87+R87+S87+T87</f>
        <v>18050920.216534093</v>
      </c>
      <c r="V87" s="2">
        <f>F87-K87-L87-U87</f>
        <v>-7759333.854027811</v>
      </c>
      <c r="W87" s="2">
        <v>109111.2573163237</v>
      </c>
      <c r="X87" s="2">
        <v>278542.4142973457</v>
      </c>
      <c r="Y87" s="2">
        <f>W87+X87</f>
        <v>387653.6716136694</v>
      </c>
      <c r="Z87" s="2">
        <v>11220418.31427484</v>
      </c>
      <c r="AA87" s="2">
        <v>0</v>
      </c>
      <c r="AB87" s="2">
        <v>0</v>
      </c>
      <c r="AC87" s="2">
        <v>0</v>
      </c>
      <c r="AD87" s="2">
        <v>173721.0477210967</v>
      </c>
      <c r="AE87" s="2">
        <v>1216047.334047678</v>
      </c>
      <c r="AF87" s="2">
        <f>F87-H87-L87-U87-AA87-AC87-AD87</f>
        <v>-10380868.393301103</v>
      </c>
      <c r="AG87" s="2">
        <f>F87-H87-L87-U87-AA87-AB87-AD87-Y87</f>
        <v>-10768522.064914772</v>
      </c>
      <c r="AH87" s="2">
        <f>AH86+AG87</f>
        <v>387805252.30321616</v>
      </c>
      <c r="AI87" s="2">
        <v>56530099.26444329</v>
      </c>
      <c r="AJ87" s="2">
        <f>AH87-AI87</f>
        <v>331275153.0387729</v>
      </c>
      <c r="AK87" s="3">
        <v>0.25</v>
      </c>
    </row>
    <row r="88" spans="1:37">
      <c r="A88" s="2">
        <v>87</v>
      </c>
      <c r="B88" s="2">
        <v>2034</v>
      </c>
      <c r="C88" s="2">
        <v>59</v>
      </c>
      <c r="D88" s="2">
        <v>430443.5541600503</v>
      </c>
      <c r="E88" s="2">
        <v>25396169.69544297</v>
      </c>
      <c r="F88" s="2">
        <f>E88/1.19</f>
        <v>21341319.071800817</v>
      </c>
      <c r="G88" s="2">
        <v>90</v>
      </c>
      <c r="H88" s="2">
        <v>8328511.517256632</v>
      </c>
      <c r="I88" s="2">
        <v>168</v>
      </c>
      <c r="J88" s="2">
        <v>15450234.54694758</v>
      </c>
      <c r="K88" s="2">
        <v>5425975.227797068</v>
      </c>
      <c r="L88" s="2">
        <v>2139261.851356318</v>
      </c>
      <c r="M88" s="2">
        <v>11663816.27122311</v>
      </c>
      <c r="N88" s="3">
        <v>2.5</v>
      </c>
      <c r="O88" s="3">
        <v>4</v>
      </c>
      <c r="P88" s="2">
        <v>307468.4663562176</v>
      </c>
      <c r="Q88" s="2">
        <v>889567.7668618086</v>
      </c>
      <c r="R88" s="2">
        <v>307468.4663562176</v>
      </c>
      <c r="S88" s="2">
        <v>344364.6823189636</v>
      </c>
      <c r="T88" s="2">
        <v>4538234.563417771</v>
      </c>
      <c r="U88" s="2">
        <f>M88+P88+Q88+R88+S88+T88</f>
        <v>18050920.216534093</v>
      </c>
      <c r="V88" s="2">
        <f>F88-K88-L88-U88</f>
        <v>-4274838.223886663</v>
      </c>
      <c r="W88" s="2">
        <v>106468.2260235573</v>
      </c>
      <c r="X88" s="2">
        <v>281185.445590112</v>
      </c>
      <c r="Y88" s="2">
        <f>W88+X88</f>
        <v>387653.6716136693</v>
      </c>
      <c r="Z88" s="2">
        <v>10939232.86868473</v>
      </c>
      <c r="AA88" s="2">
        <v>0</v>
      </c>
      <c r="AB88" s="2">
        <v>0</v>
      </c>
      <c r="AC88" s="2">
        <v>0</v>
      </c>
      <c r="AD88" s="2">
        <v>347442.0954421936</v>
      </c>
      <c r="AE88" s="2">
        <v>1563489.429489871</v>
      </c>
      <c r="AF88" s="2">
        <f>F88-H88-L88-U88-AA88-AC88-AD88</f>
        <v>-7524816.60878842</v>
      </c>
      <c r="AG88" s="2">
        <f>F88-H88-L88-U88-AA88-AB88-AD88-Y88</f>
        <v>-7912470.2804020895</v>
      </c>
      <c r="AH88" s="2">
        <f>AH87+AG88</f>
        <v>379892782.0228141</v>
      </c>
      <c r="AI88" s="2">
        <v>56530099.26444329</v>
      </c>
      <c r="AJ88" s="2">
        <f>AH88-AI88</f>
        <v>323362682.7583708</v>
      </c>
      <c r="AK88" s="3">
        <v>0.25</v>
      </c>
    </row>
    <row r="89" spans="1:37">
      <c r="A89" s="2">
        <v>88</v>
      </c>
      <c r="B89" s="2">
        <v>2034</v>
      </c>
      <c r="C89" s="2">
        <v>74</v>
      </c>
      <c r="D89" s="2">
        <v>430443.5541600503</v>
      </c>
      <c r="E89" s="2">
        <v>31852823.00784373</v>
      </c>
      <c r="F89" s="2">
        <f>E89/1.19</f>
        <v>26767078.15785187</v>
      </c>
      <c r="G89" s="2">
        <v>100</v>
      </c>
      <c r="H89" s="2">
        <v>9253901.685840702</v>
      </c>
      <c r="I89" s="2">
        <v>194</v>
      </c>
      <c r="J89" s="2">
        <v>17882844.88492883</v>
      </c>
      <c r="K89" s="2">
        <v>6821291.347859451</v>
      </c>
      <c r="L89" s="2">
        <v>2684408.454469585</v>
      </c>
      <c r="M89" s="2">
        <v>11663816.27122311</v>
      </c>
      <c r="N89" s="3">
        <v>2.5</v>
      </c>
      <c r="O89" s="3">
        <v>4</v>
      </c>
      <c r="P89" s="2">
        <v>307468.4663562176</v>
      </c>
      <c r="Q89" s="2">
        <v>889567.7668618086</v>
      </c>
      <c r="R89" s="2">
        <v>307468.4663562176</v>
      </c>
      <c r="S89" s="2">
        <v>344364.6823189636</v>
      </c>
      <c r="T89" s="2">
        <v>4538234.563417771</v>
      </c>
      <c r="U89" s="2">
        <f>M89+P89+Q89+R89+S89+T89</f>
        <v>18050920.216534093</v>
      </c>
      <c r="V89" s="2">
        <f>F89-K89-L89-U89</f>
        <v>-789541.8610112555</v>
      </c>
      <c r="W89" s="2">
        <v>103800.1155541343</v>
      </c>
      <c r="X89" s="2">
        <v>283853.556059535</v>
      </c>
      <c r="Y89" s="2">
        <f>W89+X89</f>
        <v>387653.67161366926</v>
      </c>
      <c r="Z89" s="2">
        <v>10655379.31262519</v>
      </c>
      <c r="AA89" s="2">
        <v>0</v>
      </c>
      <c r="AB89" s="2">
        <v>0</v>
      </c>
      <c r="AC89" s="2">
        <v>0</v>
      </c>
      <c r="AD89" s="2">
        <v>173721.0477210968</v>
      </c>
      <c r="AE89" s="2">
        <v>1737210.477210968</v>
      </c>
      <c r="AF89" s="2">
        <f>F89-H89-L89-U89-AA89-AC89-AD89</f>
        <v>-3395873.2467136024</v>
      </c>
      <c r="AG89" s="2">
        <f>F89-H89-L89-U89-AA89-AB89-AD89-Y89</f>
        <v>-3783526.918327272</v>
      </c>
      <c r="AH89" s="2">
        <f>AH88+AG89</f>
        <v>376109255.1044868</v>
      </c>
      <c r="AI89" s="2">
        <v>56530099.26444329</v>
      </c>
      <c r="AJ89" s="2">
        <f>AH89-AI89</f>
        <v>319579155.84004354</v>
      </c>
      <c r="AK89" s="3">
        <v>0.25</v>
      </c>
    </row>
    <row r="90" spans="1:37">
      <c r="A90" s="2">
        <v>89</v>
      </c>
      <c r="B90" s="2">
        <v>2034</v>
      </c>
      <c r="C90" s="2">
        <v>89</v>
      </c>
      <c r="D90" s="2">
        <v>430443.5541600503</v>
      </c>
      <c r="E90" s="2">
        <v>38309476.32024448</v>
      </c>
      <c r="F90" s="2">
        <f>E90/1.19</f>
        <v>32192837.24390292</v>
      </c>
      <c r="G90" s="2">
        <v>120</v>
      </c>
      <c r="H90" s="2">
        <v>11104682.02300884</v>
      </c>
      <c r="I90" s="2">
        <v>225</v>
      </c>
      <c r="J90" s="2">
        <v>20771317.05186617</v>
      </c>
      <c r="K90" s="2">
        <v>8216209.856071507</v>
      </c>
      <c r="L90" s="2">
        <v>3229523.248634825</v>
      </c>
      <c r="M90" s="2">
        <v>11663816.27122311</v>
      </c>
      <c r="N90" s="3">
        <v>2.5</v>
      </c>
      <c r="O90" s="3">
        <v>4</v>
      </c>
      <c r="P90" s="2">
        <v>307468.4663562176</v>
      </c>
      <c r="Q90" s="2">
        <v>889567.7668618086</v>
      </c>
      <c r="R90" s="2">
        <v>307468.4663562176</v>
      </c>
      <c r="S90" s="2">
        <v>344364.6823189636</v>
      </c>
      <c r="T90" s="2">
        <v>4538234.563417771</v>
      </c>
      <c r="U90" s="2">
        <f>M90+P90+Q90+R90+S90+T90</f>
        <v>18050920.216534093</v>
      </c>
      <c r="V90" s="2">
        <f>F90-K90-L90-U90</f>
        <v>2696183.9226624966</v>
      </c>
      <c r="W90" s="2">
        <v>101106.6879369403</v>
      </c>
      <c r="X90" s="2">
        <v>286546.983676729</v>
      </c>
      <c r="Y90" s="2">
        <f>W90+X90</f>
        <v>387653.6716136693</v>
      </c>
      <c r="Z90" s="2">
        <v>10368832.32894846</v>
      </c>
      <c r="AA90" s="2">
        <v>0</v>
      </c>
      <c r="AB90" s="2">
        <v>0</v>
      </c>
      <c r="AC90" s="2">
        <v>0</v>
      </c>
      <c r="AD90" s="2">
        <v>347442.095442194</v>
      </c>
      <c r="AE90" s="2">
        <v>2084652.572653162</v>
      </c>
      <c r="AF90" s="2">
        <f>F90-H90-L90-U90-AA90-AC90-AD90</f>
        <v>-539730.3397170375</v>
      </c>
      <c r="AG90" s="2">
        <f>F90-H90-L90-U90-AA90-AB90-AD90-Y90</f>
        <v>-927384.0113307068</v>
      </c>
      <c r="AH90" s="2">
        <f>AH89+AG90</f>
        <v>375181871.0931561</v>
      </c>
      <c r="AI90" s="2">
        <v>56530099.26444329</v>
      </c>
      <c r="AJ90" s="2">
        <f>AH90-AI90</f>
        <v>318651771.8287128</v>
      </c>
      <c r="AK90" s="3">
        <v>0.25</v>
      </c>
    </row>
    <row r="91" spans="1:37">
      <c r="A91" s="2">
        <v>90</v>
      </c>
      <c r="B91" s="2">
        <v>2034</v>
      </c>
      <c r="C91" s="2">
        <v>103</v>
      </c>
      <c r="D91" s="2">
        <v>430443.5541600503</v>
      </c>
      <c r="E91" s="2">
        <v>44335686.07848518</v>
      </c>
      <c r="F91" s="2">
        <f>E91/1.19</f>
        <v>37256879.05755058</v>
      </c>
      <c r="G91" s="2">
        <v>150</v>
      </c>
      <c r="H91" s="2">
        <v>13880852.52876105</v>
      </c>
      <c r="I91" s="2">
        <v>272</v>
      </c>
      <c r="J91" s="2">
        <v>25134373.66914828</v>
      </c>
      <c r="K91" s="2">
        <v>9517795.911478942</v>
      </c>
      <c r="L91" s="2">
        <v>3738270.025675145</v>
      </c>
      <c r="M91" s="2">
        <v>11663816.27122311</v>
      </c>
      <c r="N91" s="3">
        <v>2.5</v>
      </c>
      <c r="O91" s="3">
        <v>4</v>
      </c>
      <c r="P91" s="2">
        <v>307468.4663562176</v>
      </c>
      <c r="Q91" s="2">
        <v>889567.7668618086</v>
      </c>
      <c r="R91" s="2">
        <v>307468.4663562176</v>
      </c>
      <c r="S91" s="2">
        <v>344364.6823189636</v>
      </c>
      <c r="T91" s="2">
        <v>4538234.563417771</v>
      </c>
      <c r="U91" s="2">
        <f>M91+P91+Q91+R91+S91+T91</f>
        <v>18050920.216534093</v>
      </c>
      <c r="V91" s="2">
        <f>F91-K91-L91-U91</f>
        <v>5949892.903862398</v>
      </c>
      <c r="W91" s="2">
        <v>98387.70294280244</v>
      </c>
      <c r="X91" s="2">
        <v>289265.9686708669</v>
      </c>
      <c r="Y91" s="2">
        <f>W91+X91</f>
        <v>387653.6716136693</v>
      </c>
      <c r="Z91" s="2">
        <v>10079566.36027759</v>
      </c>
      <c r="AA91" s="2">
        <v>0</v>
      </c>
      <c r="AB91" s="2">
        <v>0</v>
      </c>
      <c r="AC91" s="2">
        <v>0</v>
      </c>
      <c r="AD91" s="2">
        <v>521163.1431632901</v>
      </c>
      <c r="AE91" s="2">
        <v>2605815.715816452</v>
      </c>
      <c r="AF91" s="2">
        <f>F91-H91-L91-U91-AA91-AC91-AD91</f>
        <v>1065673.1434170005</v>
      </c>
      <c r="AG91" s="2">
        <f>F91-H91-L91-U91-AA91-AB91-AD91-Y91</f>
        <v>678019.4718033313</v>
      </c>
      <c r="AH91" s="2">
        <f>AH90+AG91</f>
        <v>375859890.5649594</v>
      </c>
      <c r="AI91" s="2">
        <v>56530099.26444329</v>
      </c>
      <c r="AJ91" s="2">
        <f>AH91-AI91</f>
        <v>319329791.3005161</v>
      </c>
      <c r="AK91" s="3">
        <v>0.25</v>
      </c>
    </row>
    <row r="92" spans="1:37">
      <c r="A92" s="2">
        <v>91</v>
      </c>
      <c r="B92" s="2">
        <v>2034</v>
      </c>
      <c r="C92" s="2">
        <v>118</v>
      </c>
      <c r="D92" s="2">
        <v>430443.5541600503</v>
      </c>
      <c r="E92" s="2">
        <v>50792339.39088594</v>
      </c>
      <c r="F92" s="2">
        <f>E92/1.19</f>
        <v>42682638.14360163</v>
      </c>
      <c r="G92" s="2">
        <v>160</v>
      </c>
      <c r="H92" s="2">
        <v>14806242.69734512</v>
      </c>
      <c r="I92" s="2">
        <v>314</v>
      </c>
      <c r="J92" s="2">
        <v>29030910.97009011</v>
      </c>
      <c r="K92" s="2">
        <v>10909705.39640329</v>
      </c>
      <c r="L92" s="2">
        <v>4283144.097977368</v>
      </c>
      <c r="M92" s="2">
        <v>11663816.27122311</v>
      </c>
      <c r="N92" s="3">
        <v>2.5</v>
      </c>
      <c r="O92" s="3">
        <v>4</v>
      </c>
      <c r="P92" s="2">
        <v>307468.4663562176</v>
      </c>
      <c r="Q92" s="2">
        <v>889567.7668618086</v>
      </c>
      <c r="R92" s="2">
        <v>307468.4663562176</v>
      </c>
      <c r="S92" s="2">
        <v>344364.6823189636</v>
      </c>
      <c r="T92" s="2">
        <v>4538234.563417771</v>
      </c>
      <c r="U92" s="2">
        <f>M92+P92+Q92+R92+S92+T92</f>
        <v>18050920.216534093</v>
      </c>
      <c r="V92" s="2">
        <f>F92-K92-L92-U92</f>
        <v>9438868.43268688</v>
      </c>
      <c r="W92" s="2">
        <v>95642.91806306299</v>
      </c>
      <c r="X92" s="2">
        <v>292010.7535506063</v>
      </c>
      <c r="Y92" s="2">
        <f>W92+X92</f>
        <v>387653.6716136693</v>
      </c>
      <c r="Z92" s="2">
        <v>9787555.606726989</v>
      </c>
      <c r="AA92" s="2">
        <v>0</v>
      </c>
      <c r="AB92" s="2">
        <v>0</v>
      </c>
      <c r="AC92" s="2">
        <v>0</v>
      </c>
      <c r="AD92" s="2">
        <v>173721.0477210972</v>
      </c>
      <c r="AE92" s="2">
        <v>2779536.763537549</v>
      </c>
      <c r="AF92" s="2">
        <f>F92-H92-L92-U92-AA92-AC92-AD92</f>
        <v>5368610.084023951</v>
      </c>
      <c r="AG92" s="2">
        <f>F92-H92-L92-U92-AA92-AB92-AD92-Y92</f>
        <v>4980956.412410282</v>
      </c>
      <c r="AH92" s="2">
        <f>AH91+AG92</f>
        <v>380840846.97736967</v>
      </c>
      <c r="AI92" s="2">
        <v>56530099.26444329</v>
      </c>
      <c r="AJ92" s="2">
        <f>AH92-AI92</f>
        <v>324310747.7129264</v>
      </c>
      <c r="AK92" s="3">
        <v>0.25</v>
      </c>
    </row>
    <row r="93" spans="1:37">
      <c r="A93" s="2">
        <v>92</v>
      </c>
      <c r="B93" s="2">
        <v>2034</v>
      </c>
      <c r="C93" s="2">
        <v>148</v>
      </c>
      <c r="D93" s="2">
        <v>430443.5541600503</v>
      </c>
      <c r="E93" s="2">
        <v>63705646.01568745</v>
      </c>
      <c r="F93" s="2">
        <f>E93/1.19</f>
        <v>53534156.31570374</v>
      </c>
      <c r="G93" s="2">
        <v>190</v>
      </c>
      <c r="H93" s="2">
        <v>17582413.20309734</v>
      </c>
      <c r="I93" s="2">
        <v>356</v>
      </c>
      <c r="J93" s="2">
        <v>32925284.53502923</v>
      </c>
      <c r="K93" s="2">
        <v>13688039.63815822</v>
      </c>
      <c r="L93" s="2">
        <v>5372453.464334315</v>
      </c>
      <c r="M93" s="2">
        <v>11663816.27122311</v>
      </c>
      <c r="N93" s="3">
        <v>2.5</v>
      </c>
      <c r="O93" s="3">
        <v>4</v>
      </c>
      <c r="P93" s="2">
        <v>307468.4663562176</v>
      </c>
      <c r="Q93" s="2">
        <v>889567.7668618086</v>
      </c>
      <c r="R93" s="2">
        <v>307468.4663562176</v>
      </c>
      <c r="S93" s="2">
        <v>344364.6823189636</v>
      </c>
      <c r="T93" s="2">
        <v>4538234.563417771</v>
      </c>
      <c r="U93" s="2">
        <f>M93+P93+Q93+R93+S93+T93</f>
        <v>18050920.216534093</v>
      </c>
      <c r="V93" s="2">
        <f>F93-K93-L93-U93</f>
        <v>16422742.996677108</v>
      </c>
      <c r="W93" s="2">
        <v>92872.08848794973</v>
      </c>
      <c r="X93" s="2">
        <v>294781.5831257196</v>
      </c>
      <c r="Y93" s="2">
        <f>W93+X93</f>
        <v>387653.6716136693</v>
      </c>
      <c r="Z93" s="2">
        <v>9492774.023601269</v>
      </c>
      <c r="AA93" s="2">
        <v>0</v>
      </c>
      <c r="AB93" s="2">
        <v>0</v>
      </c>
      <c r="AC93" s="2">
        <v>0</v>
      </c>
      <c r="AD93" s="2">
        <v>521163.1431632903</v>
      </c>
      <c r="AE93" s="2">
        <v>3300699.90670084</v>
      </c>
      <c r="AF93" s="2">
        <f>F93-H93-L93-U93-AA93-AC93-AD93</f>
        <v>12007206.288574707</v>
      </c>
      <c r="AG93" s="2">
        <f>F93-H93-L93-U93-AA93-AB93-AD93-Y93</f>
        <v>11619552.616961038</v>
      </c>
      <c r="AH93" s="2">
        <f>AH92+AG93</f>
        <v>392460399.5943307</v>
      </c>
      <c r="AI93" s="2">
        <v>56530099.26444329</v>
      </c>
      <c r="AJ93" s="2">
        <f>AH93-AI93</f>
        <v>335930300.32988745</v>
      </c>
      <c r="AK93" s="3">
        <v>0.25</v>
      </c>
    </row>
    <row r="94" spans="1:37">
      <c r="A94" s="2">
        <v>93</v>
      </c>
      <c r="B94" s="2">
        <v>2034</v>
      </c>
      <c r="C94" s="2">
        <v>162</v>
      </c>
      <c r="D94" s="2">
        <v>430443.5541600503</v>
      </c>
      <c r="E94" s="2">
        <v>69731855.77392815</v>
      </c>
      <c r="F94" s="2">
        <f>E94/1.19</f>
        <v>58598198.12935139</v>
      </c>
      <c r="G94" s="2">
        <v>210</v>
      </c>
      <c r="H94" s="2">
        <v>19433193.54026547</v>
      </c>
      <c r="I94" s="2">
        <v>404</v>
      </c>
      <c r="J94" s="2">
        <v>37372482.58377925</v>
      </c>
      <c r="K94" s="2">
        <v>14985995.49151544</v>
      </c>
      <c r="L94" s="2">
        <v>5880909.825210618</v>
      </c>
      <c r="M94" s="2">
        <v>11663816.27122311</v>
      </c>
      <c r="N94" s="3">
        <v>2.5</v>
      </c>
      <c r="O94" s="3">
        <v>4</v>
      </c>
      <c r="P94" s="2">
        <v>307468.4663562176</v>
      </c>
      <c r="Q94" s="2">
        <v>889567.7668618086</v>
      </c>
      <c r="R94" s="2">
        <v>307468.4663562176</v>
      </c>
      <c r="S94" s="2">
        <v>344364.6823189636</v>
      </c>
      <c r="T94" s="2">
        <v>4538234.563417771</v>
      </c>
      <c r="U94" s="2">
        <f>M94+P94+Q94+R94+S94+T94</f>
        <v>18050920.216534093</v>
      </c>
      <c r="V94" s="2">
        <f>F94-K94-L94-U94</f>
        <v>19680372.59609124</v>
      </c>
      <c r="W94" s="2">
        <v>90074.96708474119</v>
      </c>
      <c r="X94" s="2">
        <v>297578.7045289282</v>
      </c>
      <c r="Y94" s="2">
        <f>W94+X94</f>
        <v>387653.6716136694</v>
      </c>
      <c r="Z94" s="2">
        <v>9195195.319072342</v>
      </c>
      <c r="AA94" s="2">
        <v>0</v>
      </c>
      <c r="AB94" s="2">
        <v>0</v>
      </c>
      <c r="AC94" s="2">
        <v>0</v>
      </c>
      <c r="AD94" s="2">
        <v>347442.0954421936</v>
      </c>
      <c r="AE94" s="2">
        <v>3648142.002143033</v>
      </c>
      <c r="AF94" s="2">
        <f>F94-H94-L94-U94-AA94-AC94-AD94</f>
        <v>14885732.451899018</v>
      </c>
      <c r="AG94" s="2">
        <f>F94-H94-L94-U94-AA94-AB94-AD94-Y94</f>
        <v>14498078.78028535</v>
      </c>
      <c r="AH94" s="2">
        <f>AH93+AG94</f>
        <v>406958478.3746161</v>
      </c>
      <c r="AI94" s="2">
        <v>56530099.26444329</v>
      </c>
      <c r="AJ94" s="2">
        <f>AH94-AI94</f>
        <v>350428379.1101728</v>
      </c>
      <c r="AK94" s="3">
        <v>0.25</v>
      </c>
    </row>
    <row r="95" spans="1:37">
      <c r="A95" s="2">
        <v>94</v>
      </c>
      <c r="B95" s="2">
        <v>2034</v>
      </c>
      <c r="C95" s="2">
        <v>192</v>
      </c>
      <c r="D95" s="2">
        <v>430443.5541600503</v>
      </c>
      <c r="E95" s="2">
        <v>82645162.39872967</v>
      </c>
      <c r="F95" s="2">
        <f>E95/1.19</f>
        <v>69449716.3014535</v>
      </c>
      <c r="G95" s="2">
        <v>250</v>
      </c>
      <c r="H95" s="2">
        <v>23134754.21460176</v>
      </c>
      <c r="I95" s="2">
        <v>462</v>
      </c>
      <c r="J95" s="2">
        <v>42743644.34381044</v>
      </c>
      <c r="K95" s="2">
        <v>17763592.45457057</v>
      </c>
      <c r="L95" s="2">
        <v>6970160.20927158</v>
      </c>
      <c r="M95" s="2">
        <v>11663816.27122311</v>
      </c>
      <c r="N95" s="3">
        <v>2.5</v>
      </c>
      <c r="O95" s="3">
        <v>4</v>
      </c>
      <c r="P95" s="2">
        <v>307468.4663562176</v>
      </c>
      <c r="Q95" s="2">
        <v>889567.7668618086</v>
      </c>
      <c r="R95" s="2">
        <v>307468.4663562176</v>
      </c>
      <c r="S95" s="2">
        <v>344364.6823189636</v>
      </c>
      <c r="T95" s="2">
        <v>4538234.563417771</v>
      </c>
      <c r="U95" s="2">
        <f>M95+P95+Q95+R95+S95+T95</f>
        <v>18050920.216534093</v>
      </c>
      <c r="V95" s="2">
        <f>F95-K95-L95-U95</f>
        <v>26665043.42107726</v>
      </c>
      <c r="W95" s="2">
        <v>87251.30437572474</v>
      </c>
      <c r="X95" s="2">
        <v>300402.3672379446</v>
      </c>
      <c r="Y95" s="2">
        <f>W95+X95</f>
        <v>387653.6716136693</v>
      </c>
      <c r="Z95" s="2">
        <v>8894792.951834397</v>
      </c>
      <c r="AA95" s="2">
        <v>0</v>
      </c>
      <c r="AB95" s="2">
        <v>0</v>
      </c>
      <c r="AC95" s="2">
        <v>0</v>
      </c>
      <c r="AD95" s="2">
        <v>694884.1908843867</v>
      </c>
      <c r="AE95" s="2">
        <v>4343026.19302742</v>
      </c>
      <c r="AF95" s="2">
        <f>F95-H95-L95-U95-AA95-AC95-AD95</f>
        <v>20598997.470161688</v>
      </c>
      <c r="AG95" s="2">
        <f>F95-H95-L95-U95-AA95-AB95-AD95-Y95</f>
        <v>20211343.798548017</v>
      </c>
      <c r="AH95" s="2">
        <f>AH94+AG95</f>
        <v>427169822.1731641</v>
      </c>
      <c r="AI95" s="2">
        <v>56530099.26444329</v>
      </c>
      <c r="AJ95" s="2">
        <f>AH95-AI95</f>
        <v>370639722.90872085</v>
      </c>
      <c r="AK95" s="3">
        <v>0.25</v>
      </c>
    </row>
    <row r="96" spans="1:37">
      <c r="A96" s="2">
        <v>95</v>
      </c>
      <c r="B96" s="2">
        <v>2034</v>
      </c>
      <c r="C96" s="2">
        <v>207</v>
      </c>
      <c r="D96" s="2">
        <v>430443.5541600503</v>
      </c>
      <c r="E96" s="2">
        <v>89101815.71113041</v>
      </c>
      <c r="F96" s="2">
        <f>E96/1.19</f>
        <v>74875475.38750455</v>
      </c>
      <c r="G96" s="2">
        <v>30</v>
      </c>
      <c r="H96" s="2">
        <v>2776170.505752211</v>
      </c>
      <c r="I96" s="2">
        <v>285</v>
      </c>
      <c r="J96" s="2">
        <v>26368185.4311491</v>
      </c>
      <c r="K96" s="2">
        <v>19151629.41841355</v>
      </c>
      <c r="L96" s="2">
        <v>7514724.479887294</v>
      </c>
      <c r="M96" s="2">
        <v>11663816.27122311</v>
      </c>
      <c r="N96" s="3">
        <v>2.5</v>
      </c>
      <c r="O96" s="3">
        <v>4</v>
      </c>
      <c r="P96" s="2">
        <v>307468.4663562176</v>
      </c>
      <c r="Q96" s="2">
        <v>889567.7668618086</v>
      </c>
      <c r="R96" s="2">
        <v>307468.4663562176</v>
      </c>
      <c r="S96" s="2">
        <v>344364.6823189636</v>
      </c>
      <c r="T96" s="2">
        <v>4538234.563417771</v>
      </c>
      <c r="U96" s="2">
        <f>M96+P96+Q96+R96+S96+T96</f>
        <v>18050920.216534093</v>
      </c>
      <c r="V96" s="2">
        <f>F96-K96-L96-U96</f>
        <v>30158201.272669613</v>
      </c>
      <c r="W96" s="2">
        <v>84400.8485159453</v>
      </c>
      <c r="X96" s="2">
        <v>303252.823097724</v>
      </c>
      <c r="Y96" s="2">
        <f>W96+X96</f>
        <v>387653.6716136693</v>
      </c>
      <c r="Z96" s="2">
        <v>8591540.128736673</v>
      </c>
      <c r="AA96" s="2">
        <v>0</v>
      </c>
      <c r="AB96" s="2">
        <v>0</v>
      </c>
      <c r="AC96" s="2">
        <v>0</v>
      </c>
      <c r="AD96" s="2">
        <v>-3821863.04986413</v>
      </c>
      <c r="AE96" s="2">
        <v>521163.1431632905</v>
      </c>
      <c r="AF96" s="2">
        <f>F96-H96-L96-U96-AA96-AC96-AD96</f>
        <v>50355523.235195085</v>
      </c>
      <c r="AG96" s="2">
        <f>F96-H96-L96-U96-AA96-AB96-AD96-Y96</f>
        <v>49967869.563581415</v>
      </c>
      <c r="AH96" s="2">
        <f>AH95+AG96</f>
        <v>477137691.73674554</v>
      </c>
      <c r="AI96" s="2">
        <v>56530099.26444329</v>
      </c>
      <c r="AJ96" s="2">
        <f>AH96-AI96</f>
        <v>420607592.47230226</v>
      </c>
      <c r="AK96" s="3">
        <v>0.25</v>
      </c>
    </row>
    <row r="97" spans="1:37">
      <c r="A97" s="2">
        <v>96</v>
      </c>
      <c r="B97" s="2">
        <v>2034</v>
      </c>
      <c r="C97" s="2">
        <v>251</v>
      </c>
      <c r="D97" s="2">
        <v>430443.5541600503</v>
      </c>
      <c r="E97" s="2">
        <v>108041332.0941726</v>
      </c>
      <c r="F97" s="2">
        <f>E97/1.19</f>
        <v>90791035.37325431</v>
      </c>
      <c r="G97" s="2">
        <v>50</v>
      </c>
      <c r="H97" s="2">
        <v>4626950.842920351</v>
      </c>
      <c r="I97" s="2">
        <v>84</v>
      </c>
      <c r="J97" s="2">
        <v>7771914.767229352</v>
      </c>
      <c r="K97" s="2">
        <v>23223221.50684009</v>
      </c>
      <c r="L97" s="2">
        <v>9112114.366585694</v>
      </c>
      <c r="M97" s="2">
        <v>11663816.27122311</v>
      </c>
      <c r="N97" s="3">
        <v>2.5</v>
      </c>
      <c r="O97" s="3">
        <v>4</v>
      </c>
      <c r="P97" s="2">
        <v>307468.4663562176</v>
      </c>
      <c r="Q97" s="2">
        <v>889567.7668618086</v>
      </c>
      <c r="R97" s="2">
        <v>307468.4663562176</v>
      </c>
      <c r="S97" s="2">
        <v>344364.6823189636</v>
      </c>
      <c r="T97" s="2">
        <v>4538234.563417771</v>
      </c>
      <c r="U97" s="2">
        <f>M97+P97+Q97+R97+S97+T97</f>
        <v>18050920.216534093</v>
      </c>
      <c r="V97" s="2">
        <f>F97-K97-L97-U97</f>
        <v>40404779.28329443</v>
      </c>
      <c r="W97" s="2">
        <v>81523.34527074326</v>
      </c>
      <c r="X97" s="2">
        <v>306130.3263429261</v>
      </c>
      <c r="Y97" s="2">
        <f>W97+X97</f>
        <v>387653.6716136693</v>
      </c>
      <c r="Z97" s="2">
        <v>8285409.802393747</v>
      </c>
      <c r="AA97" s="2">
        <v>0</v>
      </c>
      <c r="AB97" s="2">
        <v>31398818.4392511</v>
      </c>
      <c r="AC97" s="2">
        <v>31689410.66593575</v>
      </c>
      <c r="AD97" s="2">
        <v>347442.0954421935</v>
      </c>
      <c r="AE97" s="2">
        <v>868605.238605484</v>
      </c>
      <c r="AF97" s="2">
        <f>F97-H97-L97-U97-AA97-AC97-AD97</f>
        <v>26964197.185836222</v>
      </c>
      <c r="AG97" s="2">
        <f>F97-H97-L97-U97-AA97-AB97-AD97-Y97</f>
        <v>26867135.74090721</v>
      </c>
      <c r="AH97" s="2">
        <f>AH96+AG97</f>
        <v>504004827.4776527</v>
      </c>
      <c r="AI97" s="2">
        <v>56530099.26444329</v>
      </c>
      <c r="AJ97" s="2">
        <f>AH97-AI97</f>
        <v>447474728.21320945</v>
      </c>
      <c r="AK97" s="3">
        <v>0.25</v>
      </c>
    </row>
    <row r="98" spans="1:37">
      <c r="A98" s="2">
        <v>97</v>
      </c>
      <c r="B98" s="2">
        <v>2035</v>
      </c>
      <c r="C98" s="2">
        <v>31</v>
      </c>
      <c r="D98" s="2">
        <v>443356.8607848518</v>
      </c>
      <c r="E98" s="2">
        <v>13744062.68433041</v>
      </c>
      <c r="F98" s="2">
        <f>E98/1.19</f>
        <v>11549632.50784068</v>
      </c>
      <c r="G98" s="2">
        <v>60</v>
      </c>
      <c r="H98" s="2">
        <v>5718911.241849555</v>
      </c>
      <c r="I98" s="2">
        <v>113</v>
      </c>
      <c r="J98" s="2">
        <v>10586550.96545775</v>
      </c>
      <c r="K98" s="2">
        <v>2904275.043621154</v>
      </c>
      <c r="L98" s="2">
        <v>1155164.37284431</v>
      </c>
      <c r="M98" s="2">
        <v>12013730.75935981</v>
      </c>
      <c r="N98" s="3">
        <v>2.5</v>
      </c>
      <c r="O98" s="3">
        <v>4</v>
      </c>
      <c r="P98" s="2">
        <v>316692.5203469041</v>
      </c>
      <c r="Q98" s="2">
        <v>984407.0302463167</v>
      </c>
      <c r="R98" s="2">
        <v>316692.5203469041</v>
      </c>
      <c r="S98" s="2">
        <v>354695.6227885326</v>
      </c>
      <c r="T98" s="2">
        <v>4908734.065377014</v>
      </c>
      <c r="U98" s="2">
        <f>M98+P98+Q98+R98+S98+T98</f>
        <v>18894952.518465478</v>
      </c>
      <c r="V98" s="2">
        <f>F98-K98-L98-U98</f>
        <v>-11404759.427090261</v>
      </c>
      <c r="W98" s="2">
        <v>78618.53799307889</v>
      </c>
      <c r="X98" s="2">
        <v>309035.1336205904</v>
      </c>
      <c r="Y98" s="2">
        <f>W98+X98</f>
        <v>387653.6716136693</v>
      </c>
      <c r="Z98" s="2">
        <v>7976374.668773156</v>
      </c>
      <c r="AA98" s="2">
        <v>0</v>
      </c>
      <c r="AB98" s="2">
        <v>0</v>
      </c>
      <c r="AC98" s="2">
        <v>0</v>
      </c>
      <c r="AD98" s="2">
        <v>204990.8363108943</v>
      </c>
      <c r="AE98" s="2">
        <v>1073596.074916378</v>
      </c>
      <c r="AF98" s="2">
        <f>F98-H98-L98-U98-AA98-AC98-AD98</f>
        <v>-14424386.461629556</v>
      </c>
      <c r="AG98" s="2">
        <f>F98-H98-L98-U98-AA98-AB98-AD98-Y98</f>
        <v>-14812040.133243226</v>
      </c>
      <c r="AH98" s="2">
        <f>AH97+AG98</f>
        <v>489192787.3444095</v>
      </c>
      <c r="AI98" s="2">
        <v>59062196.17023744</v>
      </c>
      <c r="AJ98" s="2">
        <f>AH98-AI98</f>
        <v>430130591.1741721</v>
      </c>
      <c r="AK98" s="3">
        <v>0.25</v>
      </c>
    </row>
    <row r="99" spans="1:37">
      <c r="A99" s="2">
        <v>98</v>
      </c>
      <c r="B99" s="2">
        <v>2035</v>
      </c>
      <c r="C99" s="2">
        <v>47</v>
      </c>
      <c r="D99" s="2">
        <v>443356.8607848518</v>
      </c>
      <c r="E99" s="2">
        <v>20837772.45688804</v>
      </c>
      <c r="F99" s="2">
        <f>E99/1.19</f>
        <v>17510733.157048773</v>
      </c>
      <c r="G99" s="2">
        <v>80</v>
      </c>
      <c r="H99" s="2">
        <v>7625214.98913274</v>
      </c>
      <c r="I99" s="2">
        <v>146</v>
      </c>
      <c r="J99" s="2">
        <v>13776776.31798037</v>
      </c>
      <c r="K99" s="2">
        <v>4434989.636610121</v>
      </c>
      <c r="L99" s="2">
        <v>1753916.956724519</v>
      </c>
      <c r="M99" s="2">
        <v>12013730.75935981</v>
      </c>
      <c r="N99" s="3">
        <v>2.5</v>
      </c>
      <c r="O99" s="3">
        <v>4</v>
      </c>
      <c r="P99" s="2">
        <v>316692.5203469041</v>
      </c>
      <c r="Q99" s="2">
        <v>984407.0302463167</v>
      </c>
      <c r="R99" s="2">
        <v>316692.5203469041</v>
      </c>
      <c r="S99" s="2">
        <v>354695.6227885326</v>
      </c>
      <c r="T99" s="2">
        <v>4908734.065377014</v>
      </c>
      <c r="U99" s="2">
        <f>M99+P99+Q99+R99+S99+T99</f>
        <v>18894952.518465478</v>
      </c>
      <c r="V99" s="2">
        <f>F99-K99-L99-U99</f>
        <v>-7573125.954751344</v>
      </c>
      <c r="W99" s="2">
        <v>75686.1676006419</v>
      </c>
      <c r="X99" s="2">
        <v>311967.5040130274</v>
      </c>
      <c r="Y99" s="2">
        <f>W99+X99</f>
        <v>387653.6716136693</v>
      </c>
      <c r="Z99" s="2">
        <v>7664407.164760129</v>
      </c>
      <c r="AA99" s="2">
        <v>0</v>
      </c>
      <c r="AB99" s="2">
        <v>0</v>
      </c>
      <c r="AC99" s="2">
        <v>0</v>
      </c>
      <c r="AD99" s="2">
        <v>357865.3583054596</v>
      </c>
      <c r="AE99" s="2">
        <v>1431461.433221838</v>
      </c>
      <c r="AF99" s="2">
        <f>F99-H99-L99-U99-AA99-AC99-AD99</f>
        <v>-11121216.665579423</v>
      </c>
      <c r="AG99" s="2">
        <f>F99-H99-L99-U99-AA99-AB99-AD99-Y99</f>
        <v>-11508870.337193092</v>
      </c>
      <c r="AH99" s="2">
        <f>AH98+AG99</f>
        <v>477683917.00721645</v>
      </c>
      <c r="AI99" s="2">
        <v>59062196.17023744</v>
      </c>
      <c r="AJ99" s="2">
        <f>AH99-AI99</f>
        <v>418621720.83697903</v>
      </c>
      <c r="AK99" s="3">
        <v>0.25</v>
      </c>
    </row>
    <row r="100" spans="1:37">
      <c r="A100" s="2">
        <v>99</v>
      </c>
      <c r="B100" s="2">
        <v>2035</v>
      </c>
      <c r="C100" s="2">
        <v>62</v>
      </c>
      <c r="D100" s="2">
        <v>443356.8607848518</v>
      </c>
      <c r="E100" s="2">
        <v>27488125.36866082</v>
      </c>
      <c r="F100" s="2">
        <f>E100/1.19</f>
        <v>23099265.01568136</v>
      </c>
      <c r="G100" s="2">
        <v>90</v>
      </c>
      <c r="H100" s="2">
        <v>8578366.862774331</v>
      </c>
      <c r="I100" s="2">
        <v>174</v>
      </c>
      <c r="J100" s="2">
        <v>16482181.83665813</v>
      </c>
      <c r="K100" s="2">
        <v>5872961.344096574</v>
      </c>
      <c r="L100" s="2">
        <v>2315481.64623696</v>
      </c>
      <c r="M100" s="2">
        <v>12013730.75935981</v>
      </c>
      <c r="N100" s="3">
        <v>2.5</v>
      </c>
      <c r="O100" s="3">
        <v>4</v>
      </c>
      <c r="P100" s="2">
        <v>316692.5203469041</v>
      </c>
      <c r="Q100" s="2">
        <v>984407.0302463167</v>
      </c>
      <c r="R100" s="2">
        <v>316692.5203469041</v>
      </c>
      <c r="S100" s="2">
        <v>354695.6227885326</v>
      </c>
      <c r="T100" s="2">
        <v>4908734.065377014</v>
      </c>
      <c r="U100" s="2">
        <f>M100+P100+Q100+R100+S100+T100</f>
        <v>18894952.518465478</v>
      </c>
      <c r="V100" s="2">
        <f>F100-K100-L100-U100</f>
        <v>-3984130.493117653</v>
      </c>
      <c r="W100" s="2">
        <v>72725.97255274358</v>
      </c>
      <c r="X100" s="2">
        <v>314927.6990609257</v>
      </c>
      <c r="Y100" s="2">
        <f>W100+X100</f>
        <v>387653.6716136693</v>
      </c>
      <c r="Z100" s="2">
        <v>7349479.465699203</v>
      </c>
      <c r="AA100" s="2">
        <v>0</v>
      </c>
      <c r="AB100" s="2">
        <v>0</v>
      </c>
      <c r="AC100" s="2">
        <v>0</v>
      </c>
      <c r="AD100" s="2">
        <v>178932.6791527297</v>
      </c>
      <c r="AE100" s="2">
        <v>1610394.112374568</v>
      </c>
      <c r="AF100" s="2">
        <f>F100-H100-L100-U100-AA100-AC100-AD100</f>
        <v>-6868468.690948139</v>
      </c>
      <c r="AG100" s="2">
        <f>F100-H100-L100-U100-AA100-AB100-AD100-Y100</f>
        <v>-7256122.362561808</v>
      </c>
      <c r="AH100" s="2">
        <f>AH99+AG100</f>
        <v>470427794.64465463</v>
      </c>
      <c r="AI100" s="2">
        <v>59062196.17023744</v>
      </c>
      <c r="AJ100" s="2">
        <f>AH100-AI100</f>
        <v>411365598.4744172</v>
      </c>
      <c r="AK100" s="3">
        <v>0.25</v>
      </c>
    </row>
    <row r="101" spans="1:37">
      <c r="A101" s="2">
        <v>100</v>
      </c>
      <c r="B101" s="2">
        <v>2035</v>
      </c>
      <c r="C101" s="2">
        <v>78</v>
      </c>
      <c r="D101" s="2">
        <v>443356.8607848518</v>
      </c>
      <c r="E101" s="2">
        <v>34581835.14121845</v>
      </c>
      <c r="F101" s="2">
        <f>E101/1.19</f>
        <v>29060365.66488945</v>
      </c>
      <c r="G101" s="2">
        <v>110</v>
      </c>
      <c r="H101" s="2">
        <v>10484670.61005752</v>
      </c>
      <c r="I101" s="2">
        <v>206</v>
      </c>
      <c r="J101" s="2">
        <v>19560463.39444867</v>
      </c>
      <c r="K101" s="2">
        <v>7406389.052266973</v>
      </c>
      <c r="L101" s="2">
        <v>2914451.279331685</v>
      </c>
      <c r="M101" s="2">
        <v>12013730.75935981</v>
      </c>
      <c r="N101" s="3">
        <v>2.5</v>
      </c>
      <c r="O101" s="3">
        <v>4</v>
      </c>
      <c r="P101" s="2">
        <v>316692.5203469041</v>
      </c>
      <c r="Q101" s="2">
        <v>984407.0302463167</v>
      </c>
      <c r="R101" s="2">
        <v>316692.5203469041</v>
      </c>
      <c r="S101" s="2">
        <v>354695.6227885326</v>
      </c>
      <c r="T101" s="2">
        <v>4908734.065377014</v>
      </c>
      <c r="U101" s="2">
        <f>M101+P101+Q101+R101+S101+T101</f>
        <v>18894952.518465478</v>
      </c>
      <c r="V101" s="2">
        <f>F101-K101-L101-U101</f>
        <v>-155427.18517468497</v>
      </c>
      <c r="W101" s="2">
        <v>69737.68882698978</v>
      </c>
      <c r="X101" s="2">
        <v>317915.9827866795</v>
      </c>
      <c r="Y101" s="2">
        <f>W101+X101</f>
        <v>387653.6716136693</v>
      </c>
      <c r="Z101" s="2">
        <v>7031563.482912524</v>
      </c>
      <c r="AA101" s="2">
        <v>0</v>
      </c>
      <c r="AB101" s="2">
        <v>0</v>
      </c>
      <c r="AC101" s="2">
        <v>0</v>
      </c>
      <c r="AD101" s="2">
        <v>357865.3583054594</v>
      </c>
      <c r="AE101" s="2">
        <v>1968259.470680027</v>
      </c>
      <c r="AF101" s="2">
        <f>F101-H101-L101-U101-AA101-AC101-AD101</f>
        <v>-3591574.1012706845</v>
      </c>
      <c r="AG101" s="2">
        <f>F101-H101-L101-U101-AA101-AB101-AD101-Y101</f>
        <v>-3979227.772884354</v>
      </c>
      <c r="AH101" s="2">
        <f>AH100+AG101</f>
        <v>466448566.87177026</v>
      </c>
      <c r="AI101" s="2">
        <v>59062196.17023744</v>
      </c>
      <c r="AJ101" s="2">
        <f>AH101-AI101</f>
        <v>407386370.70153284</v>
      </c>
      <c r="AK101" s="3">
        <v>0.25</v>
      </c>
    </row>
    <row r="102" spans="1:37">
      <c r="A102" s="2">
        <v>101</v>
      </c>
      <c r="B102" s="2">
        <v>2035</v>
      </c>
      <c r="C102" s="2">
        <v>93</v>
      </c>
      <c r="D102" s="2">
        <v>443356.8607848518</v>
      </c>
      <c r="E102" s="2">
        <v>41232188.05299122</v>
      </c>
      <c r="F102" s="2">
        <f>E102/1.19</f>
        <v>34648897.523522034</v>
      </c>
      <c r="G102" s="2">
        <v>120</v>
      </c>
      <c r="H102" s="2">
        <v>11437822.48369911</v>
      </c>
      <c r="I102" s="2">
        <v>233</v>
      </c>
      <c r="J102" s="2">
        <v>22155216.5938909</v>
      </c>
      <c r="K102" s="2">
        <v>8843069.284256883</v>
      </c>
      <c r="L102" s="2">
        <v>3475912.650804401</v>
      </c>
      <c r="M102" s="2">
        <v>12013730.75935981</v>
      </c>
      <c r="N102" s="3">
        <v>2.5</v>
      </c>
      <c r="O102" s="3">
        <v>4</v>
      </c>
      <c r="P102" s="2">
        <v>316692.5203469041</v>
      </c>
      <c r="Q102" s="2">
        <v>984407.0302463167</v>
      </c>
      <c r="R102" s="2">
        <v>316692.5203469041</v>
      </c>
      <c r="S102" s="2">
        <v>354695.6227885326</v>
      </c>
      <c r="T102" s="2">
        <v>4908734.065377014</v>
      </c>
      <c r="U102" s="2">
        <f>M102+P102+Q102+R102+S102+T102</f>
        <v>18894952.518465478</v>
      </c>
      <c r="V102" s="2">
        <f>F102-K102-L102-U102</f>
        <v>3434963.069995273</v>
      </c>
      <c r="W102" s="2">
        <v>66721.0498957325</v>
      </c>
      <c r="X102" s="2">
        <v>320932.6217179368</v>
      </c>
      <c r="Y102" s="2">
        <f>W102+X102</f>
        <v>387653.6716136693</v>
      </c>
      <c r="Z102" s="2">
        <v>6710630.861194586</v>
      </c>
      <c r="AA102" s="2">
        <v>0</v>
      </c>
      <c r="AB102" s="2">
        <v>0</v>
      </c>
      <c r="AC102" s="2">
        <v>0</v>
      </c>
      <c r="AD102" s="2">
        <v>178932.6791527297</v>
      </c>
      <c r="AE102" s="2">
        <v>2147192.149832757</v>
      </c>
      <c r="AF102" s="2">
        <f>F102-H102-L102-U102-AA102-AC102-AD102</f>
        <v>661277.1914003168</v>
      </c>
      <c r="AG102" s="2">
        <f>F102-H102-L102-U102-AA102-AB102-AD102-Y102</f>
        <v>273623.51978664746</v>
      </c>
      <c r="AH102" s="2">
        <f>AH101+AG102</f>
        <v>466722190.3915569</v>
      </c>
      <c r="AI102" s="2">
        <v>59062196.17023744</v>
      </c>
      <c r="AJ102" s="2">
        <f>AH102-AI102</f>
        <v>407659994.2213195</v>
      </c>
      <c r="AK102" s="3">
        <v>0.25</v>
      </c>
    </row>
    <row r="103" spans="1:37">
      <c r="A103" s="2">
        <v>102</v>
      </c>
      <c r="B103" s="2">
        <v>2035</v>
      </c>
      <c r="C103" s="2">
        <v>109</v>
      </c>
      <c r="D103" s="2">
        <v>443356.8607848518</v>
      </c>
      <c r="E103" s="2">
        <v>48325897.82554885</v>
      </c>
      <c r="F103" s="2">
        <f>E103/1.19</f>
        <v>40609998.172730125</v>
      </c>
      <c r="G103" s="2">
        <v>160</v>
      </c>
      <c r="H103" s="2">
        <v>15250429.97826548</v>
      </c>
      <c r="I103" s="2">
        <v>284</v>
      </c>
      <c r="J103" s="2">
        <v>27031052.48471351</v>
      </c>
      <c r="K103" s="2">
        <v>10374594.08744286</v>
      </c>
      <c r="L103" s="2">
        <v>4074730.051500373</v>
      </c>
      <c r="M103" s="2">
        <v>12013730.75935981</v>
      </c>
      <c r="N103" s="3">
        <v>2.5</v>
      </c>
      <c r="O103" s="3">
        <v>4</v>
      </c>
      <c r="P103" s="2">
        <v>316692.5203469041</v>
      </c>
      <c r="Q103" s="2">
        <v>984407.0302463167</v>
      </c>
      <c r="R103" s="2">
        <v>316692.5203469041</v>
      </c>
      <c r="S103" s="2">
        <v>354695.6227885326</v>
      </c>
      <c r="T103" s="2">
        <v>4908734.065377014</v>
      </c>
      <c r="U103" s="2">
        <f>M103+P103+Q103+R103+S103+T103</f>
        <v>18894952.518465478</v>
      </c>
      <c r="V103" s="2">
        <f>F103-K103-L103-U103</f>
        <v>7265721.515321411</v>
      </c>
      <c r="W103" s="2">
        <v>63675.78670229813</v>
      </c>
      <c r="X103" s="2">
        <v>323977.8849113712</v>
      </c>
      <c r="Y103" s="2">
        <f>W103+X103</f>
        <v>387653.6716136693</v>
      </c>
      <c r="Z103" s="2">
        <v>6386652.976283215</v>
      </c>
      <c r="AA103" s="2">
        <v>0</v>
      </c>
      <c r="AB103" s="2">
        <v>0</v>
      </c>
      <c r="AC103" s="2">
        <v>0</v>
      </c>
      <c r="AD103" s="2">
        <v>715730.7166109192</v>
      </c>
      <c r="AE103" s="2">
        <v>2862922.866443676</v>
      </c>
      <c r="AF103" s="2">
        <f>F103-H103-L103-U103-AA103-AC103-AD103</f>
        <v>1674154.9078878765</v>
      </c>
      <c r="AG103" s="2">
        <f>F103-H103-L103-U103-AA103-AB103-AD103-Y103</f>
        <v>1286501.2362742072</v>
      </c>
      <c r="AH103" s="2">
        <f>AH102+AG103</f>
        <v>468008691.6278311</v>
      </c>
      <c r="AI103" s="2">
        <v>59062196.17023744</v>
      </c>
      <c r="AJ103" s="2">
        <f>AH103-AI103</f>
        <v>408946495.4575937</v>
      </c>
      <c r="AK103" s="3">
        <v>0.25</v>
      </c>
    </row>
    <row r="104" spans="1:37">
      <c r="A104" s="2">
        <v>103</v>
      </c>
      <c r="B104" s="2">
        <v>2035</v>
      </c>
      <c r="C104" s="2">
        <v>124</v>
      </c>
      <c r="D104" s="2">
        <v>443356.8607848518</v>
      </c>
      <c r="E104" s="2">
        <v>54976250.73732163</v>
      </c>
      <c r="F104" s="2">
        <f>E104/1.19</f>
        <v>46198530.03136272</v>
      </c>
      <c r="G104" s="2">
        <v>170</v>
      </c>
      <c r="H104" s="2">
        <v>16203581.85190707</v>
      </c>
      <c r="I104" s="2">
        <v>330</v>
      </c>
      <c r="J104" s="2">
        <v>31426055.79534096</v>
      </c>
      <c r="K104" s="2">
        <v>11808578.54127963</v>
      </c>
      <c r="L104" s="2">
        <v>4635975.760720839</v>
      </c>
      <c r="M104" s="2">
        <v>12013730.75935981</v>
      </c>
      <c r="N104" s="3">
        <v>2.5</v>
      </c>
      <c r="O104" s="3">
        <v>4</v>
      </c>
      <c r="P104" s="2">
        <v>316692.5203469041</v>
      </c>
      <c r="Q104" s="2">
        <v>984407.0302463167</v>
      </c>
      <c r="R104" s="2">
        <v>316692.5203469041</v>
      </c>
      <c r="S104" s="2">
        <v>354695.6227885326</v>
      </c>
      <c r="T104" s="2">
        <v>4908734.065377014</v>
      </c>
      <c r="U104" s="2">
        <f>M104+P104+Q104+R104+S104+T104</f>
        <v>18894952.518465478</v>
      </c>
      <c r="V104" s="2">
        <f>F104-K104-L104-U104</f>
        <v>10859023.210896775</v>
      </c>
      <c r="W104" s="2">
        <v>60601.62763698995</v>
      </c>
      <c r="X104" s="2">
        <v>327052.0439766794</v>
      </c>
      <c r="Y104" s="2">
        <f>W104+X104</f>
        <v>387653.6716136693</v>
      </c>
      <c r="Z104" s="2">
        <v>6059600.932306536</v>
      </c>
      <c r="AA104" s="2">
        <v>0</v>
      </c>
      <c r="AB104" s="2">
        <v>0</v>
      </c>
      <c r="AC104" s="2">
        <v>0</v>
      </c>
      <c r="AD104" s="2">
        <v>178932.6791527299</v>
      </c>
      <c r="AE104" s="2">
        <v>3041855.545596406</v>
      </c>
      <c r="AF104" s="2">
        <f>F104-H104-L104-U104-AA104-AC104-AD104</f>
        <v>6285087.221116603</v>
      </c>
      <c r="AG104" s="2">
        <f>F104-H104-L104-U104-AA104-AB104-AD104-Y104</f>
        <v>5897433.549502934</v>
      </c>
      <c r="AH104" s="2">
        <f>AH103+AG104</f>
        <v>473906125.177334</v>
      </c>
      <c r="AI104" s="2">
        <v>59062196.17023744</v>
      </c>
      <c r="AJ104" s="2">
        <f>AH104-AI104</f>
        <v>414843929.0070966</v>
      </c>
      <c r="AK104" s="3">
        <v>0.25</v>
      </c>
    </row>
    <row r="105" spans="1:37">
      <c r="A105" s="2">
        <v>104</v>
      </c>
      <c r="B105" s="2">
        <v>2035</v>
      </c>
      <c r="C105" s="2">
        <v>155</v>
      </c>
      <c r="D105" s="2">
        <v>443356.8607848518</v>
      </c>
      <c r="E105" s="2">
        <v>68720313.42165203</v>
      </c>
      <c r="F105" s="2">
        <f>E105/1.19</f>
        <v>57748162.53920339</v>
      </c>
      <c r="G105" s="2">
        <v>200</v>
      </c>
      <c r="H105" s="2">
        <v>19063037.47283185</v>
      </c>
      <c r="I105" s="2">
        <v>375</v>
      </c>
      <c r="J105" s="2">
        <v>35723415.04823547</v>
      </c>
      <c r="K105" s="2">
        <v>14765678.21993733</v>
      </c>
      <c r="L105" s="2">
        <v>5795366.104368072</v>
      </c>
      <c r="M105" s="2">
        <v>12013730.75935981</v>
      </c>
      <c r="N105" s="3">
        <v>2.5</v>
      </c>
      <c r="O105" s="3">
        <v>4</v>
      </c>
      <c r="P105" s="2">
        <v>316692.5203469041</v>
      </c>
      <c r="Q105" s="2">
        <v>984407.0302463167</v>
      </c>
      <c r="R105" s="2">
        <v>316692.5203469041</v>
      </c>
      <c r="S105" s="2">
        <v>354695.6227885326</v>
      </c>
      <c r="T105" s="2">
        <v>4908734.065377014</v>
      </c>
      <c r="U105" s="2">
        <f>M105+P105+Q105+R105+S105+T105</f>
        <v>18894952.518465478</v>
      </c>
      <c r="V105" s="2">
        <f>F105-K105-L105-U105</f>
        <v>18292165.696432512</v>
      </c>
      <c r="W105" s="2">
        <v>57498.29851286309</v>
      </c>
      <c r="X105" s="2">
        <v>330155.3731008062</v>
      </c>
      <c r="Y105" s="2">
        <f>W105+X105</f>
        <v>387653.6716136693</v>
      </c>
      <c r="Z105" s="2">
        <v>5729445.55920573</v>
      </c>
      <c r="AA105" s="2">
        <v>0</v>
      </c>
      <c r="AB105" s="2">
        <v>0</v>
      </c>
      <c r="AC105" s="2">
        <v>0</v>
      </c>
      <c r="AD105" s="2">
        <v>536798.0374581884</v>
      </c>
      <c r="AE105" s="2">
        <v>3578653.583054594</v>
      </c>
      <c r="AF105" s="2">
        <f>F105-H105-L105-U105-AA105-AC105-AD105</f>
        <v>13458008.406079806</v>
      </c>
      <c r="AG105" s="2">
        <f>F105-H105-L105-U105-AA105-AB105-AD105-Y105</f>
        <v>13070354.734466137</v>
      </c>
      <c r="AH105" s="2">
        <f>AH104+AG105</f>
        <v>486976479.91180015</v>
      </c>
      <c r="AI105" s="2">
        <v>59062196.17023744</v>
      </c>
      <c r="AJ105" s="2">
        <f>AH105-AI105</f>
        <v>427914283.7415627</v>
      </c>
      <c r="AK105" s="3">
        <v>0.25</v>
      </c>
    </row>
    <row r="106" spans="1:37">
      <c r="A106" s="2">
        <v>105</v>
      </c>
      <c r="B106" s="2">
        <v>2035</v>
      </c>
      <c r="C106" s="2">
        <v>170</v>
      </c>
      <c r="D106" s="2">
        <v>443356.8607848518</v>
      </c>
      <c r="E106" s="2">
        <v>75370666.33342482</v>
      </c>
      <c r="F106" s="2">
        <f>E106/1.19</f>
        <v>63336694.397835985</v>
      </c>
      <c r="G106" s="2">
        <v>220</v>
      </c>
      <c r="H106" s="2">
        <v>20969341.22011503</v>
      </c>
      <c r="I106" s="2">
        <v>425</v>
      </c>
      <c r="J106" s="2">
        <v>40494825.90596464</v>
      </c>
      <c r="K106" s="2">
        <v>16197930.36238586</v>
      </c>
      <c r="L106" s="2">
        <v>6356473.228677479</v>
      </c>
      <c r="M106" s="2">
        <v>12013730.75935981</v>
      </c>
      <c r="N106" s="3">
        <v>2.5</v>
      </c>
      <c r="O106" s="3">
        <v>4</v>
      </c>
      <c r="P106" s="2">
        <v>316692.5203469041</v>
      </c>
      <c r="Q106" s="2">
        <v>984407.0302463167</v>
      </c>
      <c r="R106" s="2">
        <v>316692.5203469041</v>
      </c>
      <c r="S106" s="2">
        <v>354695.6227885326</v>
      </c>
      <c r="T106" s="2">
        <v>4908734.065377014</v>
      </c>
      <c r="U106" s="2">
        <f>M106+P106+Q106+R106+S106+T106</f>
        <v>18894952.518465478</v>
      </c>
      <c r="V106" s="2">
        <f>F106-K106-L106-U106</f>
        <v>21887338.28830717</v>
      </c>
      <c r="W106" s="2">
        <v>54365.52254126954</v>
      </c>
      <c r="X106" s="2">
        <v>333288.1490723998</v>
      </c>
      <c r="Y106" s="2">
        <f>W106+X106</f>
        <v>387653.6716136693</v>
      </c>
      <c r="Z106" s="2">
        <v>5396157.41013333</v>
      </c>
      <c r="AA106" s="2">
        <v>0</v>
      </c>
      <c r="AB106" s="2">
        <v>0</v>
      </c>
      <c r="AC106" s="2">
        <v>0</v>
      </c>
      <c r="AD106" s="2">
        <v>357865.3583054598</v>
      </c>
      <c r="AE106" s="2">
        <v>3936518.941360054</v>
      </c>
      <c r="AF106" s="2">
        <f>F106-H106-L106-U106-AA106-AC106-AD106</f>
        <v>16758062.07227253</v>
      </c>
      <c r="AG106" s="2">
        <f>F106-H106-L106-U106-AA106-AB106-AD106-Y106</f>
        <v>16370408.40065886</v>
      </c>
      <c r="AH106" s="2">
        <f>AH105+AG106</f>
        <v>503346888.312459</v>
      </c>
      <c r="AI106" s="2">
        <v>59062196.17023744</v>
      </c>
      <c r="AJ106" s="2">
        <f>AH106-AI106</f>
        <v>444284692.14222157</v>
      </c>
      <c r="AK106" s="3">
        <v>0.25</v>
      </c>
    </row>
    <row r="107" spans="1:37">
      <c r="A107" s="2">
        <v>106</v>
      </c>
      <c r="B107" s="2">
        <v>2035</v>
      </c>
      <c r="C107" s="2">
        <v>201</v>
      </c>
      <c r="D107" s="2">
        <v>443356.8607848518</v>
      </c>
      <c r="E107" s="2">
        <v>89114729.01775523</v>
      </c>
      <c r="F107" s="2">
        <f>E107/1.19</f>
        <v>74886326.90567666</v>
      </c>
      <c r="G107" s="2">
        <v>260</v>
      </c>
      <c r="H107" s="2">
        <v>24781948.7146814</v>
      </c>
      <c r="I107" s="2">
        <v>484</v>
      </c>
      <c r="J107" s="2">
        <v>46122567.7611572</v>
      </c>
      <c r="K107" s="2">
        <v>19154206.85948884</v>
      </c>
      <c r="L107" s="2">
        <v>7515797.717800334</v>
      </c>
      <c r="M107" s="2">
        <v>12013730.75935981</v>
      </c>
      <c r="N107" s="3">
        <v>2.5</v>
      </c>
      <c r="O107" s="3">
        <v>4</v>
      </c>
      <c r="P107" s="2">
        <v>316692.5203469041</v>
      </c>
      <c r="Q107" s="2">
        <v>984407.0302463167</v>
      </c>
      <c r="R107" s="2">
        <v>316692.5203469041</v>
      </c>
      <c r="S107" s="2">
        <v>354695.6227885326</v>
      </c>
      <c r="T107" s="2">
        <v>4908734.065377014</v>
      </c>
      <c r="U107" s="2">
        <f>M107+P107+Q107+R107+S107+T107</f>
        <v>18894952.518465478</v>
      </c>
      <c r="V107" s="2">
        <f>F107-K107-L107-U107</f>
        <v>29321369.809922006</v>
      </c>
      <c r="W107" s="2">
        <v>51203.02030717109</v>
      </c>
      <c r="X107" s="2">
        <v>336450.6513064982</v>
      </c>
      <c r="Y107" s="2">
        <f>W107+X107</f>
        <v>387653.6716136693</v>
      </c>
      <c r="Z107" s="2">
        <v>5059706.758826832</v>
      </c>
      <c r="AA107" s="2">
        <v>0</v>
      </c>
      <c r="AB107" s="2">
        <v>0</v>
      </c>
      <c r="AC107" s="2">
        <v>0</v>
      </c>
      <c r="AD107" s="2">
        <v>715730.7166109183</v>
      </c>
      <c r="AE107" s="2">
        <v>4652249.657970972</v>
      </c>
      <c r="AF107" s="2">
        <f>F107-H107-L107-U107-AA107-AC107-AD107</f>
        <v>22977897.23811853</v>
      </c>
      <c r="AG107" s="2">
        <f>F107-H107-L107-U107-AA107-AB107-AD107-Y107</f>
        <v>22590243.56650486</v>
      </c>
      <c r="AH107" s="2">
        <f>AH106+AG107</f>
        <v>525937131.8789638</v>
      </c>
      <c r="AI107" s="2">
        <v>59062196.17023744</v>
      </c>
      <c r="AJ107" s="2">
        <f>AH107-AI107</f>
        <v>466874935.7087264</v>
      </c>
      <c r="AK107" s="3">
        <v>0.25</v>
      </c>
    </row>
    <row r="108" spans="1:37">
      <c r="A108" s="2">
        <v>107</v>
      </c>
      <c r="B108" s="2">
        <v>2035</v>
      </c>
      <c r="C108" s="2">
        <v>217</v>
      </c>
      <c r="D108" s="2">
        <v>443356.8607848518</v>
      </c>
      <c r="E108" s="2">
        <v>96208438.79031286</v>
      </c>
      <c r="F108" s="2">
        <f>E108/1.19</f>
        <v>80847427.55488476</v>
      </c>
      <c r="G108" s="2">
        <v>30</v>
      </c>
      <c r="H108" s="2">
        <v>2859455.620924777</v>
      </c>
      <c r="I108" s="2">
        <v>297</v>
      </c>
      <c r="J108" s="2">
        <v>28302842.30443258</v>
      </c>
      <c r="K108" s="2">
        <v>20679181.0776494</v>
      </c>
      <c r="L108" s="2">
        <v>8114091.071694272</v>
      </c>
      <c r="M108" s="2">
        <v>12013730.75935981</v>
      </c>
      <c r="N108" s="3">
        <v>2.5</v>
      </c>
      <c r="O108" s="3">
        <v>4</v>
      </c>
      <c r="P108" s="2">
        <v>316692.5203469041</v>
      </c>
      <c r="Q108" s="2">
        <v>984407.0302463167</v>
      </c>
      <c r="R108" s="2">
        <v>316692.5203469041</v>
      </c>
      <c r="S108" s="2">
        <v>354695.6227885326</v>
      </c>
      <c r="T108" s="2">
        <v>4908734.065377014</v>
      </c>
      <c r="U108" s="2">
        <f>M108+P108+Q108+R108+S108+T108</f>
        <v>18894952.518465478</v>
      </c>
      <c r="V108" s="2">
        <f>F108-K108-L108-U108</f>
        <v>33159202.887075614</v>
      </c>
      <c r="W108" s="2">
        <v>48010.50974421813</v>
      </c>
      <c r="X108" s="2">
        <v>339643.1618694512</v>
      </c>
      <c r="Y108" s="2">
        <f>W108+X108</f>
        <v>387653.6716136693</v>
      </c>
      <c r="Z108" s="2">
        <v>4720063.596957381</v>
      </c>
      <c r="AA108" s="2">
        <v>0</v>
      </c>
      <c r="AB108" s="2">
        <v>0</v>
      </c>
      <c r="AC108" s="2">
        <v>0</v>
      </c>
      <c r="AD108" s="2">
        <v>-4115451.620512783</v>
      </c>
      <c r="AE108" s="2">
        <v>536798.0374581892</v>
      </c>
      <c r="AF108" s="2">
        <f>F108-H108-L108-U108-AA108-AC108-AD108</f>
        <v>55094379.96431303</v>
      </c>
      <c r="AG108" s="2">
        <f>F108-H108-L108-U108-AA108-AB108-AD108-Y108</f>
        <v>54706726.29269936</v>
      </c>
      <c r="AH108" s="2">
        <f>AH107+AG108</f>
        <v>580643858.1716632</v>
      </c>
      <c r="AI108" s="2">
        <v>59062196.17023744</v>
      </c>
      <c r="AJ108" s="2">
        <f>AH108-AI108</f>
        <v>521581662.00142574</v>
      </c>
      <c r="AK108" s="3">
        <v>0.25</v>
      </c>
    </row>
    <row r="109" spans="1:37">
      <c r="A109" s="2">
        <v>108</v>
      </c>
      <c r="B109" s="2">
        <v>2035</v>
      </c>
      <c r="C109" s="2">
        <v>263</v>
      </c>
      <c r="D109" s="2">
        <v>443356.8607848518</v>
      </c>
      <c r="E109" s="2">
        <v>116602854.386416</v>
      </c>
      <c r="F109" s="2">
        <f>E109/1.19</f>
        <v>97985591.92135802</v>
      </c>
      <c r="G109" s="2">
        <v>50</v>
      </c>
      <c r="H109" s="2">
        <v>4765759.368207961</v>
      </c>
      <c r="I109" s="2">
        <v>84</v>
      </c>
      <c r="J109" s="2">
        <v>8005079.367440365</v>
      </c>
      <c r="K109" s="2">
        <v>25063522.30520018</v>
      </c>
      <c r="L109" s="2">
        <v>9834187.692166474</v>
      </c>
      <c r="M109" s="2">
        <v>12013730.75935981</v>
      </c>
      <c r="N109" s="3">
        <v>2.5</v>
      </c>
      <c r="O109" s="3">
        <v>4</v>
      </c>
      <c r="P109" s="2">
        <v>316692.5203469041</v>
      </c>
      <c r="Q109" s="2">
        <v>984407.0302463167</v>
      </c>
      <c r="R109" s="2">
        <v>316692.5203469041</v>
      </c>
      <c r="S109" s="2">
        <v>354695.6227885326</v>
      </c>
      <c r="T109" s="2">
        <v>4908734.065377014</v>
      </c>
      <c r="U109" s="2">
        <f>M109+P109+Q109+R109+S109+T109</f>
        <v>18894952.518465478</v>
      </c>
      <c r="V109" s="2">
        <f>F109-K109-L109-U109</f>
        <v>44192929.40552589</v>
      </c>
      <c r="W109" s="2">
        <v>44787.70610959183</v>
      </c>
      <c r="X109" s="2">
        <v>342865.9655040775</v>
      </c>
      <c r="Y109" s="2">
        <f>W109+X109</f>
        <v>387653.6716136693</v>
      </c>
      <c r="Z109" s="2">
        <v>4377197.631453304</v>
      </c>
      <c r="AA109" s="2">
        <v>0</v>
      </c>
      <c r="AB109" s="2">
        <v>36079618.58367702</v>
      </c>
      <c r="AC109" s="2">
        <v>36265526.55578293</v>
      </c>
      <c r="AD109" s="2">
        <v>357865.3583054594</v>
      </c>
      <c r="AE109" s="2">
        <v>894663.3957636486</v>
      </c>
      <c r="AF109" s="2">
        <f>F109-H109-L109-U109-AA109-AC109-AD109</f>
        <v>27867300.42842972</v>
      </c>
      <c r="AG109" s="2">
        <f>F109-H109-L109-U109-AA109-AB109-AD109-Y109</f>
        <v>27665554.728921954</v>
      </c>
      <c r="AH109" s="2">
        <f>AH108+AG109</f>
        <v>608309412.9005852</v>
      </c>
      <c r="AI109" s="2">
        <v>59062196.17023744</v>
      </c>
      <c r="AJ109" s="2">
        <f>AH109-AI109</f>
        <v>549247216.7303478</v>
      </c>
      <c r="AK109" s="3">
        <v>0.25</v>
      </c>
    </row>
    <row r="110" spans="1:37">
      <c r="A110" s="2">
        <v>109</v>
      </c>
      <c r="B110" s="2">
        <v>2036</v>
      </c>
      <c r="C110" s="2">
        <v>32</v>
      </c>
      <c r="D110" s="2">
        <v>456657.5666083974</v>
      </c>
      <c r="E110" s="2">
        <v>14613042.13146872</v>
      </c>
      <c r="F110" s="2">
        <f>E110/1.19</f>
        <v>12279867.33736867</v>
      </c>
      <c r="G110" s="2">
        <v>70</v>
      </c>
      <c r="H110" s="2">
        <v>6872225.008955882</v>
      </c>
      <c r="I110" s="2">
        <v>122</v>
      </c>
      <c r="J110" s="2">
        <v>11785916.4540282</v>
      </c>
      <c r="K110" s="2">
        <v>3091387.922368051</v>
      </c>
      <c r="L110" s="2">
        <v>1228479.591658095</v>
      </c>
      <c r="M110" s="2">
        <v>13034684.10645416</v>
      </c>
      <c r="N110" s="3">
        <v>2.5</v>
      </c>
      <c r="O110" s="3">
        <v>4.5</v>
      </c>
      <c r="P110" s="2">
        <v>339241.0277956037</v>
      </c>
      <c r="Q110" s="2">
        <v>1054909.119125945</v>
      </c>
      <c r="R110" s="2">
        <v>326193.2959573112</v>
      </c>
      <c r="S110" s="2">
        <v>365336.4914721886</v>
      </c>
      <c r="T110" s="2">
        <v>5310426.858185027</v>
      </c>
      <c r="U110" s="2">
        <f>M110+P110+Q110+R110+S110+T110</f>
        <v>20430790.898990232</v>
      </c>
      <c r="V110" s="2">
        <f>F110-K110-L110-U110</f>
        <v>-12470791.075647708</v>
      </c>
      <c r="W110" s="2">
        <v>41534.32195860775</v>
      </c>
      <c r="X110" s="2">
        <v>346119.3496550616</v>
      </c>
      <c r="Y110" s="2">
        <f>W110+X110</f>
        <v>387653.6716136693</v>
      </c>
      <c r="Z110" s="2">
        <v>4031078.281798242</v>
      </c>
      <c r="AA110" s="2">
        <v>1957159.775743867</v>
      </c>
      <c r="AB110" s="2">
        <v>0</v>
      </c>
      <c r="AC110" s="2">
        <v>0</v>
      </c>
      <c r="AD110" s="2">
        <v>395441.2209275329</v>
      </c>
      <c r="AE110" s="2">
        <v>1290104.616691181</v>
      </c>
      <c r="AF110" s="2">
        <f>F110-H110-L110-U110-AA110-AC110-AD110</f>
        <v>-18604229.15890694</v>
      </c>
      <c r="AG110" s="2">
        <f>F110-H110-L110-U110-AA110-AB110-AD110-Y110</f>
        <v>-18991882.83052061</v>
      </c>
      <c r="AH110" s="2">
        <f>AH109+AG110</f>
        <v>589317530.0700645</v>
      </c>
      <c r="AI110" s="2">
        <v>63669711.31181171</v>
      </c>
      <c r="AJ110" s="2">
        <f>AH110-AI110</f>
        <v>525647818.75825286</v>
      </c>
      <c r="AK110" s="3">
        <v>0.25</v>
      </c>
    </row>
    <row r="111" spans="1:37">
      <c r="A111" s="2">
        <v>110</v>
      </c>
      <c r="B111" s="2">
        <v>2036</v>
      </c>
      <c r="C111" s="2">
        <v>49</v>
      </c>
      <c r="D111" s="2">
        <v>456657.5666083974</v>
      </c>
      <c r="E111" s="2">
        <v>22376220.76381147</v>
      </c>
      <c r="F111" s="2">
        <f>E111/1.19</f>
        <v>18803546.860345777</v>
      </c>
      <c r="G111" s="2">
        <v>80</v>
      </c>
      <c r="H111" s="2">
        <v>7853971.438806722</v>
      </c>
      <c r="I111" s="2">
        <v>153</v>
      </c>
      <c r="J111" s="2">
        <v>14875756.67130566</v>
      </c>
      <c r="K111" s="2">
        <v>4764131.221529262</v>
      </c>
      <c r="L111" s="2">
        <v>1883544.851958713</v>
      </c>
      <c r="M111" s="2">
        <v>13034684.10645416</v>
      </c>
      <c r="N111" s="3">
        <v>2.5</v>
      </c>
      <c r="O111" s="3">
        <v>4.5</v>
      </c>
      <c r="P111" s="2">
        <v>339241.0277956037</v>
      </c>
      <c r="Q111" s="2">
        <v>1054909.119125945</v>
      </c>
      <c r="R111" s="2">
        <v>326193.2959573112</v>
      </c>
      <c r="S111" s="2">
        <v>365336.4914721886</v>
      </c>
      <c r="T111" s="2">
        <v>5310426.858185027</v>
      </c>
      <c r="U111" s="2">
        <f>M111+P111+Q111+R111+S111+T111</f>
        <v>20430790.898990232</v>
      </c>
      <c r="V111" s="2">
        <f>F111-K111-L111-U111</f>
        <v>-8274920.11213243</v>
      </c>
      <c r="W111" s="2">
        <v>38250.06711907833</v>
      </c>
      <c r="X111" s="2">
        <v>349403.604494591</v>
      </c>
      <c r="Y111" s="2">
        <f>W111+X111</f>
        <v>387653.6716136693</v>
      </c>
      <c r="Z111" s="2">
        <v>3681674.677303651</v>
      </c>
      <c r="AA111" s="2">
        <v>0</v>
      </c>
      <c r="AB111" s="2">
        <v>0</v>
      </c>
      <c r="AC111" s="2">
        <v>0</v>
      </c>
      <c r="AD111" s="2">
        <v>184300.6595273118</v>
      </c>
      <c r="AE111" s="2">
        <v>1474405.276218493</v>
      </c>
      <c r="AF111" s="2">
        <f>F111-H111-L111-U111-AA111-AC111-AD111</f>
        <v>-11549060.988937201</v>
      </c>
      <c r="AG111" s="2">
        <f>F111-H111-L111-U111-AA111-AB111-AD111-Y111</f>
        <v>-11936714.66055087</v>
      </c>
      <c r="AH111" s="2">
        <f>AH110+AG111</f>
        <v>577380815.4095137</v>
      </c>
      <c r="AI111" s="2">
        <v>63669711.31181171</v>
      </c>
      <c r="AJ111" s="2">
        <f>AH111-AI111</f>
        <v>513711104.097702</v>
      </c>
      <c r="AK111" s="3">
        <v>0.25</v>
      </c>
    </row>
    <row r="112" spans="1:37">
      <c r="A112" s="2">
        <v>111</v>
      </c>
      <c r="B112" s="2">
        <v>2036</v>
      </c>
      <c r="C112" s="2">
        <v>65</v>
      </c>
      <c r="D112" s="2">
        <v>456657.5666083974</v>
      </c>
      <c r="E112" s="2">
        <v>29682741.82954583</v>
      </c>
      <c r="F112" s="2">
        <f>E112/1.19</f>
        <v>24943480.529030114</v>
      </c>
      <c r="G112" s="2">
        <v>100</v>
      </c>
      <c r="H112" s="2">
        <v>9817464.298508402</v>
      </c>
      <c r="I112" s="2">
        <v>188</v>
      </c>
      <c r="J112" s="2">
        <v>18349112.81551401</v>
      </c>
      <c r="K112" s="2">
        <v>6344108.154300055</v>
      </c>
      <c r="L112" s="2">
        <v>2500527.285514702</v>
      </c>
      <c r="M112" s="2">
        <v>13034684.10645416</v>
      </c>
      <c r="N112" s="3">
        <v>2.5</v>
      </c>
      <c r="O112" s="3">
        <v>4.5</v>
      </c>
      <c r="P112" s="2">
        <v>339241.0277956037</v>
      </c>
      <c r="Q112" s="2">
        <v>1054909.119125945</v>
      </c>
      <c r="R112" s="2">
        <v>326193.2959573112</v>
      </c>
      <c r="S112" s="2">
        <v>365336.4914721886</v>
      </c>
      <c r="T112" s="2">
        <v>5310426.858185027</v>
      </c>
      <c r="U112" s="2">
        <f>M112+P112+Q112+R112+S112+T112</f>
        <v>20430790.898990232</v>
      </c>
      <c r="V112" s="2">
        <f>F112-K112-L112-U112</f>
        <v>-4331945.809774876</v>
      </c>
      <c r="W112" s="2">
        <v>34934.6486654322</v>
      </c>
      <c r="X112" s="2">
        <v>352719.0229482371</v>
      </c>
      <c r="Y112" s="2">
        <f>W112+X112</f>
        <v>387653.6716136693</v>
      </c>
      <c r="Z112" s="2">
        <v>3328955.654355414</v>
      </c>
      <c r="AA112" s="2">
        <v>0</v>
      </c>
      <c r="AB112" s="2">
        <v>0</v>
      </c>
      <c r="AC112" s="2">
        <v>0</v>
      </c>
      <c r="AD112" s="2">
        <v>368601.3190546231</v>
      </c>
      <c r="AE112" s="2">
        <v>1843006.595273116</v>
      </c>
      <c r="AF112" s="2">
        <f>F112-H112-L112-U112-AA112-AC112-AD112</f>
        <v>-8173903.273037844</v>
      </c>
      <c r="AG112" s="2">
        <f>F112-H112-L112-U112-AA112-AB112-AD112-Y112</f>
        <v>-8561556.944651514</v>
      </c>
      <c r="AH112" s="2">
        <f>AH111+AG112</f>
        <v>568819258.4648622</v>
      </c>
      <c r="AI112" s="2">
        <v>63669711.31181171</v>
      </c>
      <c r="AJ112" s="2">
        <f>AH112-AI112</f>
        <v>505149547.15305054</v>
      </c>
      <c r="AK112" s="3">
        <v>0.25</v>
      </c>
    </row>
    <row r="113" spans="1:37">
      <c r="A113" s="2">
        <v>112</v>
      </c>
      <c r="B113" s="2">
        <v>2036</v>
      </c>
      <c r="C113" s="2">
        <v>81</v>
      </c>
      <c r="D113" s="2">
        <v>456657.5666083974</v>
      </c>
      <c r="E113" s="2">
        <v>36989262.89528019</v>
      </c>
      <c r="F113" s="2">
        <f>E113/1.19</f>
        <v>31083414.197714448</v>
      </c>
      <c r="G113" s="2">
        <v>110</v>
      </c>
      <c r="H113" s="2">
        <v>10799210.72835924</v>
      </c>
      <c r="I113" s="2">
        <v>217</v>
      </c>
      <c r="J113" s="2">
        <v>21225457.07724998</v>
      </c>
      <c r="K113" s="2">
        <v>7922866.466623265</v>
      </c>
      <c r="L113" s="2">
        <v>3117412.229434884</v>
      </c>
      <c r="M113" s="2">
        <v>13034684.10645416</v>
      </c>
      <c r="N113" s="3">
        <v>2.5</v>
      </c>
      <c r="O113" s="3">
        <v>4.5</v>
      </c>
      <c r="P113" s="2">
        <v>339241.0277956037</v>
      </c>
      <c r="Q113" s="2">
        <v>1054909.119125945</v>
      </c>
      <c r="R113" s="2">
        <v>326193.2959573112</v>
      </c>
      <c r="S113" s="2">
        <v>365336.4914721886</v>
      </c>
      <c r="T113" s="2">
        <v>5310426.858185027</v>
      </c>
      <c r="U113" s="2">
        <f>M113+P113+Q113+R113+S113+T113</f>
        <v>20430790.898990232</v>
      </c>
      <c r="V113" s="2">
        <f>F113-K113-L113-U113</f>
        <v>-387655.3973339349</v>
      </c>
      <c r="W113" s="2">
        <v>31587.77089258793</v>
      </c>
      <c r="X113" s="2">
        <v>356065.9007210814</v>
      </c>
      <c r="Y113" s="2">
        <f>W113+X113</f>
        <v>387653.6716136693</v>
      </c>
      <c r="Z113" s="2">
        <v>2972889.753634333</v>
      </c>
      <c r="AA113" s="2">
        <v>0</v>
      </c>
      <c r="AB113" s="2">
        <v>0</v>
      </c>
      <c r="AC113" s="2">
        <v>0</v>
      </c>
      <c r="AD113" s="2">
        <v>184300.6595273113</v>
      </c>
      <c r="AE113" s="2">
        <v>2027307.254800428</v>
      </c>
      <c r="AF113" s="2">
        <f>F113-H113-L113-U113-AA113-AC113-AD113</f>
        <v>-3448300.3185972217</v>
      </c>
      <c r="AG113" s="2">
        <f>F113-H113-L113-U113-AA113-AB113-AD113-Y113</f>
        <v>-3835953.9902108912</v>
      </c>
      <c r="AH113" s="2">
        <f>AH112+AG113</f>
        <v>564983304.4746513</v>
      </c>
      <c r="AI113" s="2">
        <v>63669711.31181171</v>
      </c>
      <c r="AJ113" s="2">
        <f>AH113-AI113</f>
        <v>501313593.16283965</v>
      </c>
      <c r="AK113" s="3">
        <v>0.25</v>
      </c>
    </row>
    <row r="114" spans="1:37">
      <c r="A114" s="2">
        <v>113</v>
      </c>
      <c r="B114" s="2">
        <v>2036</v>
      </c>
      <c r="C114" s="2">
        <v>98</v>
      </c>
      <c r="D114" s="2">
        <v>456657.5666083974</v>
      </c>
      <c r="E114" s="2">
        <v>44752441.52762295</v>
      </c>
      <c r="F114" s="2">
        <f>E114/1.19</f>
        <v>37607093.720691554</v>
      </c>
      <c r="G114" s="2">
        <v>130</v>
      </c>
      <c r="H114" s="2">
        <v>12762703.58806092</v>
      </c>
      <c r="I114" s="2">
        <v>249</v>
      </c>
      <c r="J114" s="2">
        <v>24389198.86358045</v>
      </c>
      <c r="K114" s="2">
        <v>9598961.801730458</v>
      </c>
      <c r="L114" s="2">
        <v>3772745.65261118</v>
      </c>
      <c r="M114" s="2">
        <v>13034684.10645416</v>
      </c>
      <c r="N114" s="3">
        <v>2.5</v>
      </c>
      <c r="O114" s="3">
        <v>4.5</v>
      </c>
      <c r="P114" s="2">
        <v>339241.0277956037</v>
      </c>
      <c r="Q114" s="2">
        <v>1054909.119125945</v>
      </c>
      <c r="R114" s="2">
        <v>326193.2959573112</v>
      </c>
      <c r="S114" s="2">
        <v>365336.4914721886</v>
      </c>
      <c r="T114" s="2">
        <v>5310426.858185027</v>
      </c>
      <c r="U114" s="2">
        <f>M114+P114+Q114+R114+S114+T114</f>
        <v>20430790.898990232</v>
      </c>
      <c r="V114" s="2">
        <f>F114-K114-L114-U114</f>
        <v>3804595.367359683</v>
      </c>
      <c r="W114" s="2">
        <v>28209.13528957979</v>
      </c>
      <c r="X114" s="2">
        <v>359444.5363240895</v>
      </c>
      <c r="Y114" s="2">
        <f>W114+X114</f>
        <v>387653.6716136693</v>
      </c>
      <c r="Z114" s="2">
        <v>2613445.217310243</v>
      </c>
      <c r="AA114" s="2">
        <v>0</v>
      </c>
      <c r="AB114" s="2">
        <v>0</v>
      </c>
      <c r="AC114" s="2">
        <v>0</v>
      </c>
      <c r="AD114" s="2">
        <v>368601.3190546231</v>
      </c>
      <c r="AE114" s="2">
        <v>2395908.573855051</v>
      </c>
      <c r="AF114" s="2">
        <f>F114-H114-L114-U114-AA114-AC114-AD114</f>
        <v>272252.26197459456</v>
      </c>
      <c r="AG114" s="2">
        <f>F114-H114-L114-U114-AA114-AB114-AD114-Y114</f>
        <v>-115401.40963907476</v>
      </c>
      <c r="AH114" s="2">
        <f>AH113+AG114</f>
        <v>564867903.0650122</v>
      </c>
      <c r="AI114" s="2">
        <v>63669711.31181171</v>
      </c>
      <c r="AJ114" s="2">
        <f>AH114-AI114</f>
        <v>501198191.75320053</v>
      </c>
      <c r="AK114" s="3">
        <v>0.25</v>
      </c>
    </row>
    <row r="115" spans="1:37">
      <c r="A115" s="2">
        <v>114</v>
      </c>
      <c r="B115" s="2">
        <v>2036</v>
      </c>
      <c r="C115" s="2">
        <v>114</v>
      </c>
      <c r="D115" s="2">
        <v>456657.5666083974</v>
      </c>
      <c r="E115" s="2">
        <v>52058962.59335731</v>
      </c>
      <c r="F115" s="2">
        <f>E115/1.19</f>
        <v>43747027.389375895</v>
      </c>
      <c r="G115" s="2">
        <v>160</v>
      </c>
      <c r="H115" s="2">
        <v>15707942.87761344</v>
      </c>
      <c r="I115" s="2">
        <v>295</v>
      </c>
      <c r="J115" s="2">
        <v>28920921.3047731</v>
      </c>
      <c r="K115" s="2">
        <v>11176220.43642079</v>
      </c>
      <c r="L115" s="2">
        <v>4389510.622320732</v>
      </c>
      <c r="M115" s="2">
        <v>13034684.10645416</v>
      </c>
      <c r="N115" s="3">
        <v>2.5</v>
      </c>
      <c r="O115" s="3">
        <v>4.5</v>
      </c>
      <c r="P115" s="2">
        <v>339241.0277956037</v>
      </c>
      <c r="Q115" s="2">
        <v>1054909.119125945</v>
      </c>
      <c r="R115" s="2">
        <v>326193.2959573112</v>
      </c>
      <c r="S115" s="2">
        <v>365336.4914721886</v>
      </c>
      <c r="T115" s="2">
        <v>5310426.858185027</v>
      </c>
      <c r="U115" s="2">
        <f>M115+P115+Q115+R115+S115+T115</f>
        <v>20430790.898990232</v>
      </c>
      <c r="V115" s="2">
        <f>F115-K115-L115-U115</f>
        <v>7750505.431644138</v>
      </c>
      <c r="W115" s="2">
        <v>24798.44051293329</v>
      </c>
      <c r="X115" s="2">
        <v>362855.231100736</v>
      </c>
      <c r="Y115" s="2">
        <f>W115+X115</f>
        <v>387653.6716136693</v>
      </c>
      <c r="Z115" s="2">
        <v>2250589.986209507</v>
      </c>
      <c r="AA115" s="2">
        <v>0</v>
      </c>
      <c r="AB115" s="2">
        <v>0</v>
      </c>
      <c r="AC115" s="2">
        <v>0</v>
      </c>
      <c r="AD115" s="2">
        <v>552901.9785819356</v>
      </c>
      <c r="AE115" s="2">
        <v>2948810.552436986</v>
      </c>
      <c r="AF115" s="2">
        <f>F115-H115-L115-U115-AA115-AC115-AD115</f>
        <v>2665881.011869553</v>
      </c>
      <c r="AG115" s="2">
        <f>F115-H115-L115-U115-AA115-AB115-AD115-Y115</f>
        <v>2278227.3402558835</v>
      </c>
      <c r="AH115" s="2">
        <f>AH114+AG115</f>
        <v>567146130.4052681</v>
      </c>
      <c r="AI115" s="2">
        <v>63669711.31181171</v>
      </c>
      <c r="AJ115" s="2">
        <f>AH115-AI115</f>
        <v>503476419.0934564</v>
      </c>
      <c r="AK115" s="3">
        <v>0.25</v>
      </c>
    </row>
    <row r="116" spans="1:37">
      <c r="A116" s="2">
        <v>115</v>
      </c>
      <c r="B116" s="2">
        <v>2036</v>
      </c>
      <c r="C116" s="2">
        <v>130</v>
      </c>
      <c r="D116" s="2">
        <v>456657.5666083974</v>
      </c>
      <c r="E116" s="2">
        <v>59365483.65909167</v>
      </c>
      <c r="F116" s="2">
        <f>E116/1.19</f>
        <v>49886961.05806023</v>
      </c>
      <c r="G116" s="2">
        <v>180</v>
      </c>
      <c r="H116" s="2">
        <v>17671435.73731512</v>
      </c>
      <c r="I116" s="2">
        <v>345</v>
      </c>
      <c r="J116" s="2">
        <v>33840764.58846407</v>
      </c>
      <c r="K116" s="2">
        <v>12751592.45362415</v>
      </c>
      <c r="L116" s="2">
        <v>5006124.662631326</v>
      </c>
      <c r="M116" s="2">
        <v>13034684.10645416</v>
      </c>
      <c r="N116" s="3">
        <v>2.5</v>
      </c>
      <c r="O116" s="3">
        <v>4.5</v>
      </c>
      <c r="P116" s="2">
        <v>339241.0277956037</v>
      </c>
      <c r="Q116" s="2">
        <v>1054909.119125945</v>
      </c>
      <c r="R116" s="2">
        <v>326193.2959573112</v>
      </c>
      <c r="S116" s="2">
        <v>365336.4914721886</v>
      </c>
      <c r="T116" s="2">
        <v>5310426.858185027</v>
      </c>
      <c r="U116" s="2">
        <f>M116+P116+Q116+R116+S116+T116</f>
        <v>20430790.898990232</v>
      </c>
      <c r="V116" s="2">
        <f>F116-K116-L116-U116</f>
        <v>11698453.042814527</v>
      </c>
      <c r="W116" s="2">
        <v>21355.38235978812</v>
      </c>
      <c r="X116" s="2">
        <v>366298.2892538812</v>
      </c>
      <c r="Y116" s="2">
        <f>W116+X116</f>
        <v>387653.6716136693</v>
      </c>
      <c r="Z116" s="2">
        <v>1884291.696955626</v>
      </c>
      <c r="AA116" s="2">
        <v>0</v>
      </c>
      <c r="AB116" s="2">
        <v>0</v>
      </c>
      <c r="AC116" s="2">
        <v>0</v>
      </c>
      <c r="AD116" s="2">
        <v>368601.3190546227</v>
      </c>
      <c r="AE116" s="2">
        <v>3317411.871491609</v>
      </c>
      <c r="AF116" s="2">
        <f>F116-H116-L116-U116-AA116-AC116-AD116</f>
        <v>6410008.440068927</v>
      </c>
      <c r="AG116" s="2">
        <f>F116-H116-L116-U116-AA116-AB116-AD116-Y116</f>
        <v>6022354.768455258</v>
      </c>
      <c r="AH116" s="2">
        <f>AH115+AG116</f>
        <v>573168485.1737233</v>
      </c>
      <c r="AI116" s="2">
        <v>63669711.31181171</v>
      </c>
      <c r="AJ116" s="2">
        <f>AH116-AI116</f>
        <v>509498773.86191165</v>
      </c>
      <c r="AK116" s="3">
        <v>0.25</v>
      </c>
    </row>
    <row r="117" spans="1:37">
      <c r="A117" s="2">
        <v>116</v>
      </c>
      <c r="B117" s="2">
        <v>2036</v>
      </c>
      <c r="C117" s="2">
        <v>163</v>
      </c>
      <c r="D117" s="2">
        <v>456657.5666083974</v>
      </c>
      <c r="E117" s="2">
        <v>74435183.35716878</v>
      </c>
      <c r="F117" s="2">
        <f>E117/1.19</f>
        <v>62550574.24972167</v>
      </c>
      <c r="G117" s="2">
        <v>210</v>
      </c>
      <c r="H117" s="2">
        <v>20616675.02686764</v>
      </c>
      <c r="I117" s="2">
        <v>392</v>
      </c>
      <c r="J117" s="2">
        <v>38463633.02560367</v>
      </c>
      <c r="K117" s="2">
        <v>15993806.58972805</v>
      </c>
      <c r="L117" s="2">
        <v>6277331.868821684</v>
      </c>
      <c r="M117" s="2">
        <v>13034684.10645416</v>
      </c>
      <c r="N117" s="3">
        <v>2.5</v>
      </c>
      <c r="O117" s="3">
        <v>4.5</v>
      </c>
      <c r="P117" s="2">
        <v>339241.0277956037</v>
      </c>
      <c r="Q117" s="2">
        <v>1054909.119125945</v>
      </c>
      <c r="R117" s="2">
        <v>326193.2959573112</v>
      </c>
      <c r="S117" s="2">
        <v>365336.4914721886</v>
      </c>
      <c r="T117" s="2">
        <v>5310426.858185027</v>
      </c>
      <c r="U117" s="2">
        <f>M117+P117+Q117+R117+S117+T117</f>
        <v>20430790.898990232</v>
      </c>
      <c r="V117" s="2">
        <f>F117-K117-L117-U117</f>
        <v>19848644.892181706</v>
      </c>
      <c r="W117" s="2">
        <v>17879.65374076604</v>
      </c>
      <c r="X117" s="2">
        <v>369774.0178729033</v>
      </c>
      <c r="Y117" s="2">
        <f>W117+X117</f>
        <v>387653.6716136693</v>
      </c>
      <c r="Z117" s="2">
        <v>1514517.679082723</v>
      </c>
      <c r="AA117" s="2">
        <v>0</v>
      </c>
      <c r="AB117" s="2">
        <v>0</v>
      </c>
      <c r="AC117" s="2">
        <v>0</v>
      </c>
      <c r="AD117" s="2">
        <v>552901.9785819352</v>
      </c>
      <c r="AE117" s="2">
        <v>3870313.850073544</v>
      </c>
      <c r="AF117" s="2">
        <f>F117-H117-L117-U117-AA117-AC117-AD117</f>
        <v>14672874.47646017</v>
      </c>
      <c r="AG117" s="2">
        <f>F117-H117-L117-U117-AA117-AB117-AD117-Y117</f>
        <v>14285220.804846501</v>
      </c>
      <c r="AH117" s="2">
        <f>AH116+AG117</f>
        <v>587453705.9785699</v>
      </c>
      <c r="AI117" s="2">
        <v>63669711.31181171</v>
      </c>
      <c r="AJ117" s="2">
        <f>AH117-AI117</f>
        <v>523783994.6667582</v>
      </c>
      <c r="AK117" s="3">
        <v>0.25</v>
      </c>
    </row>
    <row r="118" spans="1:37">
      <c r="A118" s="2">
        <v>117</v>
      </c>
      <c r="B118" s="2">
        <v>2036</v>
      </c>
      <c r="C118" s="2">
        <v>179</v>
      </c>
      <c r="D118" s="2">
        <v>456657.5666083974</v>
      </c>
      <c r="E118" s="2">
        <v>81741704.42290314</v>
      </c>
      <c r="F118" s="2">
        <f>E118/1.19</f>
        <v>68690507.918406</v>
      </c>
      <c r="G118" s="2">
        <v>230</v>
      </c>
      <c r="H118" s="2">
        <v>22580167.88656932</v>
      </c>
      <c r="I118" s="2">
        <v>443</v>
      </c>
      <c r="J118" s="2">
        <v>43476533.44709426</v>
      </c>
      <c r="K118" s="2">
        <v>17567267.46507872</v>
      </c>
      <c r="L118" s="2">
        <v>6893793.017784064</v>
      </c>
      <c r="M118" s="2">
        <v>13034684.10645416</v>
      </c>
      <c r="N118" s="3">
        <v>2.5</v>
      </c>
      <c r="O118" s="3">
        <v>4.5</v>
      </c>
      <c r="P118" s="2">
        <v>339241.0277956037</v>
      </c>
      <c r="Q118" s="2">
        <v>1054909.119125945</v>
      </c>
      <c r="R118" s="2">
        <v>326193.2959573112</v>
      </c>
      <c r="S118" s="2">
        <v>365336.4914721886</v>
      </c>
      <c r="T118" s="2">
        <v>5310426.858185027</v>
      </c>
      <c r="U118" s="2">
        <f>M118+P118+Q118+R118+S118+T118</f>
        <v>20430790.898990232</v>
      </c>
      <c r="V118" s="2">
        <f>F118-K118-L118-U118</f>
        <v>23798656.53655297</v>
      </c>
      <c r="W118" s="2">
        <v>14370.94465258125</v>
      </c>
      <c r="X118" s="2">
        <v>373282.7269610881</v>
      </c>
      <c r="Y118" s="2">
        <f>W118+X118</f>
        <v>387653.6716136693</v>
      </c>
      <c r="Z118" s="2">
        <v>1141234.952121635</v>
      </c>
      <c r="AA118" s="2">
        <v>0</v>
      </c>
      <c r="AB118" s="2">
        <v>0</v>
      </c>
      <c r="AC118" s="2">
        <v>0</v>
      </c>
      <c r="AD118" s="2">
        <v>368601.3190546222</v>
      </c>
      <c r="AE118" s="2">
        <v>4238915.169128167</v>
      </c>
      <c r="AF118" s="2">
        <f>F118-H118-L118-U118-AA118-AC118-AD118</f>
        <v>18417154.796007752</v>
      </c>
      <c r="AG118" s="2">
        <f>F118-H118-L118-U118-AA118-AB118-AD118-Y118</f>
        <v>18029501.12439408</v>
      </c>
      <c r="AH118" s="2">
        <f>AH117+AG118</f>
        <v>605483207.1029639</v>
      </c>
      <c r="AI118" s="2">
        <v>63669711.31181171</v>
      </c>
      <c r="AJ118" s="2">
        <f>AH118-AI118</f>
        <v>541813495.7911522</v>
      </c>
      <c r="AK118" s="3">
        <v>0.25</v>
      </c>
    </row>
    <row r="119" spans="1:37">
      <c r="A119" s="2">
        <v>118</v>
      </c>
      <c r="B119" s="2">
        <v>2036</v>
      </c>
      <c r="C119" s="2">
        <v>212</v>
      </c>
      <c r="D119" s="2">
        <v>456657.5666083974</v>
      </c>
      <c r="E119" s="2">
        <v>96811404.12098025</v>
      </c>
      <c r="F119" s="2">
        <f>E119/1.19</f>
        <v>81354121.11006744</v>
      </c>
      <c r="G119" s="2">
        <v>280</v>
      </c>
      <c r="H119" s="2">
        <v>27488900.03582353</v>
      </c>
      <c r="I119" s="2">
        <v>511</v>
      </c>
      <c r="J119" s="2">
        <v>50156758.65805116</v>
      </c>
      <c r="K119" s="2">
        <v>20808674.82486663</v>
      </c>
      <c r="L119" s="2">
        <v>8164935.681869143</v>
      </c>
      <c r="M119" s="2">
        <v>13034684.10645416</v>
      </c>
      <c r="N119" s="3">
        <v>2.5</v>
      </c>
      <c r="O119" s="3">
        <v>4.5</v>
      </c>
      <c r="P119" s="2">
        <v>339241.0277956037</v>
      </c>
      <c r="Q119" s="2">
        <v>1054909.119125945</v>
      </c>
      <c r="R119" s="2">
        <v>326193.2959573112</v>
      </c>
      <c r="S119" s="2">
        <v>365336.4914721886</v>
      </c>
      <c r="T119" s="2">
        <v>5310426.858185027</v>
      </c>
      <c r="U119" s="2">
        <f>M119+P119+Q119+R119+S119+T119</f>
        <v>20430790.898990232</v>
      </c>
      <c r="V119" s="2">
        <f>F119-K119-L119-U119</f>
        <v>31949719.704341445</v>
      </c>
      <c r="W119" s="2">
        <v>10828.94215039099</v>
      </c>
      <c r="X119" s="2">
        <v>376824.7294632783</v>
      </c>
      <c r="Y119" s="2">
        <f>W119+X119</f>
        <v>387653.6716136693</v>
      </c>
      <c r="Z119" s="2">
        <v>764410.2226583562</v>
      </c>
      <c r="AA119" s="2">
        <v>0</v>
      </c>
      <c r="AB119" s="2">
        <v>0</v>
      </c>
      <c r="AC119" s="2">
        <v>0</v>
      </c>
      <c r="AD119" s="2">
        <v>921503.2976365592</v>
      </c>
      <c r="AE119" s="2">
        <v>5160418.466764726</v>
      </c>
      <c r="AF119" s="2">
        <f>F119-H119-L119-U119-AA119-AC119-AD119</f>
        <v>24347991.195747986</v>
      </c>
      <c r="AG119" s="2">
        <f>F119-H119-L119-U119-AA119-AB119-AD119-Y119</f>
        <v>23960337.524134316</v>
      </c>
      <c r="AH119" s="2">
        <f>AH118+AG119</f>
        <v>629443544.6270982</v>
      </c>
      <c r="AI119" s="2">
        <v>63669711.31181171</v>
      </c>
      <c r="AJ119" s="2">
        <f>AH119-AI119</f>
        <v>565773833.3152865</v>
      </c>
      <c r="AK119" s="3">
        <v>0.25</v>
      </c>
    </row>
    <row r="120" spans="1:37">
      <c r="A120" s="2">
        <v>119</v>
      </c>
      <c r="B120" s="2">
        <v>2036</v>
      </c>
      <c r="C120" s="2">
        <v>228</v>
      </c>
      <c r="D120" s="2">
        <v>456657.5666083974</v>
      </c>
      <c r="E120" s="2">
        <v>104117925.1867146</v>
      </c>
      <c r="F120" s="2">
        <f>E120/1.19</f>
        <v>87494054.77875179</v>
      </c>
      <c r="G120" s="2">
        <v>30</v>
      </c>
      <c r="H120" s="2">
        <v>2945239.289552521</v>
      </c>
      <c r="I120" s="2">
        <v>313</v>
      </c>
      <c r="J120" s="2">
        <v>30722597.70351193</v>
      </c>
      <c r="K120" s="2">
        <v>22379400.24409176</v>
      </c>
      <c r="L120" s="2">
        <v>8781177.994341478</v>
      </c>
      <c r="M120" s="2">
        <v>13034684.10645416</v>
      </c>
      <c r="N120" s="3">
        <v>2.5</v>
      </c>
      <c r="O120" s="3">
        <v>4.5</v>
      </c>
      <c r="P120" s="2">
        <v>339241.0277956037</v>
      </c>
      <c r="Q120" s="2">
        <v>1054909.119125945</v>
      </c>
      <c r="R120" s="2">
        <v>326193.2959573112</v>
      </c>
      <c r="S120" s="2">
        <v>365336.4914721886</v>
      </c>
      <c r="T120" s="2">
        <v>5310426.858185027</v>
      </c>
      <c r="U120" s="2">
        <f>M120+P120+Q120+R120+S120+T120</f>
        <v>20430790.898990232</v>
      </c>
      <c r="V120" s="2">
        <f>F120-K120-L120-U120</f>
        <v>35902685.64132832</v>
      </c>
      <c r="W120" s="2">
        <v>7253.330319883663</v>
      </c>
      <c r="X120" s="2">
        <v>380400.3412937857</v>
      </c>
      <c r="Y120" s="2">
        <f>W120+X120</f>
        <v>387653.6716136693</v>
      </c>
      <c r="Z120" s="2">
        <v>384009.8813645705</v>
      </c>
      <c r="AA120" s="2">
        <v>0</v>
      </c>
      <c r="AB120" s="2">
        <v>0</v>
      </c>
      <c r="AC120" s="2">
        <v>0</v>
      </c>
      <c r="AD120" s="2">
        <v>-4607516.488182791</v>
      </c>
      <c r="AE120" s="2">
        <v>552901.9785819349</v>
      </c>
      <c r="AF120" s="2">
        <f>F120-H120-L120-U120-AA120-AC120-AD120</f>
        <v>59944363.08405035</v>
      </c>
      <c r="AG120" s="2">
        <f>F120-H120-L120-U120-AA120-AB120-AD120-Y120</f>
        <v>59556709.41243668</v>
      </c>
      <c r="AH120" s="2">
        <f>AH119+AG120</f>
        <v>689000254.0395349</v>
      </c>
      <c r="AI120" s="2">
        <v>63669711.31181171</v>
      </c>
      <c r="AJ120" s="2">
        <f>AH120-AI120</f>
        <v>625330542.7277232</v>
      </c>
      <c r="AK120" s="3">
        <v>0.25</v>
      </c>
    </row>
    <row r="121" spans="1:37">
      <c r="A121" s="2">
        <v>120</v>
      </c>
      <c r="B121" s="2">
        <v>2036</v>
      </c>
      <c r="C121" s="2">
        <v>277</v>
      </c>
      <c r="D121" s="2">
        <v>456657.5666083974</v>
      </c>
      <c r="E121" s="2">
        <v>126494145.9505261</v>
      </c>
      <c r="F121" s="2">
        <f>E121/1.19</f>
        <v>106297601.63909756</v>
      </c>
      <c r="G121" s="2">
        <v>50</v>
      </c>
      <c r="H121" s="2">
        <v>4908732.149254201</v>
      </c>
      <c r="I121" s="2">
        <v>86</v>
      </c>
      <c r="J121" s="2">
        <v>8441582.27916773</v>
      </c>
      <c r="K121" s="2">
        <v>27189747.5735984</v>
      </c>
      <c r="L121" s="2">
        <v>10668420.13493838</v>
      </c>
      <c r="M121" s="2">
        <v>13034684.10645416</v>
      </c>
      <c r="N121" s="3">
        <v>2.5</v>
      </c>
      <c r="O121" s="3">
        <v>4.5</v>
      </c>
      <c r="P121" s="2">
        <v>339241.0277956037</v>
      </c>
      <c r="Q121" s="2">
        <v>1054909.119125945</v>
      </c>
      <c r="R121" s="2">
        <v>326193.2959573112</v>
      </c>
      <c r="S121" s="2">
        <v>365336.4914721886</v>
      </c>
      <c r="T121" s="2">
        <v>5310426.858185027</v>
      </c>
      <c r="U121" s="2">
        <f>M121+P121+Q121+R121+S121+T121</f>
        <v>20430790.898990232</v>
      </c>
      <c r="V121" s="2">
        <f>F121-K121-L121-U121</f>
        <v>48008643.03157054</v>
      </c>
      <c r="W121" s="2">
        <v>3643.790249102211</v>
      </c>
      <c r="X121" s="2">
        <v>384009.8813645671</v>
      </c>
      <c r="Y121" s="2">
        <f>W121+X121</f>
        <v>387653.6716136693</v>
      </c>
      <c r="Z121" s="2">
        <v>3.434251993894577E-09</v>
      </c>
      <c r="AA121" s="2">
        <v>0</v>
      </c>
      <c r="AB121" s="2">
        <v>38657070.5343806</v>
      </c>
      <c r="AC121" s="2">
        <v>38725732.14135829</v>
      </c>
      <c r="AD121" s="2">
        <v>368601.3190546233</v>
      </c>
      <c r="AE121" s="2">
        <v>921503.2976365582</v>
      </c>
      <c r="AF121" s="2">
        <f>F121-H121-L121-U121-AA121-AC121-AD121</f>
        <v>31195324.995501842</v>
      </c>
      <c r="AG121" s="2">
        <f>F121-H121-L121-U121-AA121-AB121-AD121-Y121</f>
        <v>30876332.930865858</v>
      </c>
      <c r="AH121" s="2">
        <f>AH120+AG121</f>
        <v>719876586.9704008</v>
      </c>
      <c r="AI121" s="2">
        <v>63669711.31181171</v>
      </c>
      <c r="AJ121" s="2">
        <f>AH121-AI121</f>
        <v>656206875.6585891</v>
      </c>
      <c r="AK121" s="3">
        <v>0.25</v>
      </c>
    </row>
    <row r="122" spans="1:37">
      <c r="A122" s="2">
        <v>121</v>
      </c>
      <c r="B122" s="2">
        <v>2037</v>
      </c>
      <c r="C122" s="2">
        <v>34</v>
      </c>
      <c r="D122" s="2">
        <v>470357.2936066493</v>
      </c>
      <c r="E122" s="2">
        <v>15992147.98262608</v>
      </c>
      <c r="F122" s="2">
        <f>E122/1.19</f>
        <v>13438779.817332838</v>
      </c>
      <c r="G122" s="2">
        <v>70</v>
      </c>
      <c r="H122" s="2">
        <v>7078391.759224558</v>
      </c>
      <c r="I122" s="2">
        <v>122</v>
      </c>
      <c r="J122" s="2">
        <v>12137415.5941273</v>
      </c>
      <c r="K122" s="2">
        <v>3382558.444264986</v>
      </c>
      <c r="L122" s="2">
        <v>1344371.016058704</v>
      </c>
      <c r="M122" s="2">
        <v>13425724.62964778</v>
      </c>
      <c r="N122" s="3">
        <v>2.5</v>
      </c>
      <c r="O122" s="3">
        <v>4.5</v>
      </c>
      <c r="P122" s="2">
        <v>349418.2586294718</v>
      </c>
      <c r="Q122" s="2">
        <v>1130838.437399112</v>
      </c>
      <c r="R122" s="2">
        <v>335979.0948360306</v>
      </c>
      <c r="S122" s="2">
        <v>376296.5862163542</v>
      </c>
      <c r="T122" s="2">
        <v>5741882.730747762</v>
      </c>
      <c r="U122" s="2">
        <f>M122+P122+Q122+R122+S122+T122</f>
        <v>21360139.73747651</v>
      </c>
      <c r="V122" s="2">
        <f>F122-K122-L122-U122</f>
        <v>-12648289.38046736</v>
      </c>
      <c r="W122" s="2">
        <v>0</v>
      </c>
      <c r="X122" s="2">
        <v>0</v>
      </c>
      <c r="Y122" s="2">
        <f>W122+X122</f>
        <v>0</v>
      </c>
      <c r="Z122" s="2">
        <v>3.434251993894577E-09</v>
      </c>
      <c r="AA122" s="2">
        <v>0</v>
      </c>
      <c r="AB122" s="2">
        <v>0</v>
      </c>
      <c r="AC122" s="2">
        <v>0</v>
      </c>
      <c r="AD122" s="2">
        <v>407304.4575553586</v>
      </c>
      <c r="AE122" s="2">
        <v>1328807.755191917</v>
      </c>
      <c r="AF122" s="2">
        <f>F122-H122-L122-U122-AA122-AC122-AD122</f>
        <v>-16751427.152982293</v>
      </c>
      <c r="AG122" s="2">
        <f>F122-H122-L122-U122-AA122-AB122-AD122-Y122</f>
        <v>-16751427.152982293</v>
      </c>
      <c r="AH122" s="2">
        <f>AH121+AG122</f>
        <v>703125159.8174186</v>
      </c>
      <c r="AI122" s="2">
        <v>66457757.82727055</v>
      </c>
      <c r="AJ122" s="2">
        <f>AH122-AI122</f>
        <v>636667401.9901481</v>
      </c>
      <c r="AK122" s="3">
        <v>0.25</v>
      </c>
    </row>
    <row r="123" spans="1:37">
      <c r="A123" s="2">
        <v>122</v>
      </c>
      <c r="B123" s="2">
        <v>2037</v>
      </c>
      <c r="C123" s="2">
        <v>51</v>
      </c>
      <c r="D123" s="2">
        <v>470357.2936066493</v>
      </c>
      <c r="E123" s="2">
        <v>23988221.97393912</v>
      </c>
      <c r="F123" s="2">
        <f>E123/1.19</f>
        <v>20158169.72599926</v>
      </c>
      <c r="G123" s="2">
        <v>90</v>
      </c>
      <c r="H123" s="2">
        <v>9100789.404717287</v>
      </c>
      <c r="I123" s="2">
        <v>161</v>
      </c>
      <c r="J123" s="2">
        <v>16129014.17365085</v>
      </c>
      <c r="K123" s="2">
        <v>5109190.825193745</v>
      </c>
      <c r="L123" s="2">
        <v>2019384.776791757</v>
      </c>
      <c r="M123" s="2">
        <v>13425724.62964778</v>
      </c>
      <c r="N123" s="3">
        <v>2.5</v>
      </c>
      <c r="O123" s="3">
        <v>4.5</v>
      </c>
      <c r="P123" s="2">
        <v>349418.2586294718</v>
      </c>
      <c r="Q123" s="2">
        <v>1130838.437399112</v>
      </c>
      <c r="R123" s="2">
        <v>335979.0948360306</v>
      </c>
      <c r="S123" s="2">
        <v>376296.5862163542</v>
      </c>
      <c r="T123" s="2">
        <v>5741882.730747762</v>
      </c>
      <c r="U123" s="2">
        <f>M123+P123+Q123+R123+S123+T123</f>
        <v>21360139.73747651</v>
      </c>
      <c r="V123" s="2">
        <f>F123-K123-L123-U123</f>
        <v>-8330545.613462752</v>
      </c>
      <c r="W123" s="2">
        <v>0</v>
      </c>
      <c r="X123" s="2">
        <v>0</v>
      </c>
      <c r="Y123" s="2">
        <f>W123+X123</f>
        <v>0</v>
      </c>
      <c r="Z123" s="2">
        <v>3.434251993894577E-09</v>
      </c>
      <c r="AA123" s="2">
        <v>0</v>
      </c>
      <c r="AB123" s="2">
        <v>0</v>
      </c>
      <c r="AC123" s="2">
        <v>0</v>
      </c>
      <c r="AD123" s="2">
        <v>379659.3586262618</v>
      </c>
      <c r="AE123" s="2">
        <v>1708467.113818179</v>
      </c>
      <c r="AF123" s="2">
        <f>F123-H123-L123-U123-AA123-AC123-AD123</f>
        <v>-12701803.551612556</v>
      </c>
      <c r="AG123" s="2">
        <f>F123-H123-L123-U123-AA123-AB123-AD123-Y123</f>
        <v>-12701803.551612556</v>
      </c>
      <c r="AH123" s="2">
        <f>AH122+AG123</f>
        <v>690423356.265806</v>
      </c>
      <c r="AI123" s="2">
        <v>66457757.82727055</v>
      </c>
      <c r="AJ123" s="2">
        <f>AH123-AI123</f>
        <v>623965598.4385355</v>
      </c>
      <c r="AK123" s="3">
        <v>0.25</v>
      </c>
    </row>
    <row r="124" spans="1:37">
      <c r="A124" s="2">
        <v>123</v>
      </c>
      <c r="B124" s="2">
        <v>2037</v>
      </c>
      <c r="C124" s="2">
        <v>68</v>
      </c>
      <c r="D124" s="2">
        <v>470357.2936066493</v>
      </c>
      <c r="E124" s="2">
        <v>31984295.96525215</v>
      </c>
      <c r="F124" s="2">
        <f>E124/1.19</f>
        <v>26877559.634665675</v>
      </c>
      <c r="G124" s="2">
        <v>100</v>
      </c>
      <c r="H124" s="2">
        <v>10111988.22746365</v>
      </c>
      <c r="I124" s="2">
        <v>193</v>
      </c>
      <c r="J124" s="2">
        <v>19404266.14335287</v>
      </c>
      <c r="K124" s="2">
        <v>6836736.257761633</v>
      </c>
      <c r="L124" s="2">
        <v>2694471.58165594</v>
      </c>
      <c r="M124" s="2">
        <v>13425724.62964778</v>
      </c>
      <c r="N124" s="3">
        <v>2.5</v>
      </c>
      <c r="O124" s="3">
        <v>4.5</v>
      </c>
      <c r="P124" s="2">
        <v>349418.2586294718</v>
      </c>
      <c r="Q124" s="2">
        <v>1130838.437399112</v>
      </c>
      <c r="R124" s="2">
        <v>335979.0948360306</v>
      </c>
      <c r="S124" s="2">
        <v>376296.5862163542</v>
      </c>
      <c r="T124" s="2">
        <v>5741882.730747762</v>
      </c>
      <c r="U124" s="2">
        <f>M124+P124+Q124+R124+S124+T124</f>
        <v>21360139.73747651</v>
      </c>
      <c r="V124" s="2">
        <f>F124-K124-L124-U124</f>
        <v>-4013787.9422284104</v>
      </c>
      <c r="W124" s="2">
        <v>0</v>
      </c>
      <c r="X124" s="2">
        <v>0</v>
      </c>
      <c r="Y124" s="2">
        <f>W124+X124</f>
        <v>0</v>
      </c>
      <c r="Z124" s="2">
        <v>3.434251993894577E-09</v>
      </c>
      <c r="AA124" s="2">
        <v>0</v>
      </c>
      <c r="AB124" s="2">
        <v>0</v>
      </c>
      <c r="AC124" s="2">
        <v>0</v>
      </c>
      <c r="AD124" s="2">
        <v>189829.6793131309</v>
      </c>
      <c r="AE124" s="2">
        <v>1898296.79313131</v>
      </c>
      <c r="AF124" s="2">
        <f>F124-H124-L124-U124-AA124-AC124-AD124</f>
        <v>-7478869.591243558</v>
      </c>
      <c r="AG124" s="2">
        <f>F124-H124-L124-U124-AA124-AB124-AD124-Y124</f>
        <v>-7478869.591243558</v>
      </c>
      <c r="AH124" s="2">
        <f>AH123+AG124</f>
        <v>682944486.6745625</v>
      </c>
      <c r="AI124" s="2">
        <v>66457757.82727055</v>
      </c>
      <c r="AJ124" s="2">
        <f>AH124-AI124</f>
        <v>616486728.847292</v>
      </c>
      <c r="AK124" s="3">
        <v>0.25</v>
      </c>
    </row>
    <row r="125" spans="1:37">
      <c r="A125" s="2">
        <v>124</v>
      </c>
      <c r="B125" s="2">
        <v>2037</v>
      </c>
      <c r="C125" s="2">
        <v>85</v>
      </c>
      <c r="D125" s="2">
        <v>470357.2936066493</v>
      </c>
      <c r="E125" s="2">
        <v>39980369.95656519</v>
      </c>
      <c r="F125" s="2">
        <f>E125/1.19</f>
        <v>33596949.5433321</v>
      </c>
      <c r="G125" s="2">
        <v>120</v>
      </c>
      <c r="H125" s="2">
        <v>12134385.87295639</v>
      </c>
      <c r="I125" s="2">
        <v>228</v>
      </c>
      <c r="J125" s="2">
        <v>22973842.36331792</v>
      </c>
      <c r="K125" s="2">
        <v>8564809.65299133</v>
      </c>
      <c r="L125" s="2">
        <v>3369600.623533069</v>
      </c>
      <c r="M125" s="2">
        <v>13425724.62964778</v>
      </c>
      <c r="N125" s="3">
        <v>2.5</v>
      </c>
      <c r="O125" s="3">
        <v>4.5</v>
      </c>
      <c r="P125" s="2">
        <v>349418.2586294718</v>
      </c>
      <c r="Q125" s="2">
        <v>1130838.437399112</v>
      </c>
      <c r="R125" s="2">
        <v>335979.0948360306</v>
      </c>
      <c r="S125" s="2">
        <v>376296.5862163542</v>
      </c>
      <c r="T125" s="2">
        <v>5741882.730747762</v>
      </c>
      <c r="U125" s="2">
        <f>M125+P125+Q125+R125+S125+T125</f>
        <v>21360139.73747651</v>
      </c>
      <c r="V125" s="2">
        <f>F125-K125-L125-U125</f>
        <v>302399.52933118865</v>
      </c>
      <c r="W125" s="2">
        <v>0</v>
      </c>
      <c r="X125" s="2">
        <v>0</v>
      </c>
      <c r="Y125" s="2">
        <f>W125+X125</f>
        <v>0</v>
      </c>
      <c r="Z125" s="2">
        <v>3.434251993894577E-09</v>
      </c>
      <c r="AA125" s="2">
        <v>0</v>
      </c>
      <c r="AB125" s="2">
        <v>0</v>
      </c>
      <c r="AC125" s="2">
        <v>0</v>
      </c>
      <c r="AD125" s="2">
        <v>379659.3586262623</v>
      </c>
      <c r="AE125" s="2">
        <v>2277956.151757572</v>
      </c>
      <c r="AF125" s="2">
        <f>F125-H125-L125-U125-AA125-AC125-AD125</f>
        <v>-3646836.049260129</v>
      </c>
      <c r="AG125" s="2">
        <f>F125-H125-L125-U125-AA125-AB125-AD125-Y125</f>
        <v>-3646836.049260129</v>
      </c>
      <c r="AH125" s="2">
        <f>AH124+AG125</f>
        <v>679297650.6253023</v>
      </c>
      <c r="AI125" s="2">
        <v>66457757.82727055</v>
      </c>
      <c r="AJ125" s="2">
        <f>AH125-AI125</f>
        <v>612839892.7980318</v>
      </c>
      <c r="AK125" s="3">
        <v>0.25</v>
      </c>
    </row>
    <row r="126" spans="1:37">
      <c r="A126" s="2">
        <v>125</v>
      </c>
      <c r="B126" s="2">
        <v>2037</v>
      </c>
      <c r="C126" s="2">
        <v>103</v>
      </c>
      <c r="D126" s="2">
        <v>470357.2936066493</v>
      </c>
      <c r="E126" s="2">
        <v>48446801.24148488</v>
      </c>
      <c r="F126" s="2">
        <f>E126/1.19</f>
        <v>40711597.68192007</v>
      </c>
      <c r="G126" s="2">
        <v>140</v>
      </c>
      <c r="H126" s="2">
        <v>14156783.51844912</v>
      </c>
      <c r="I126" s="2">
        <v>265</v>
      </c>
      <c r="J126" s="2">
        <v>26738086.57246811</v>
      </c>
      <c r="K126" s="2">
        <v>10392539.30929893</v>
      </c>
      <c r="L126" s="2">
        <v>4084283.529252825</v>
      </c>
      <c r="M126" s="2">
        <v>13425724.62964778</v>
      </c>
      <c r="N126" s="3">
        <v>2.5</v>
      </c>
      <c r="O126" s="3">
        <v>4.5</v>
      </c>
      <c r="P126" s="2">
        <v>349418.2586294718</v>
      </c>
      <c r="Q126" s="2">
        <v>1130838.437399112</v>
      </c>
      <c r="R126" s="2">
        <v>335979.0948360306</v>
      </c>
      <c r="S126" s="2">
        <v>376296.5862163542</v>
      </c>
      <c r="T126" s="2">
        <v>5741882.730747762</v>
      </c>
      <c r="U126" s="2">
        <f>M126+P126+Q126+R126+S126+T126</f>
        <v>21360139.73747651</v>
      </c>
      <c r="V126" s="2">
        <f>F126-K126-L126-U126</f>
        <v>4874635.105891805</v>
      </c>
      <c r="W126" s="2">
        <v>0</v>
      </c>
      <c r="X126" s="2">
        <v>0</v>
      </c>
      <c r="Y126" s="2">
        <f>W126+X126</f>
        <v>0</v>
      </c>
      <c r="Z126" s="2">
        <v>3.434251993894577E-09</v>
      </c>
      <c r="AA126" s="2">
        <v>0</v>
      </c>
      <c r="AB126" s="2">
        <v>0</v>
      </c>
      <c r="AC126" s="2">
        <v>0</v>
      </c>
      <c r="AD126" s="2">
        <v>379659.3586262618</v>
      </c>
      <c r="AE126" s="2">
        <v>2657615.510383834</v>
      </c>
      <c r="AF126" s="2">
        <f>F126-H126-L126-U126-AA126-AC126-AD126</f>
        <v>730731.5381153557</v>
      </c>
      <c r="AG126" s="2">
        <f>F126-H126-L126-U126-AA126-AB126-AD126-Y126</f>
        <v>730731.5381153557</v>
      </c>
      <c r="AH126" s="2">
        <f>AH125+AG126</f>
        <v>680028382.1634177</v>
      </c>
      <c r="AI126" s="2">
        <v>66457757.82727055</v>
      </c>
      <c r="AJ126" s="2">
        <f>AH126-AI126</f>
        <v>613570624.3361472</v>
      </c>
      <c r="AK126" s="3">
        <v>0.25</v>
      </c>
    </row>
    <row r="127" spans="1:37">
      <c r="A127" s="2">
        <v>126</v>
      </c>
      <c r="B127" s="2">
        <v>2037</v>
      </c>
      <c r="C127" s="2">
        <v>120</v>
      </c>
      <c r="D127" s="2">
        <v>470357.2936066493</v>
      </c>
      <c r="E127" s="2">
        <v>56442875.23279792</v>
      </c>
      <c r="F127" s="2">
        <f>E127/1.19</f>
        <v>47430987.59058649</v>
      </c>
      <c r="G127" s="2">
        <v>170</v>
      </c>
      <c r="H127" s="2">
        <v>17190379.98668821</v>
      </c>
      <c r="I127" s="2">
        <v>315</v>
      </c>
      <c r="J127" s="2">
        <v>31810268.88766492</v>
      </c>
      <c r="K127" s="2">
        <v>12118197.6714914</v>
      </c>
      <c r="L127" s="2">
        <v>4759219.368486976</v>
      </c>
      <c r="M127" s="2">
        <v>13425724.62964778</v>
      </c>
      <c r="N127" s="3">
        <v>2.5</v>
      </c>
      <c r="O127" s="3">
        <v>4.5</v>
      </c>
      <c r="P127" s="2">
        <v>349418.2586294718</v>
      </c>
      <c r="Q127" s="2">
        <v>1130838.437399112</v>
      </c>
      <c r="R127" s="2">
        <v>335979.0948360306</v>
      </c>
      <c r="S127" s="2">
        <v>376296.5862163542</v>
      </c>
      <c r="T127" s="2">
        <v>5741882.730747762</v>
      </c>
      <c r="U127" s="2">
        <f>M127+P127+Q127+R127+S127+T127</f>
        <v>21360139.73747651</v>
      </c>
      <c r="V127" s="2">
        <f>F127-K127-L127-U127</f>
        <v>9193430.813131604</v>
      </c>
      <c r="W127" s="2">
        <v>0</v>
      </c>
      <c r="X127" s="2">
        <v>0</v>
      </c>
      <c r="Y127" s="2">
        <f>W127+X127</f>
        <v>0</v>
      </c>
      <c r="Z127" s="2">
        <v>3.434251993894577E-09</v>
      </c>
      <c r="AA127" s="2">
        <v>0</v>
      </c>
      <c r="AB127" s="2">
        <v>0</v>
      </c>
      <c r="AC127" s="2">
        <v>0</v>
      </c>
      <c r="AD127" s="2">
        <v>569489.037939393</v>
      </c>
      <c r="AE127" s="2">
        <v>3227104.548323227</v>
      </c>
      <c r="AF127" s="2">
        <f>F127-H127-L127-U127-AA127-AC127-AD127</f>
        <v>3551759.459995399</v>
      </c>
      <c r="AG127" s="2">
        <f>F127-H127-L127-U127-AA127-AB127-AD127-Y127</f>
        <v>3551759.459995399</v>
      </c>
      <c r="AH127" s="2">
        <f>AH126+AG127</f>
        <v>683580141.6234131</v>
      </c>
      <c r="AI127" s="2">
        <v>66457757.82727055</v>
      </c>
      <c r="AJ127" s="2">
        <f>AH127-AI127</f>
        <v>617122383.7961426</v>
      </c>
      <c r="AK127" s="3">
        <v>0.25</v>
      </c>
    </row>
    <row r="128" spans="1:37">
      <c r="A128" s="2">
        <v>127</v>
      </c>
      <c r="B128" s="2">
        <v>2037</v>
      </c>
      <c r="C128" s="2">
        <v>137</v>
      </c>
      <c r="D128" s="2">
        <v>470357.2936066493</v>
      </c>
      <c r="E128" s="2">
        <v>64438949.22411096</v>
      </c>
      <c r="F128" s="2">
        <f>E128/1.19</f>
        <v>54150377.49925291</v>
      </c>
      <c r="G128" s="2">
        <v>190</v>
      </c>
      <c r="H128" s="2">
        <v>19212777.63218094</v>
      </c>
      <c r="I128" s="2">
        <v>368</v>
      </c>
      <c r="J128" s="2">
        <v>37181150.73129362</v>
      </c>
      <c r="K128" s="2">
        <v>13841895.78855225</v>
      </c>
      <c r="L128" s="2">
        <v>5433998.388110597</v>
      </c>
      <c r="M128" s="2">
        <v>13425724.62964778</v>
      </c>
      <c r="N128" s="3">
        <v>2.5</v>
      </c>
      <c r="O128" s="3">
        <v>4.5</v>
      </c>
      <c r="P128" s="2">
        <v>349418.2586294718</v>
      </c>
      <c r="Q128" s="2">
        <v>1130838.437399112</v>
      </c>
      <c r="R128" s="2">
        <v>335979.0948360306</v>
      </c>
      <c r="S128" s="2">
        <v>376296.5862163542</v>
      </c>
      <c r="T128" s="2">
        <v>5741882.730747762</v>
      </c>
      <c r="U128" s="2">
        <f>M128+P128+Q128+R128+S128+T128</f>
        <v>21360139.73747651</v>
      </c>
      <c r="V128" s="2">
        <f>F128-K128-L128-U128</f>
        <v>13514343.585113559</v>
      </c>
      <c r="W128" s="2">
        <v>0</v>
      </c>
      <c r="X128" s="2">
        <v>0</v>
      </c>
      <c r="Y128" s="2">
        <f>W128+X128</f>
        <v>0</v>
      </c>
      <c r="Z128" s="2">
        <v>3.434251993894577E-09</v>
      </c>
      <c r="AA128" s="2">
        <v>0</v>
      </c>
      <c r="AB128" s="2">
        <v>0</v>
      </c>
      <c r="AC128" s="2">
        <v>0</v>
      </c>
      <c r="AD128" s="2">
        <v>379659.3586262623</v>
      </c>
      <c r="AE128" s="2">
        <v>3606763.906949489</v>
      </c>
      <c r="AF128" s="2">
        <f>F128-H128-L128-U128-AA128-AC128-AD128</f>
        <v>7763802.382858596</v>
      </c>
      <c r="AG128" s="2">
        <f>F128-H128-L128-U128-AA128-AB128-AD128-Y128</f>
        <v>7763802.382858596</v>
      </c>
      <c r="AH128" s="2">
        <f>AH127+AG128</f>
        <v>691343944.0062717</v>
      </c>
      <c r="AI128" s="2">
        <v>66457757.82727055</v>
      </c>
      <c r="AJ128" s="2">
        <f>AH128-AI128</f>
        <v>624886186.1790012</v>
      </c>
      <c r="AK128" s="3">
        <v>0.25</v>
      </c>
    </row>
    <row r="129" spans="1:37">
      <c r="A129" s="2">
        <v>128</v>
      </c>
      <c r="B129" s="2">
        <v>2037</v>
      </c>
      <c r="C129" s="2">
        <v>171</v>
      </c>
      <c r="D129" s="2">
        <v>470357.2936066493</v>
      </c>
      <c r="E129" s="2">
        <v>80431097.20673704</v>
      </c>
      <c r="F129" s="2">
        <f>E129/1.19</f>
        <v>67589157.31658575</v>
      </c>
      <c r="G129" s="2">
        <v>220</v>
      </c>
      <c r="H129" s="2">
        <v>22246374.10042004</v>
      </c>
      <c r="I129" s="2">
        <v>417</v>
      </c>
      <c r="J129" s="2">
        <v>42145030.36534795</v>
      </c>
      <c r="K129" s="2">
        <v>17282494.46636571</v>
      </c>
      <c r="L129" s="2">
        <v>6783012.622853179</v>
      </c>
      <c r="M129" s="2">
        <v>13425724.62964778</v>
      </c>
      <c r="N129" s="3">
        <v>2.5</v>
      </c>
      <c r="O129" s="3">
        <v>4.5</v>
      </c>
      <c r="P129" s="2">
        <v>349418.2586294718</v>
      </c>
      <c r="Q129" s="2">
        <v>1130838.437399112</v>
      </c>
      <c r="R129" s="2">
        <v>335979.0948360306</v>
      </c>
      <c r="S129" s="2">
        <v>376296.5862163542</v>
      </c>
      <c r="T129" s="2">
        <v>5741882.730747762</v>
      </c>
      <c r="U129" s="2">
        <f>M129+P129+Q129+R129+S129+T129</f>
        <v>21360139.73747651</v>
      </c>
      <c r="V129" s="2">
        <f>F129-K129-L129-U129</f>
        <v>22163510.489890356</v>
      </c>
      <c r="W129" s="2">
        <v>0</v>
      </c>
      <c r="X129" s="2">
        <v>0</v>
      </c>
      <c r="Y129" s="2">
        <f>W129+X129</f>
        <v>0</v>
      </c>
      <c r="Z129" s="2">
        <v>3.434251993894577E-09</v>
      </c>
      <c r="AA129" s="2">
        <v>0</v>
      </c>
      <c r="AB129" s="2">
        <v>0</v>
      </c>
      <c r="AC129" s="2">
        <v>0</v>
      </c>
      <c r="AD129" s="2">
        <v>569489.037939393</v>
      </c>
      <c r="AE129" s="2">
        <v>4176252.944888882</v>
      </c>
      <c r="AF129" s="2">
        <f>F129-H129-L129-U129-AA129-AC129-AD129</f>
        <v>16630141.81789663</v>
      </c>
      <c r="AG129" s="2">
        <f>F129-H129-L129-U129-AA129-AB129-AD129-Y129</f>
        <v>16630141.81789663</v>
      </c>
      <c r="AH129" s="2">
        <f>AH128+AG129</f>
        <v>707974085.8241683</v>
      </c>
      <c r="AI129" s="2">
        <v>66457757.82727055</v>
      </c>
      <c r="AJ129" s="2">
        <f>AH129-AI129</f>
        <v>641516327.9968978</v>
      </c>
      <c r="AK129" s="3">
        <v>0.25</v>
      </c>
    </row>
    <row r="130" spans="1:37">
      <c r="A130" s="2">
        <v>129</v>
      </c>
      <c r="B130" s="2">
        <v>2037</v>
      </c>
      <c r="C130" s="2">
        <v>188</v>
      </c>
      <c r="D130" s="2">
        <v>470357.2936066493</v>
      </c>
      <c r="E130" s="2">
        <v>88427171.19805008</v>
      </c>
      <c r="F130" s="2">
        <f>E130/1.19</f>
        <v>74308547.22525217</v>
      </c>
      <c r="G130" s="2">
        <v>240</v>
      </c>
      <c r="H130" s="2">
        <v>24268771.74591277</v>
      </c>
      <c r="I130" s="2">
        <v>469</v>
      </c>
      <c r="J130" s="2">
        <v>47409548.23467471</v>
      </c>
      <c r="K130" s="2">
        <v>19004253.87658602</v>
      </c>
      <c r="L130" s="2">
        <v>7457636.545929556</v>
      </c>
      <c r="M130" s="2">
        <v>13425724.62964778</v>
      </c>
      <c r="N130" s="3">
        <v>2.5</v>
      </c>
      <c r="O130" s="3">
        <v>4.5</v>
      </c>
      <c r="P130" s="2">
        <v>349418.2586294718</v>
      </c>
      <c r="Q130" s="2">
        <v>1130838.437399112</v>
      </c>
      <c r="R130" s="2">
        <v>335979.0948360306</v>
      </c>
      <c r="S130" s="2">
        <v>376296.5862163542</v>
      </c>
      <c r="T130" s="2">
        <v>5741882.730747762</v>
      </c>
      <c r="U130" s="2">
        <f>M130+P130+Q130+R130+S130+T130</f>
        <v>21360139.73747651</v>
      </c>
      <c r="V130" s="2">
        <f>F130-K130-L130-U130</f>
        <v>26486517.06526008</v>
      </c>
      <c r="W130" s="2">
        <v>0</v>
      </c>
      <c r="X130" s="2">
        <v>0</v>
      </c>
      <c r="Y130" s="2">
        <f>W130+X130</f>
        <v>0</v>
      </c>
      <c r="Z130" s="2">
        <v>3.434251993894577E-09</v>
      </c>
      <c r="AA130" s="2">
        <v>0</v>
      </c>
      <c r="AB130" s="2">
        <v>0</v>
      </c>
      <c r="AC130" s="2">
        <v>0</v>
      </c>
      <c r="AD130" s="2">
        <v>379659.3586262618</v>
      </c>
      <c r="AE130" s="2">
        <v>4555912.303515144</v>
      </c>
      <c r="AF130" s="2">
        <f>F130-H130-L130-U130-AA130-AC130-AD130</f>
        <v>20842339.837307062</v>
      </c>
      <c r="AG130" s="2">
        <f>F130-H130-L130-U130-AA130-AB130-AD130-Y130</f>
        <v>20842339.837307062</v>
      </c>
      <c r="AH130" s="2">
        <f>AH129+AG130</f>
        <v>728816425.6614754</v>
      </c>
      <c r="AI130" s="2">
        <v>66457757.82727055</v>
      </c>
      <c r="AJ130" s="2">
        <f>AH130-AI130</f>
        <v>662358667.8342049</v>
      </c>
      <c r="AK130" s="3">
        <v>0.25</v>
      </c>
    </row>
    <row r="131" spans="1:37">
      <c r="A131" s="2">
        <v>130</v>
      </c>
      <c r="B131" s="2">
        <v>2037</v>
      </c>
      <c r="C131" s="2">
        <v>222</v>
      </c>
      <c r="D131" s="2">
        <v>470357.2936066493</v>
      </c>
      <c r="E131" s="2">
        <v>104419319.1806761</v>
      </c>
      <c r="F131" s="2">
        <f>E131/1.19</f>
        <v>87747327.042585</v>
      </c>
      <c r="G131" s="2">
        <v>290</v>
      </c>
      <c r="H131" s="2">
        <v>29324765.8596446</v>
      </c>
      <c r="I131" s="2">
        <v>537</v>
      </c>
      <c r="J131" s="2">
        <v>54290285.46594132</v>
      </c>
      <c r="K131" s="2">
        <v>22444028.62837798</v>
      </c>
      <c r="L131" s="2">
        <v>8806584.866590418</v>
      </c>
      <c r="M131" s="2">
        <v>13425724.62964778</v>
      </c>
      <c r="N131" s="3">
        <v>2.5</v>
      </c>
      <c r="O131" s="3">
        <v>4.5</v>
      </c>
      <c r="P131" s="2">
        <v>349418.2586294718</v>
      </c>
      <c r="Q131" s="2">
        <v>1130838.437399112</v>
      </c>
      <c r="R131" s="2">
        <v>335979.0948360306</v>
      </c>
      <c r="S131" s="2">
        <v>376296.5862163542</v>
      </c>
      <c r="T131" s="2">
        <v>5741882.730747762</v>
      </c>
      <c r="U131" s="2">
        <f>M131+P131+Q131+R131+S131+T131</f>
        <v>21360139.73747651</v>
      </c>
      <c r="V131" s="2">
        <f>F131-K131-L131-U131</f>
        <v>35136573.8101401</v>
      </c>
      <c r="W131" s="2">
        <v>0</v>
      </c>
      <c r="X131" s="2">
        <v>0</v>
      </c>
      <c r="Y131" s="2">
        <f>W131+X131</f>
        <v>0</v>
      </c>
      <c r="Z131" s="2">
        <v>3.434251993894577E-09</v>
      </c>
      <c r="AA131" s="2">
        <v>0</v>
      </c>
      <c r="AB131" s="2">
        <v>0</v>
      </c>
      <c r="AC131" s="2">
        <v>0</v>
      </c>
      <c r="AD131" s="2">
        <v>949148.3965656543</v>
      </c>
      <c r="AE131" s="2">
        <v>5505060.700080798</v>
      </c>
      <c r="AF131" s="2">
        <f>F131-H131-L131-U131-AA131-AC131-AD131</f>
        <v>27306688.18230783</v>
      </c>
      <c r="AG131" s="2">
        <f>F131-H131-L131-U131-AA131-AB131-AD131-Y131</f>
        <v>27306688.18230783</v>
      </c>
      <c r="AH131" s="2">
        <f>AH130+AG131</f>
        <v>756123113.8437833</v>
      </c>
      <c r="AI131" s="2">
        <v>66457757.82727055</v>
      </c>
      <c r="AJ131" s="2">
        <f>AH131-AI131</f>
        <v>689665356.0165128</v>
      </c>
      <c r="AK131" s="3">
        <v>0.25</v>
      </c>
    </row>
    <row r="132" spans="1:37">
      <c r="A132" s="2">
        <v>131</v>
      </c>
      <c r="B132" s="2">
        <v>2037</v>
      </c>
      <c r="C132" s="2">
        <v>239</v>
      </c>
      <c r="D132" s="2">
        <v>470357.2936066493</v>
      </c>
      <c r="E132" s="2">
        <v>112415393.1719892</v>
      </c>
      <c r="F132" s="2">
        <f>E132/1.19</f>
        <v>94466716.95125142</v>
      </c>
      <c r="G132" s="2">
        <v>30</v>
      </c>
      <c r="H132" s="2">
        <v>3033596.468239096</v>
      </c>
      <c r="I132" s="2">
        <v>328</v>
      </c>
      <c r="J132" s="2">
        <v>33160905.24587509</v>
      </c>
      <c r="K132" s="2">
        <v>24162976.68830533</v>
      </c>
      <c r="L132" s="2">
        <v>9480983.881643357</v>
      </c>
      <c r="M132" s="2">
        <v>13425724.62964778</v>
      </c>
      <c r="N132" s="3">
        <v>2.5</v>
      </c>
      <c r="O132" s="3">
        <v>4.5</v>
      </c>
      <c r="P132" s="2">
        <v>349418.2586294718</v>
      </c>
      <c r="Q132" s="2">
        <v>1130838.437399112</v>
      </c>
      <c r="R132" s="2">
        <v>335979.0948360306</v>
      </c>
      <c r="S132" s="2">
        <v>376296.5862163542</v>
      </c>
      <c r="T132" s="2">
        <v>5741882.730747762</v>
      </c>
      <c r="U132" s="2">
        <f>M132+P132+Q132+R132+S132+T132</f>
        <v>21360139.73747651</v>
      </c>
      <c r="V132" s="2">
        <f>F132-K132-L132-U132</f>
        <v>39462616.64382622</v>
      </c>
      <c r="W132" s="2">
        <v>0</v>
      </c>
      <c r="X132" s="2">
        <v>0</v>
      </c>
      <c r="Y132" s="2">
        <f>W132+X132</f>
        <v>0</v>
      </c>
      <c r="Z132" s="2">
        <v>3.434251993894577E-09</v>
      </c>
      <c r="AA132" s="2">
        <v>0</v>
      </c>
      <c r="AB132" s="2">
        <v>0</v>
      </c>
      <c r="AC132" s="2">
        <v>0</v>
      </c>
      <c r="AD132" s="2">
        <v>-4935571.662141405</v>
      </c>
      <c r="AE132" s="2">
        <v>569489.037939393</v>
      </c>
      <c r="AF132" s="2">
        <f>F132-H132-L132-U132-AA132-AC132-AD132</f>
        <v>65527568.526033856</v>
      </c>
      <c r="AG132" s="2">
        <f>F132-H132-L132-U132-AA132-AB132-AD132-Y132</f>
        <v>65527568.526033856</v>
      </c>
      <c r="AH132" s="2">
        <f>AH131+AG132</f>
        <v>821650682.3698171</v>
      </c>
      <c r="AI132" s="2">
        <v>66457757.82727055</v>
      </c>
      <c r="AJ132" s="2">
        <f>AH132-AI132</f>
        <v>755192924.5425466</v>
      </c>
      <c r="AK132" s="3">
        <v>0.25</v>
      </c>
    </row>
    <row r="133" spans="1:37">
      <c r="A133" s="2">
        <v>132</v>
      </c>
      <c r="B133" s="2">
        <v>2037</v>
      </c>
      <c r="C133" s="2">
        <v>291</v>
      </c>
      <c r="D133" s="2">
        <v>470357.2936066493</v>
      </c>
      <c r="E133" s="2">
        <v>136873972.439535</v>
      </c>
      <c r="F133" s="2">
        <f>E133/1.19</f>
        <v>115020144.90717225</v>
      </c>
      <c r="G133" s="2">
        <v>60</v>
      </c>
      <c r="H133" s="2">
        <v>6067192.936478193</v>
      </c>
      <c r="I133" s="2">
        <v>97</v>
      </c>
      <c r="J133" s="2">
        <v>9807024.545588326</v>
      </c>
      <c r="K133" s="2">
        <v>29421073.63676496</v>
      </c>
      <c r="L133" s="2">
        <v>11543862.51125278</v>
      </c>
      <c r="M133" s="2">
        <v>13425724.62964778</v>
      </c>
      <c r="N133" s="3">
        <v>2.5</v>
      </c>
      <c r="O133" s="3">
        <v>4.5</v>
      </c>
      <c r="P133" s="2">
        <v>349418.2586294718</v>
      </c>
      <c r="Q133" s="2">
        <v>1130838.437399112</v>
      </c>
      <c r="R133" s="2">
        <v>335979.0948360306</v>
      </c>
      <c r="S133" s="2">
        <v>376296.5862163542</v>
      </c>
      <c r="T133" s="2">
        <v>5741882.730747762</v>
      </c>
      <c r="U133" s="2">
        <f>M133+P133+Q133+R133+S133+T133</f>
        <v>21360139.73747651</v>
      </c>
      <c r="V133" s="2">
        <f>F133-K133-L133-U133</f>
        <v>52695069.021677986</v>
      </c>
      <c r="W133" s="2">
        <v>0</v>
      </c>
      <c r="X133" s="2">
        <v>0</v>
      </c>
      <c r="Y133" s="2">
        <f>W133+X133</f>
        <v>0</v>
      </c>
      <c r="Z133" s="2">
        <v>3.434251993894577E-09</v>
      </c>
      <c r="AA133" s="2">
        <v>0</v>
      </c>
      <c r="AB133" s="2">
        <v>44367757.71542095</v>
      </c>
      <c r="AC133" s="2">
        <v>44367757.71542095</v>
      </c>
      <c r="AD133" s="2">
        <v>569489.037939393</v>
      </c>
      <c r="AE133" s="2">
        <v>1138978.075878786</v>
      </c>
      <c r="AF133" s="2">
        <f>F133-H133-L133-U133-AA133-AC133-AD133</f>
        <v>31111702.968604423</v>
      </c>
      <c r="AG133" s="2">
        <f>F133-H133-L133-U133-AA133-AB133-AD133-Y133</f>
        <v>31111702.968604423</v>
      </c>
      <c r="AH133" s="2">
        <f>AH132+AG133</f>
        <v>852762385.3384216</v>
      </c>
      <c r="AI133" s="2">
        <v>66457757.82727055</v>
      </c>
      <c r="AJ133" s="2">
        <f>AH133-AI133</f>
        <v>786304627.5111511</v>
      </c>
      <c r="AK133" s="3">
        <v>0.25</v>
      </c>
    </row>
    <row r="134" spans="1:37">
      <c r="A134" s="2">
        <v>133</v>
      </c>
      <c r="B134" s="2">
        <v>2038</v>
      </c>
      <c r="C134" s="2">
        <v>36</v>
      </c>
      <c r="D134" s="2">
        <v>484468.0124148488</v>
      </c>
      <c r="E134" s="2">
        <v>17440848.44693456</v>
      </c>
      <c r="F134" s="2">
        <f>E134/1.19</f>
        <v>14656175.165491227</v>
      </c>
      <c r="G134" s="2">
        <v>70</v>
      </c>
      <c r="H134" s="2">
        <v>7290743.512001296</v>
      </c>
      <c r="I134" s="2">
        <v>131</v>
      </c>
      <c r="J134" s="2">
        <v>13412021.64996551</v>
      </c>
      <c r="K134" s="2">
        <v>3685746.40762411</v>
      </c>
      <c r="L134" s="2">
        <v>1465896.651033137</v>
      </c>
      <c r="M134" s="2">
        <v>15136597.37637182</v>
      </c>
      <c r="N134" s="3">
        <v>3</v>
      </c>
      <c r="O134" s="3">
        <v>5</v>
      </c>
      <c r="P134" s="2">
        <v>387585.4838028449</v>
      </c>
      <c r="Q134" s="2">
        <v>1212588.870754615</v>
      </c>
      <c r="R134" s="2">
        <v>346058.4676811115</v>
      </c>
      <c r="S134" s="2">
        <v>387585.4838028449</v>
      </c>
      <c r="T134" s="2">
        <v>6208288.91019914</v>
      </c>
      <c r="U134" s="2">
        <f>M134+P134+Q134+R134+S134+T134</f>
        <v>23678704.59261237</v>
      </c>
      <c r="V134" s="2">
        <f>F134-K134-L134-U134</f>
        <v>-14174172.485778391</v>
      </c>
      <c r="W134" s="2">
        <v>0</v>
      </c>
      <c r="X134" s="2">
        <v>0</v>
      </c>
      <c r="Y134" s="2">
        <f>W134+X134</f>
        <v>0</v>
      </c>
      <c r="Z134" s="2">
        <v>3.434251993894577E-09</v>
      </c>
      <c r="AA134" s="2">
        <v>0</v>
      </c>
      <c r="AB134" s="2">
        <v>0</v>
      </c>
      <c r="AC134" s="2">
        <v>0</v>
      </c>
      <c r="AD134" s="2">
        <v>229693.9119688885</v>
      </c>
      <c r="AE134" s="2">
        <v>1368671.987847674</v>
      </c>
      <c r="AF134" s="2">
        <f>F134-H134-L134-U134-AA134-AC134-AD134</f>
        <v>-18008863.502124462</v>
      </c>
      <c r="AG134" s="2">
        <f>F134-H134-L134-U134-AA134-AB134-AD134-Y134</f>
        <v>-18008863.502124462</v>
      </c>
      <c r="AH134" s="2">
        <f>AH133+AG134</f>
        <v>834753521.8362972</v>
      </c>
      <c r="AI134" s="2">
        <v>73413452.39267811</v>
      </c>
      <c r="AJ134" s="2">
        <f>AH134-AI134</f>
        <v>761340069.443619</v>
      </c>
      <c r="AK134" s="3">
        <v>0.25</v>
      </c>
    </row>
    <row r="135" spans="1:37">
      <c r="A135" s="2">
        <v>134</v>
      </c>
      <c r="B135" s="2">
        <v>2038</v>
      </c>
      <c r="C135" s="2">
        <v>54</v>
      </c>
      <c r="D135" s="2">
        <v>484468.0124148488</v>
      </c>
      <c r="E135" s="2">
        <v>26161272.67040184</v>
      </c>
      <c r="F135" s="2">
        <f>E135/1.19</f>
        <v>21984262.74823684</v>
      </c>
      <c r="G135" s="2">
        <v>90</v>
      </c>
      <c r="H135" s="2">
        <v>9373813.086858807</v>
      </c>
      <c r="I135" s="2">
        <v>167</v>
      </c>
      <c r="J135" s="2">
        <v>17218255.20836951</v>
      </c>
      <c r="K135" s="2">
        <v>5567579.528454811</v>
      </c>
      <c r="L135" s="2">
        <v>2201961.769911197</v>
      </c>
      <c r="M135" s="2">
        <v>15136597.37637182</v>
      </c>
      <c r="N135" s="3">
        <v>3</v>
      </c>
      <c r="O135" s="3">
        <v>5</v>
      </c>
      <c r="P135" s="2">
        <v>387585.4838028449</v>
      </c>
      <c r="Q135" s="2">
        <v>1212588.870754615</v>
      </c>
      <c r="R135" s="2">
        <v>346058.4676811115</v>
      </c>
      <c r="S135" s="2">
        <v>387585.4838028449</v>
      </c>
      <c r="T135" s="2">
        <v>6208288.91019914</v>
      </c>
      <c r="U135" s="2">
        <f>M135+P135+Q135+R135+S135+T135</f>
        <v>23678704.59261237</v>
      </c>
      <c r="V135" s="2">
        <f>F135-K135-L135-U135</f>
        <v>-9463983.142741539</v>
      </c>
      <c r="W135" s="2">
        <v>0</v>
      </c>
      <c r="X135" s="2">
        <v>0</v>
      </c>
      <c r="Y135" s="2">
        <f>W135+X135</f>
        <v>0</v>
      </c>
      <c r="Z135" s="2">
        <v>3.434251993894577E-09</v>
      </c>
      <c r="AA135" s="2">
        <v>0</v>
      </c>
      <c r="AB135" s="2">
        <v>0</v>
      </c>
      <c r="AC135" s="2">
        <v>0</v>
      </c>
      <c r="AD135" s="2">
        <v>391049.1393850497</v>
      </c>
      <c r="AE135" s="2">
        <v>1759721.127232724</v>
      </c>
      <c r="AF135" s="2">
        <f>F135-H135-L135-U135-AA135-AC135-AD135</f>
        <v>-13661265.840530587</v>
      </c>
      <c r="AG135" s="2">
        <f>F135-H135-L135-U135-AA135-AB135-AD135-Y135</f>
        <v>-13661265.840530587</v>
      </c>
      <c r="AH135" s="2">
        <f>AH134+AG135</f>
        <v>821092255.9957665</v>
      </c>
      <c r="AI135" s="2">
        <v>73413452.39267811</v>
      </c>
      <c r="AJ135" s="2">
        <f>AH135-AI135</f>
        <v>747678803.6030884</v>
      </c>
      <c r="AK135" s="3">
        <v>0.25</v>
      </c>
    </row>
    <row r="136" spans="1:37">
      <c r="A136" s="2">
        <v>135</v>
      </c>
      <c r="B136" s="2">
        <v>2038</v>
      </c>
      <c r="C136" s="2">
        <v>72</v>
      </c>
      <c r="D136" s="2">
        <v>484468.0124148488</v>
      </c>
      <c r="E136" s="2">
        <v>34881696.89386912</v>
      </c>
      <c r="F136" s="2">
        <f>E136/1.19</f>
        <v>29312350.330982454</v>
      </c>
      <c r="G136" s="2">
        <v>110</v>
      </c>
      <c r="H136" s="2">
        <v>11456882.66171632</v>
      </c>
      <c r="I136" s="2">
        <v>205</v>
      </c>
      <c r="J136" s="2">
        <v>21221672.43092994</v>
      </c>
      <c r="K136" s="2">
        <v>7453465.439155882</v>
      </c>
      <c r="L136" s="2">
        <v>2938351.111978887</v>
      </c>
      <c r="M136" s="2">
        <v>15136597.37637182</v>
      </c>
      <c r="N136" s="3">
        <v>3</v>
      </c>
      <c r="O136" s="3">
        <v>5</v>
      </c>
      <c r="P136" s="2">
        <v>387585.4838028449</v>
      </c>
      <c r="Q136" s="2">
        <v>1212588.870754615</v>
      </c>
      <c r="R136" s="2">
        <v>346058.4676811115</v>
      </c>
      <c r="S136" s="2">
        <v>387585.4838028449</v>
      </c>
      <c r="T136" s="2">
        <v>6208288.91019914</v>
      </c>
      <c r="U136" s="2">
        <f>M136+P136+Q136+R136+S136+T136</f>
        <v>23678704.59261237</v>
      </c>
      <c r="V136" s="2">
        <f>F136-K136-L136-U136</f>
        <v>-4758170.812764689</v>
      </c>
      <c r="W136" s="2">
        <v>0</v>
      </c>
      <c r="X136" s="2">
        <v>0</v>
      </c>
      <c r="Y136" s="2">
        <f>W136+X136</f>
        <v>0</v>
      </c>
      <c r="Z136" s="2">
        <v>3.434251993894577E-09</v>
      </c>
      <c r="AA136" s="2">
        <v>0</v>
      </c>
      <c r="AB136" s="2">
        <v>0</v>
      </c>
      <c r="AC136" s="2">
        <v>0</v>
      </c>
      <c r="AD136" s="2">
        <v>391049.1393850495</v>
      </c>
      <c r="AE136" s="2">
        <v>2150770.266617774</v>
      </c>
      <c r="AF136" s="2">
        <f>F136-H136-L136-U136-AA136-AC136-AD136</f>
        <v>-9152637.174710173</v>
      </c>
      <c r="AG136" s="2">
        <f>F136-H136-L136-U136-AA136-AB136-AD136-Y136</f>
        <v>-9152637.174710173</v>
      </c>
      <c r="AH136" s="2">
        <f>AH135+AG136</f>
        <v>811939618.8210564</v>
      </c>
      <c r="AI136" s="2">
        <v>73413452.39267811</v>
      </c>
      <c r="AJ136" s="2">
        <f>AH136-AI136</f>
        <v>738526166.4283782</v>
      </c>
      <c r="AK136" s="3">
        <v>0.25</v>
      </c>
    </row>
    <row r="137" spans="1:37">
      <c r="A137" s="2">
        <v>136</v>
      </c>
      <c r="B137" s="2">
        <v>2038</v>
      </c>
      <c r="C137" s="2">
        <v>90</v>
      </c>
      <c r="D137" s="2">
        <v>484468.0124148488</v>
      </c>
      <c r="E137" s="2">
        <v>43602121.11733639</v>
      </c>
      <c r="F137" s="2">
        <f>E137/1.19</f>
        <v>36640437.913728066</v>
      </c>
      <c r="G137" s="2">
        <v>120</v>
      </c>
      <c r="H137" s="2">
        <v>12498417.44914508</v>
      </c>
      <c r="I137" s="2">
        <v>235</v>
      </c>
      <c r="J137" s="2">
        <v>24382218.83636194</v>
      </c>
      <c r="K137" s="2">
        <v>9337871.043713083</v>
      </c>
      <c r="L137" s="2">
        <v>3674622.029555067</v>
      </c>
      <c r="M137" s="2">
        <v>15136597.37637182</v>
      </c>
      <c r="N137" s="3">
        <v>3</v>
      </c>
      <c r="O137" s="3">
        <v>5</v>
      </c>
      <c r="P137" s="2">
        <v>387585.4838028449</v>
      </c>
      <c r="Q137" s="2">
        <v>1212588.870754615</v>
      </c>
      <c r="R137" s="2">
        <v>346058.4676811115</v>
      </c>
      <c r="S137" s="2">
        <v>387585.4838028449</v>
      </c>
      <c r="T137" s="2">
        <v>6208288.91019914</v>
      </c>
      <c r="U137" s="2">
        <f>M137+P137+Q137+R137+S137+T137</f>
        <v>23678704.59261237</v>
      </c>
      <c r="V137" s="2">
        <f>F137-K137-L137-U137</f>
        <v>-50759.75215245783</v>
      </c>
      <c r="W137" s="2">
        <v>0</v>
      </c>
      <c r="X137" s="2">
        <v>0</v>
      </c>
      <c r="Y137" s="2">
        <f>W137+X137</f>
        <v>0</v>
      </c>
      <c r="Z137" s="2">
        <v>3.434251993894577E-09</v>
      </c>
      <c r="AA137" s="2">
        <v>0</v>
      </c>
      <c r="AB137" s="2">
        <v>0</v>
      </c>
      <c r="AC137" s="2">
        <v>0</v>
      </c>
      <c r="AD137" s="2">
        <v>195524.5696925255</v>
      </c>
      <c r="AE137" s="2">
        <v>2346294.836310299</v>
      </c>
      <c r="AF137" s="2">
        <f>F137-H137-L137-U137-AA137-AC137-AD137</f>
        <v>-3406830.7272769767</v>
      </c>
      <c r="AG137" s="2">
        <f>F137-H137-L137-U137-AA137-AB137-AD137-Y137</f>
        <v>-3406830.7272769767</v>
      </c>
      <c r="AH137" s="2">
        <f>AH136+AG137</f>
        <v>808532788.0937794</v>
      </c>
      <c r="AI137" s="2">
        <v>73413452.39267811</v>
      </c>
      <c r="AJ137" s="2">
        <f>AH137-AI137</f>
        <v>735119335.7011013</v>
      </c>
      <c r="AK137" s="3">
        <v>0.25</v>
      </c>
    </row>
    <row r="138" spans="1:37">
      <c r="A138" s="2">
        <v>137</v>
      </c>
      <c r="B138" s="2">
        <v>2038</v>
      </c>
      <c r="C138" s="2">
        <v>108</v>
      </c>
      <c r="D138" s="2">
        <v>484468.0124148488</v>
      </c>
      <c r="E138" s="2">
        <v>52322545.34080368</v>
      </c>
      <c r="F138" s="2">
        <f>E138/1.19</f>
        <v>43968525.49647368</v>
      </c>
      <c r="G138" s="2">
        <v>150</v>
      </c>
      <c r="H138" s="2">
        <v>15623021.81143134</v>
      </c>
      <c r="I138" s="2">
        <v>277</v>
      </c>
      <c r="J138" s="2">
        <v>28782991.3232175</v>
      </c>
      <c r="K138" s="2">
        <v>11222249.32457578</v>
      </c>
      <c r="L138" s="2">
        <v>4410890.761235687</v>
      </c>
      <c r="M138" s="2">
        <v>15136597.37637182</v>
      </c>
      <c r="N138" s="3">
        <v>3</v>
      </c>
      <c r="O138" s="3">
        <v>5</v>
      </c>
      <c r="P138" s="2">
        <v>387585.4838028449</v>
      </c>
      <c r="Q138" s="2">
        <v>1212588.870754615</v>
      </c>
      <c r="R138" s="2">
        <v>346058.4676811115</v>
      </c>
      <c r="S138" s="2">
        <v>387585.4838028449</v>
      </c>
      <c r="T138" s="2">
        <v>6208288.91019914</v>
      </c>
      <c r="U138" s="2">
        <f>M138+P138+Q138+R138+S138+T138</f>
        <v>23678704.59261237</v>
      </c>
      <c r="V138" s="2">
        <f>F138-K138-L138-U138</f>
        <v>4656680.818049844</v>
      </c>
      <c r="W138" s="2">
        <v>0</v>
      </c>
      <c r="X138" s="2">
        <v>0</v>
      </c>
      <c r="Y138" s="2">
        <f>W138+X138</f>
        <v>0</v>
      </c>
      <c r="Z138" s="2">
        <v>3.434251993894577E-09</v>
      </c>
      <c r="AA138" s="2">
        <v>0</v>
      </c>
      <c r="AB138" s="2">
        <v>0</v>
      </c>
      <c r="AC138" s="2">
        <v>0</v>
      </c>
      <c r="AD138" s="2">
        <v>586573.7090775743</v>
      </c>
      <c r="AE138" s="2">
        <v>2932868.545387873</v>
      </c>
      <c r="AF138" s="2">
        <f>F138-H138-L138-U138-AA138-AC138-AD138</f>
        <v>-330665.3778833002</v>
      </c>
      <c r="AG138" s="2">
        <f>F138-H138-L138-U138-AA138-AB138-AD138-Y138</f>
        <v>-330665.3778833002</v>
      </c>
      <c r="AH138" s="2">
        <f>AH137+AG138</f>
        <v>808202122.7158961</v>
      </c>
      <c r="AI138" s="2">
        <v>73413452.39267811</v>
      </c>
      <c r="AJ138" s="2">
        <f>AH138-AI138</f>
        <v>734788670.323218</v>
      </c>
      <c r="AK138" s="3">
        <v>0.25</v>
      </c>
    </row>
    <row r="139" spans="1:37">
      <c r="A139" s="2">
        <v>138</v>
      </c>
      <c r="B139" s="2">
        <v>2038</v>
      </c>
      <c r="C139" s="2">
        <v>126</v>
      </c>
      <c r="D139" s="2">
        <v>484468.0124148488</v>
      </c>
      <c r="E139" s="2">
        <v>61042969.56427095</v>
      </c>
      <c r="F139" s="2">
        <f>E139/1.19</f>
        <v>51296613.07921929</v>
      </c>
      <c r="G139" s="2">
        <v>180</v>
      </c>
      <c r="H139" s="2">
        <v>18747626.17371761</v>
      </c>
      <c r="I139" s="2">
        <v>331</v>
      </c>
      <c r="J139" s="2">
        <v>34425895.82381953</v>
      </c>
      <c r="K139" s="2">
        <v>13104721.67311559</v>
      </c>
      <c r="L139" s="2">
        <v>5147007.018330475</v>
      </c>
      <c r="M139" s="2">
        <v>15136597.37637182</v>
      </c>
      <c r="N139" s="3">
        <v>3</v>
      </c>
      <c r="O139" s="3">
        <v>5</v>
      </c>
      <c r="P139" s="2">
        <v>387585.4838028449</v>
      </c>
      <c r="Q139" s="2">
        <v>1212588.870754615</v>
      </c>
      <c r="R139" s="2">
        <v>346058.4676811115</v>
      </c>
      <c r="S139" s="2">
        <v>387585.4838028449</v>
      </c>
      <c r="T139" s="2">
        <v>6208288.91019914</v>
      </c>
      <c r="U139" s="2">
        <f>M139+P139+Q139+R139+S139+T139</f>
        <v>23678704.59261237</v>
      </c>
      <c r="V139" s="2">
        <f>F139-K139-L139-U139</f>
        <v>9366179.795160852</v>
      </c>
      <c r="W139" s="2">
        <v>0</v>
      </c>
      <c r="X139" s="2">
        <v>0</v>
      </c>
      <c r="Y139" s="2">
        <f>W139+X139</f>
        <v>0</v>
      </c>
      <c r="Z139" s="2">
        <v>3.434251993894577E-09</v>
      </c>
      <c r="AA139" s="2">
        <v>0</v>
      </c>
      <c r="AB139" s="2">
        <v>0</v>
      </c>
      <c r="AC139" s="2">
        <v>0</v>
      </c>
      <c r="AD139" s="2">
        <v>586573.7090775748</v>
      </c>
      <c r="AE139" s="2">
        <v>3519442.254465448</v>
      </c>
      <c r="AF139" s="2">
        <f>F139-H139-L139-U139-AA139-AC139-AD139</f>
        <v>3136701.585481256</v>
      </c>
      <c r="AG139" s="2">
        <f>F139-H139-L139-U139-AA139-AB139-AD139-Y139</f>
        <v>3136701.585481256</v>
      </c>
      <c r="AH139" s="2">
        <f>AH138+AG139</f>
        <v>811338824.3013774</v>
      </c>
      <c r="AI139" s="2">
        <v>73413452.39267811</v>
      </c>
      <c r="AJ139" s="2">
        <f>AH139-AI139</f>
        <v>737925371.9086993</v>
      </c>
      <c r="AK139" s="3">
        <v>0.25</v>
      </c>
    </row>
    <row r="140" spans="1:37">
      <c r="A140" s="2">
        <v>139</v>
      </c>
      <c r="B140" s="2">
        <v>2038</v>
      </c>
      <c r="C140" s="2">
        <v>143</v>
      </c>
      <c r="D140" s="2">
        <v>484468.0124148488</v>
      </c>
      <c r="E140" s="2">
        <v>69278925.77532338</v>
      </c>
      <c r="F140" s="2">
        <f>E140/1.19</f>
        <v>58217584.6851457</v>
      </c>
      <c r="G140" s="2">
        <v>190</v>
      </c>
      <c r="H140" s="2">
        <v>19789160.96114637</v>
      </c>
      <c r="I140" s="2">
        <v>378</v>
      </c>
      <c r="J140" s="2">
        <v>39334532.56183706</v>
      </c>
      <c r="K140" s="2">
        <v>14880524.22312884</v>
      </c>
      <c r="L140" s="2">
        <v>5842060.887698051</v>
      </c>
      <c r="M140" s="2">
        <v>15136597.37637182</v>
      </c>
      <c r="N140" s="3">
        <v>3</v>
      </c>
      <c r="O140" s="3">
        <v>5</v>
      </c>
      <c r="P140" s="2">
        <v>387585.4838028449</v>
      </c>
      <c r="Q140" s="2">
        <v>1212588.870754615</v>
      </c>
      <c r="R140" s="2">
        <v>346058.4676811115</v>
      </c>
      <c r="S140" s="2">
        <v>387585.4838028449</v>
      </c>
      <c r="T140" s="2">
        <v>6208288.91019914</v>
      </c>
      <c r="U140" s="2">
        <f>M140+P140+Q140+R140+S140+T140</f>
        <v>23678704.59261237</v>
      </c>
      <c r="V140" s="2">
        <f>F140-K140-L140-U140</f>
        <v>13816294.98170644</v>
      </c>
      <c r="W140" s="2">
        <v>0</v>
      </c>
      <c r="X140" s="2">
        <v>0</v>
      </c>
      <c r="Y140" s="2">
        <f>W140+X140</f>
        <v>0</v>
      </c>
      <c r="Z140" s="2">
        <v>3.434251993894577E-09</v>
      </c>
      <c r="AA140" s="2">
        <v>0</v>
      </c>
      <c r="AB140" s="2">
        <v>0</v>
      </c>
      <c r="AC140" s="2">
        <v>0</v>
      </c>
      <c r="AD140" s="2">
        <v>195524.5696925251</v>
      </c>
      <c r="AE140" s="2">
        <v>3714966.824157973</v>
      </c>
      <c r="AF140" s="2">
        <f>F140-H140-L140-U140-AA140-AC140-AD140</f>
        <v>8712133.673996381</v>
      </c>
      <c r="AG140" s="2">
        <f>F140-H140-L140-U140-AA140-AB140-AD140-Y140</f>
        <v>8712133.673996381</v>
      </c>
      <c r="AH140" s="2">
        <f>AH139+AG140</f>
        <v>820050957.9753737</v>
      </c>
      <c r="AI140" s="2">
        <v>73413452.39267811</v>
      </c>
      <c r="AJ140" s="2">
        <f>AH140-AI140</f>
        <v>746637505.5826956</v>
      </c>
      <c r="AK140" s="3">
        <v>0.25</v>
      </c>
    </row>
    <row r="141" spans="1:37">
      <c r="A141" s="2">
        <v>140</v>
      </c>
      <c r="B141" s="2">
        <v>2038</v>
      </c>
      <c r="C141" s="2">
        <v>179</v>
      </c>
      <c r="D141" s="2">
        <v>484468.0124148488</v>
      </c>
      <c r="E141" s="2">
        <v>86719774.22225794</v>
      </c>
      <c r="F141" s="2">
        <f>E141/1.19</f>
        <v>72873759.85063693</v>
      </c>
      <c r="G141" s="2">
        <v>240</v>
      </c>
      <c r="H141" s="2">
        <v>24996834.89829015</v>
      </c>
      <c r="I141" s="2">
        <v>439</v>
      </c>
      <c r="J141" s="2">
        <v>45698172.03073762</v>
      </c>
      <c r="K141" s="2">
        <v>18633195.4293896</v>
      </c>
      <c r="L141" s="2">
        <v>7313311.52262212</v>
      </c>
      <c r="M141" s="2">
        <v>15136597.37637182</v>
      </c>
      <c r="N141" s="3">
        <v>3</v>
      </c>
      <c r="O141" s="3">
        <v>5</v>
      </c>
      <c r="P141" s="2">
        <v>387585.4838028449</v>
      </c>
      <c r="Q141" s="2">
        <v>1212588.870754615</v>
      </c>
      <c r="R141" s="2">
        <v>346058.4676811115</v>
      </c>
      <c r="S141" s="2">
        <v>387585.4838028449</v>
      </c>
      <c r="T141" s="2">
        <v>6208288.91019914</v>
      </c>
      <c r="U141" s="2">
        <f>M141+P141+Q141+R141+S141+T141</f>
        <v>23678704.59261237</v>
      </c>
      <c r="V141" s="2">
        <f>F141-K141-L141-U141</f>
        <v>23248548.30601284</v>
      </c>
      <c r="W141" s="2">
        <v>0</v>
      </c>
      <c r="X141" s="2">
        <v>0</v>
      </c>
      <c r="Y141" s="2">
        <f>W141+X141</f>
        <v>0</v>
      </c>
      <c r="Z141" s="2">
        <v>3.434251993894577E-09</v>
      </c>
      <c r="AA141" s="2">
        <v>0</v>
      </c>
      <c r="AB141" s="2">
        <v>0</v>
      </c>
      <c r="AC141" s="2">
        <v>0</v>
      </c>
      <c r="AD141" s="2">
        <v>977622.8484626249</v>
      </c>
      <c r="AE141" s="2">
        <v>4692589.672620598</v>
      </c>
      <c r="AF141" s="2">
        <f>F141-H141-L141-U141-AA141-AC141-AD141</f>
        <v>15907285.988649653</v>
      </c>
      <c r="AG141" s="2">
        <f>F141-H141-L141-U141-AA141-AB141-AD141-Y141</f>
        <v>15907285.988649653</v>
      </c>
      <c r="AH141" s="2">
        <f>AH140+AG141</f>
        <v>835958243.9640234</v>
      </c>
      <c r="AI141" s="2">
        <v>73413452.39267811</v>
      </c>
      <c r="AJ141" s="2">
        <f>AH141-AI141</f>
        <v>762544791.5713452</v>
      </c>
      <c r="AK141" s="3">
        <v>0.25</v>
      </c>
    </row>
    <row r="142" spans="1:37">
      <c r="A142" s="2">
        <v>141</v>
      </c>
      <c r="B142" s="2">
        <v>2038</v>
      </c>
      <c r="C142" s="2">
        <v>197</v>
      </c>
      <c r="D142" s="2">
        <v>484468.0124148488</v>
      </c>
      <c r="E142" s="2">
        <v>95440198.44572522</v>
      </c>
      <c r="F142" s="2">
        <f>E142/1.19</f>
        <v>80201847.43338254</v>
      </c>
      <c r="G142" s="2">
        <v>250</v>
      </c>
      <c r="H142" s="2">
        <v>26038369.68571891</v>
      </c>
      <c r="I142" s="2">
        <v>492</v>
      </c>
      <c r="J142" s="2">
        <v>51225513.09796315</v>
      </c>
      <c r="K142" s="2">
        <v>20511028.61849338</v>
      </c>
      <c r="L142" s="2">
        <v>8049056.646962026</v>
      </c>
      <c r="M142" s="2">
        <v>15136597.37637182</v>
      </c>
      <c r="N142" s="3">
        <v>3</v>
      </c>
      <c r="O142" s="3">
        <v>5</v>
      </c>
      <c r="P142" s="2">
        <v>387585.4838028449</v>
      </c>
      <c r="Q142" s="2">
        <v>1212588.870754615</v>
      </c>
      <c r="R142" s="2">
        <v>346058.4676811115</v>
      </c>
      <c r="S142" s="2">
        <v>387585.4838028449</v>
      </c>
      <c r="T142" s="2">
        <v>6208288.91019914</v>
      </c>
      <c r="U142" s="2">
        <f>M142+P142+Q142+R142+S142+T142</f>
        <v>23678704.59261237</v>
      </c>
      <c r="V142" s="2">
        <f>F142-K142-L142-U142</f>
        <v>27963057.575314768</v>
      </c>
      <c r="W142" s="2">
        <v>0</v>
      </c>
      <c r="X142" s="2">
        <v>0</v>
      </c>
      <c r="Y142" s="2">
        <f>W142+X142</f>
        <v>0</v>
      </c>
      <c r="Z142" s="2">
        <v>3.434251993894577E-09</v>
      </c>
      <c r="AA142" s="2">
        <v>0</v>
      </c>
      <c r="AB142" s="2">
        <v>0</v>
      </c>
      <c r="AC142" s="2">
        <v>0</v>
      </c>
      <c r="AD142" s="2">
        <v>195524.5696925242</v>
      </c>
      <c r="AE142" s="2">
        <v>4888114.242313122</v>
      </c>
      <c r="AF142" s="2">
        <f>F142-H142-L142-U142-AA142-AC142-AD142</f>
        <v>22240191.938396715</v>
      </c>
      <c r="AG142" s="2">
        <f>F142-H142-L142-U142-AA142-AB142-AD142-Y142</f>
        <v>22240191.938396715</v>
      </c>
      <c r="AH142" s="2">
        <f>AH141+AG142</f>
        <v>858198435.90242</v>
      </c>
      <c r="AI142" s="2">
        <v>73413452.39267811</v>
      </c>
      <c r="AJ142" s="2">
        <f>AH142-AI142</f>
        <v>784784983.5097419</v>
      </c>
      <c r="AK142" s="3">
        <v>0.25</v>
      </c>
    </row>
    <row r="143" spans="1:37">
      <c r="A143" s="2">
        <v>142</v>
      </c>
      <c r="B143" s="2">
        <v>2038</v>
      </c>
      <c r="C143" s="2">
        <v>233</v>
      </c>
      <c r="D143" s="2">
        <v>484468.0124148488</v>
      </c>
      <c r="E143" s="2">
        <v>112881046.8926598</v>
      </c>
      <c r="F143" s="2">
        <f>E143/1.19</f>
        <v>94858022.59887378</v>
      </c>
      <c r="G143" s="2">
        <v>300</v>
      </c>
      <c r="H143" s="2">
        <v>31246043.62286269</v>
      </c>
      <c r="I143" s="2">
        <v>559</v>
      </c>
      <c r="J143" s="2">
        <v>58209091.17038086</v>
      </c>
      <c r="K143" s="2">
        <v>24262465.55044498</v>
      </c>
      <c r="L143" s="2">
        <v>9520208.539941363</v>
      </c>
      <c r="M143" s="2">
        <v>15136597.37637182</v>
      </c>
      <c r="N143" s="3">
        <v>3</v>
      </c>
      <c r="O143" s="3">
        <v>5</v>
      </c>
      <c r="P143" s="2">
        <v>387585.4838028449</v>
      </c>
      <c r="Q143" s="2">
        <v>1212588.870754615</v>
      </c>
      <c r="R143" s="2">
        <v>346058.4676811115</v>
      </c>
      <c r="S143" s="2">
        <v>387585.4838028449</v>
      </c>
      <c r="T143" s="2">
        <v>6208288.91019914</v>
      </c>
      <c r="U143" s="2">
        <f>M143+P143+Q143+R143+S143+T143</f>
        <v>23678704.59261237</v>
      </c>
      <c r="V143" s="2">
        <f>F143-K143-L143-U143</f>
        <v>37396643.91587507</v>
      </c>
      <c r="W143" s="2">
        <v>0</v>
      </c>
      <c r="X143" s="2">
        <v>0</v>
      </c>
      <c r="Y143" s="2">
        <f>W143+X143</f>
        <v>0</v>
      </c>
      <c r="Z143" s="2">
        <v>3.434251993894577E-09</v>
      </c>
      <c r="AA143" s="2">
        <v>0</v>
      </c>
      <c r="AB143" s="2">
        <v>0</v>
      </c>
      <c r="AC143" s="2">
        <v>0</v>
      </c>
      <c r="AD143" s="2">
        <v>977622.8484626245</v>
      </c>
      <c r="AE143" s="2">
        <v>5865737.090775747</v>
      </c>
      <c r="AF143" s="2">
        <f>F143-H143-L143-U143-AA143-AC143-AD143</f>
        <v>29435442.99499473</v>
      </c>
      <c r="AG143" s="2">
        <f>F143-H143-L143-U143-AA143-AB143-AD143-Y143</f>
        <v>29435442.99499473</v>
      </c>
      <c r="AH143" s="2">
        <f>AH142+AG143</f>
        <v>887633878.8974148</v>
      </c>
      <c r="AI143" s="2">
        <v>73413452.39267811</v>
      </c>
      <c r="AJ143" s="2">
        <f>AH143-AI143</f>
        <v>814220426.5047367</v>
      </c>
      <c r="AK143" s="3">
        <v>0.25</v>
      </c>
    </row>
    <row r="144" spans="1:37">
      <c r="A144" s="2">
        <v>143</v>
      </c>
      <c r="B144" s="2">
        <v>2038</v>
      </c>
      <c r="C144" s="2">
        <v>251</v>
      </c>
      <c r="D144" s="2">
        <v>484468.0124148488</v>
      </c>
      <c r="E144" s="2">
        <v>121601471.1161271</v>
      </c>
      <c r="F144" s="2">
        <f>E144/1.19</f>
        <v>102186110.18161938</v>
      </c>
      <c r="G144" s="2">
        <v>40</v>
      </c>
      <c r="H144" s="2">
        <v>4166139.149715026</v>
      </c>
      <c r="I144" s="2">
        <v>348</v>
      </c>
      <c r="J144" s="2">
        <v>36238030.30282699</v>
      </c>
      <c r="K144" s="2">
        <v>26137200.0172689</v>
      </c>
      <c r="L144" s="2">
        <v>10255705.76649888</v>
      </c>
      <c r="M144" s="2">
        <v>15136597.37637182</v>
      </c>
      <c r="N144" s="3">
        <v>3</v>
      </c>
      <c r="O144" s="3">
        <v>5</v>
      </c>
      <c r="P144" s="2">
        <v>387585.4838028449</v>
      </c>
      <c r="Q144" s="2">
        <v>1212588.870754615</v>
      </c>
      <c r="R144" s="2">
        <v>346058.4676811115</v>
      </c>
      <c r="S144" s="2">
        <v>387585.4838028449</v>
      </c>
      <c r="T144" s="2">
        <v>6208288.91019914</v>
      </c>
      <c r="U144" s="2">
        <f>M144+P144+Q144+R144+S144+T144</f>
        <v>23678704.59261237</v>
      </c>
      <c r="V144" s="2">
        <f>F144-K144-L144-U144</f>
        <v>42114499.80523923</v>
      </c>
      <c r="W144" s="2">
        <v>0</v>
      </c>
      <c r="X144" s="2">
        <v>0</v>
      </c>
      <c r="Y144" s="2">
        <f>W144+X144</f>
        <v>0</v>
      </c>
      <c r="Z144" s="2">
        <v>3.434251993894577E-09</v>
      </c>
      <c r="AA144" s="2">
        <v>0</v>
      </c>
      <c r="AB144" s="2">
        <v>0</v>
      </c>
      <c r="AC144" s="2">
        <v>0</v>
      </c>
      <c r="AD144" s="2">
        <v>-5083638.812005647</v>
      </c>
      <c r="AE144" s="2">
        <v>782098.2787700997</v>
      </c>
      <c r="AF144" s="2">
        <f>F144-H144-L144-U144-AA144-AC144-AD144</f>
        <v>69169199.48479876</v>
      </c>
      <c r="AG144" s="2">
        <f>F144-H144-L144-U144-AA144-AB144-AD144-Y144</f>
        <v>69169199.48479876</v>
      </c>
      <c r="AH144" s="2">
        <f>AH143+AG144</f>
        <v>956803078.3822136</v>
      </c>
      <c r="AI144" s="2">
        <v>73413452.39267811</v>
      </c>
      <c r="AJ144" s="2">
        <f>AH144-AI144</f>
        <v>883389625.9895355</v>
      </c>
      <c r="AK144" s="3">
        <v>0.25</v>
      </c>
    </row>
    <row r="145" spans="1:37">
      <c r="A145" s="2">
        <v>144</v>
      </c>
      <c r="B145" s="2">
        <v>2038</v>
      </c>
      <c r="C145" s="2">
        <v>305</v>
      </c>
      <c r="D145" s="2">
        <v>484468.0124148488</v>
      </c>
      <c r="E145" s="2">
        <v>147762743.7865289</v>
      </c>
      <c r="F145" s="2">
        <f>E145/1.19</f>
        <v>124170372.92985621</v>
      </c>
      <c r="G145" s="2">
        <v>60</v>
      </c>
      <c r="H145" s="2">
        <v>6249208.724572538</v>
      </c>
      <c r="I145" s="2">
        <v>103</v>
      </c>
      <c r="J145" s="2">
        <v>10725945.14662292</v>
      </c>
      <c r="K145" s="2">
        <v>31761293.88077661</v>
      </c>
      <c r="L145" s="2">
        <v>12462188.68321431</v>
      </c>
      <c r="M145" s="2">
        <v>15136597.37637182</v>
      </c>
      <c r="N145" s="3">
        <v>3</v>
      </c>
      <c r="O145" s="3">
        <v>5</v>
      </c>
      <c r="P145" s="2">
        <v>387585.4838028449</v>
      </c>
      <c r="Q145" s="2">
        <v>1212588.870754615</v>
      </c>
      <c r="R145" s="2">
        <v>346058.4676811115</v>
      </c>
      <c r="S145" s="2">
        <v>387585.4838028449</v>
      </c>
      <c r="T145" s="2">
        <v>6208288.91019914</v>
      </c>
      <c r="U145" s="2">
        <f>M145+P145+Q145+R145+S145+T145</f>
        <v>23678704.59261237</v>
      </c>
      <c r="V145" s="2">
        <f>F145-K145-L145-U145</f>
        <v>56268185.77325292</v>
      </c>
      <c r="W145" s="2">
        <v>0</v>
      </c>
      <c r="X145" s="2">
        <v>0</v>
      </c>
      <c r="Y145" s="2">
        <f>W145+X145</f>
        <v>0</v>
      </c>
      <c r="Z145" s="2">
        <v>3.434251993894577E-09</v>
      </c>
      <c r="AA145" s="2">
        <v>0</v>
      </c>
      <c r="AB145" s="2">
        <v>46366021.04403508</v>
      </c>
      <c r="AC145" s="2">
        <v>46366021.04403508</v>
      </c>
      <c r="AD145" s="2">
        <v>391049.1393850498</v>
      </c>
      <c r="AE145" s="2">
        <v>1173147.41815515</v>
      </c>
      <c r="AF145" s="2">
        <f>F145-H145-L145-U145-AA145-AC145-AD145</f>
        <v>35023200.746036865</v>
      </c>
      <c r="AG145" s="2">
        <f>F145-H145-L145-U145-AA145-AB145-AD145-Y145</f>
        <v>35023200.746036865</v>
      </c>
      <c r="AH145" s="2">
        <f>AH144+AG145</f>
        <v>991826279.1282505</v>
      </c>
      <c r="AI145" s="2">
        <v>73413452.39267811</v>
      </c>
      <c r="AJ145" s="2">
        <f>AH145-AI145</f>
        <v>918412826.7355723</v>
      </c>
      <c r="AK145" s="3">
        <v>0.25</v>
      </c>
    </row>
    <row r="146" spans="1:37">
      <c r="A146" s="2">
        <v>145</v>
      </c>
      <c r="B146" s="2">
        <v>2039</v>
      </c>
      <c r="C146" s="2">
        <v>38</v>
      </c>
      <c r="D146" s="2">
        <v>499002.0527872943</v>
      </c>
      <c r="E146" s="2">
        <v>18962078.00591718</v>
      </c>
      <c r="F146" s="2">
        <f>E146/1.19</f>
        <v>15934519.332703516</v>
      </c>
      <c r="G146" s="2">
        <v>70</v>
      </c>
      <c r="H146" s="2">
        <v>7509465.817361334</v>
      </c>
      <c r="I146" s="2">
        <v>135</v>
      </c>
      <c r="J146" s="2">
        <v>14229944.97189523</v>
      </c>
      <c r="K146" s="2">
        <v>4005465.992089026</v>
      </c>
      <c r="L146" s="2">
        <v>1593614.66186391</v>
      </c>
      <c r="M146" s="2">
        <v>15590695.29766297</v>
      </c>
      <c r="N146" s="3">
        <v>3</v>
      </c>
      <c r="O146" s="3">
        <v>5</v>
      </c>
      <c r="P146" s="2">
        <v>399213.0483169302</v>
      </c>
      <c r="Q146" s="2">
        <v>1300721.657069769</v>
      </c>
      <c r="R146" s="2">
        <v>356440.2217115448</v>
      </c>
      <c r="S146" s="2">
        <v>399213.0483169302</v>
      </c>
      <c r="T146" s="2">
        <v>6715333.777045504</v>
      </c>
      <c r="U146" s="2">
        <f>M146+P146+Q146+R146+S146+T146</f>
        <v>24761617.05012365</v>
      </c>
      <c r="V146" s="2">
        <f>F146-K146-L146-U146</f>
        <v>-14426178.37137307</v>
      </c>
      <c r="W146" s="2">
        <v>0</v>
      </c>
      <c r="X146" s="2">
        <v>0</v>
      </c>
      <c r="Y146" s="2">
        <f>W146+X146</f>
        <v>0</v>
      </c>
      <c r="Z146" s="2">
        <v>3.434251993894577E-09</v>
      </c>
      <c r="AA146" s="2">
        <v>2138641.330269269</v>
      </c>
      <c r="AB146" s="2">
        <v>0</v>
      </c>
      <c r="AC146" s="2">
        <v>0</v>
      </c>
      <c r="AD146" s="2">
        <v>236584.7293279553</v>
      </c>
      <c r="AE146" s="2">
        <v>1409732.147483105</v>
      </c>
      <c r="AF146" s="2">
        <f>F146-H146-L146-U146-AA146-AC146-AD146</f>
        <v>-20305404.256242603</v>
      </c>
      <c r="AG146" s="2">
        <f>F146-H146-L146-U146-AA146-AB146-AD146-Y146</f>
        <v>-20305404.256242603</v>
      </c>
      <c r="AH146" s="2">
        <f>AH145+AG146</f>
        <v>971520874.8720078</v>
      </c>
      <c r="AI146" s="2">
        <v>76662189.76521195</v>
      </c>
      <c r="AJ146" s="2">
        <f>AH146-AI146</f>
        <v>894858685.1067959</v>
      </c>
      <c r="AK146" s="3">
        <v>0.25</v>
      </c>
    </row>
    <row r="147" spans="1:37">
      <c r="A147" s="2">
        <v>146</v>
      </c>
      <c r="B147" s="2">
        <v>2039</v>
      </c>
      <c r="C147" s="2">
        <v>57</v>
      </c>
      <c r="D147" s="2">
        <v>499002.0527872943</v>
      </c>
      <c r="E147" s="2">
        <v>28443117.00887578</v>
      </c>
      <c r="F147" s="2">
        <f>E147/1.19</f>
        <v>23901778.999055274</v>
      </c>
      <c r="G147" s="2">
        <v>100</v>
      </c>
      <c r="H147" s="2">
        <v>10727808.31051619</v>
      </c>
      <c r="I147" s="2">
        <v>178</v>
      </c>
      <c r="J147" s="2">
        <v>18904170.57135843</v>
      </c>
      <c r="K147" s="2">
        <v>6053582.711052982</v>
      </c>
      <c r="L147" s="2">
        <v>2394052.690629421</v>
      </c>
      <c r="M147" s="2">
        <v>15590695.29766297</v>
      </c>
      <c r="N147" s="3">
        <v>3</v>
      </c>
      <c r="O147" s="3">
        <v>5</v>
      </c>
      <c r="P147" s="2">
        <v>399213.0483169302</v>
      </c>
      <c r="Q147" s="2">
        <v>1300721.657069769</v>
      </c>
      <c r="R147" s="2">
        <v>356440.2217115448</v>
      </c>
      <c r="S147" s="2">
        <v>399213.0483169302</v>
      </c>
      <c r="T147" s="2">
        <v>6715333.777045504</v>
      </c>
      <c r="U147" s="2">
        <f>M147+P147+Q147+R147+S147+T147</f>
        <v>24761617.05012365</v>
      </c>
      <c r="V147" s="2">
        <f>F147-K147-L147-U147</f>
        <v>-9307473.452750782</v>
      </c>
      <c r="W147" s="2">
        <v>0</v>
      </c>
      <c r="X147" s="2">
        <v>0</v>
      </c>
      <c r="Y147" s="2">
        <f>W147+X147</f>
        <v>0</v>
      </c>
      <c r="Z147" s="2">
        <v>3.434251993894577E-09</v>
      </c>
      <c r="AA147" s="2">
        <v>0</v>
      </c>
      <c r="AB147" s="2">
        <v>0</v>
      </c>
      <c r="AC147" s="2">
        <v>0</v>
      </c>
      <c r="AD147" s="2">
        <v>604170.9203499015</v>
      </c>
      <c r="AE147" s="2">
        <v>2013903.067833006</v>
      </c>
      <c r="AF147" s="2">
        <f>F147-H147-L147-U147-AA147-AC147-AD147</f>
        <v>-14585869.972563889</v>
      </c>
      <c r="AG147" s="2">
        <f>F147-H147-L147-U147-AA147-AB147-AD147-Y147</f>
        <v>-14585869.972563889</v>
      </c>
      <c r="AH147" s="2">
        <f>AH146+AG147</f>
        <v>956935004.899444</v>
      </c>
      <c r="AI147" s="2">
        <v>76662189.76521195</v>
      </c>
      <c r="AJ147" s="2">
        <f>AH147-AI147</f>
        <v>880272815.134232</v>
      </c>
      <c r="AK147" s="3">
        <v>0.25</v>
      </c>
    </row>
    <row r="148" spans="1:37">
      <c r="A148" s="2">
        <v>147</v>
      </c>
      <c r="B148" s="2">
        <v>2039</v>
      </c>
      <c r="C148" s="2">
        <v>75</v>
      </c>
      <c r="D148" s="2">
        <v>499002.0527872943</v>
      </c>
      <c r="E148" s="2">
        <v>37425153.95904707</v>
      </c>
      <c r="F148" s="2">
        <f>E148/1.19</f>
        <v>31449709.209283255</v>
      </c>
      <c r="G148" s="2">
        <v>110</v>
      </c>
      <c r="H148" s="2">
        <v>11800589.14156781</v>
      </c>
      <c r="I148" s="2">
        <v>213</v>
      </c>
      <c r="J148" s="2">
        <v>22708728.53768504</v>
      </c>
      <c r="K148" s="2">
        <v>7996031.17524121</v>
      </c>
      <c r="L148" s="2">
        <v>3152532.591052431</v>
      </c>
      <c r="M148" s="2">
        <v>15590695.29766297</v>
      </c>
      <c r="N148" s="3">
        <v>3</v>
      </c>
      <c r="O148" s="3">
        <v>5</v>
      </c>
      <c r="P148" s="2">
        <v>399213.0483169302</v>
      </c>
      <c r="Q148" s="2">
        <v>1300721.657069769</v>
      </c>
      <c r="R148" s="2">
        <v>356440.2217115448</v>
      </c>
      <c r="S148" s="2">
        <v>399213.0483169302</v>
      </c>
      <c r="T148" s="2">
        <v>6715333.777045504</v>
      </c>
      <c r="U148" s="2">
        <f>M148+P148+Q148+R148+S148+T148</f>
        <v>24761617.05012365</v>
      </c>
      <c r="V148" s="2">
        <f>F148-K148-L148-U148</f>
        <v>-4460471.607134037</v>
      </c>
      <c r="W148" s="2">
        <v>0</v>
      </c>
      <c r="X148" s="2">
        <v>0</v>
      </c>
      <c r="Y148" s="2">
        <f>W148+X148</f>
        <v>0</v>
      </c>
      <c r="Z148" s="2">
        <v>3.434251993894577E-09</v>
      </c>
      <c r="AA148" s="2">
        <v>0</v>
      </c>
      <c r="AB148" s="2">
        <v>0</v>
      </c>
      <c r="AC148" s="2">
        <v>0</v>
      </c>
      <c r="AD148" s="2">
        <v>201390.3067833008</v>
      </c>
      <c r="AE148" s="2">
        <v>2215293.374616307</v>
      </c>
      <c r="AF148" s="2">
        <f>F148-H148-L148-U148-AA148-AC148-AD148</f>
        <v>-8466419.880243938</v>
      </c>
      <c r="AG148" s="2">
        <f>F148-H148-L148-U148-AA148-AB148-AD148-Y148</f>
        <v>-8466419.880243938</v>
      </c>
      <c r="AH148" s="2">
        <f>AH147+AG148</f>
        <v>948468585.0192001</v>
      </c>
      <c r="AI148" s="2">
        <v>76662189.76521195</v>
      </c>
      <c r="AJ148" s="2">
        <f>AH148-AI148</f>
        <v>871806395.2539881</v>
      </c>
      <c r="AK148" s="3">
        <v>0.25</v>
      </c>
    </row>
    <row r="149" spans="1:37">
      <c r="A149" s="2">
        <v>148</v>
      </c>
      <c r="B149" s="2">
        <v>2039</v>
      </c>
      <c r="C149" s="2">
        <v>94</v>
      </c>
      <c r="D149" s="2">
        <v>499002.0527872943</v>
      </c>
      <c r="E149" s="2">
        <v>46906192.96200566</v>
      </c>
      <c r="F149" s="2">
        <f>E149/1.19</f>
        <v>39416968.87563501</v>
      </c>
      <c r="G149" s="2">
        <v>130</v>
      </c>
      <c r="H149" s="2">
        <v>13946150.80367105</v>
      </c>
      <c r="I149" s="2">
        <v>249</v>
      </c>
      <c r="J149" s="2">
        <v>26609518.82215063</v>
      </c>
      <c r="K149" s="2">
        <v>10045360.51920546</v>
      </c>
      <c r="L149" s="2">
        <v>3953067.629817965</v>
      </c>
      <c r="M149" s="2">
        <v>15590695.29766297</v>
      </c>
      <c r="N149" s="3">
        <v>3</v>
      </c>
      <c r="O149" s="3">
        <v>5</v>
      </c>
      <c r="P149" s="2">
        <v>399213.0483169302</v>
      </c>
      <c r="Q149" s="2">
        <v>1300721.657069769</v>
      </c>
      <c r="R149" s="2">
        <v>356440.2217115448</v>
      </c>
      <c r="S149" s="2">
        <v>399213.0483169302</v>
      </c>
      <c r="T149" s="2">
        <v>6715333.777045504</v>
      </c>
      <c r="U149" s="2">
        <f>M149+P149+Q149+R149+S149+T149</f>
        <v>24761617.05012365</v>
      </c>
      <c r="V149" s="2">
        <f>F149-K149-L149-U149</f>
        <v>656923.6764879413</v>
      </c>
      <c r="W149" s="2">
        <v>0</v>
      </c>
      <c r="X149" s="2">
        <v>0</v>
      </c>
      <c r="Y149" s="2">
        <f>W149+X149</f>
        <v>0</v>
      </c>
      <c r="Z149" s="2">
        <v>3.434251993894577E-09</v>
      </c>
      <c r="AA149" s="2">
        <v>0</v>
      </c>
      <c r="AB149" s="2">
        <v>0</v>
      </c>
      <c r="AC149" s="2">
        <v>0</v>
      </c>
      <c r="AD149" s="2">
        <v>402780.6135666012</v>
      </c>
      <c r="AE149" s="2">
        <v>2618073.988182908</v>
      </c>
      <c r="AF149" s="2">
        <f>F149-H149-L149-U149-AA149-AC149-AD149</f>
        <v>-3646647.2215442485</v>
      </c>
      <c r="AG149" s="2">
        <f>F149-H149-L149-U149-AA149-AB149-AD149-Y149</f>
        <v>-3646647.2215442485</v>
      </c>
      <c r="AH149" s="2">
        <f>AH148+AG149</f>
        <v>944821937.7976558</v>
      </c>
      <c r="AI149" s="2">
        <v>76662189.76521195</v>
      </c>
      <c r="AJ149" s="2">
        <f>AH149-AI149</f>
        <v>868159748.0324439</v>
      </c>
      <c r="AK149" s="3">
        <v>0.25</v>
      </c>
    </row>
    <row r="150" spans="1:37">
      <c r="A150" s="2">
        <v>149</v>
      </c>
      <c r="B150" s="2">
        <v>2039</v>
      </c>
      <c r="C150" s="2">
        <v>113</v>
      </c>
      <c r="D150" s="2">
        <v>499002.0527872943</v>
      </c>
      <c r="E150" s="2">
        <v>56387231.96496426</v>
      </c>
      <c r="F150" s="2">
        <f>E150/1.19</f>
        <v>47384228.54198677</v>
      </c>
      <c r="G150" s="2">
        <v>150</v>
      </c>
      <c r="H150" s="2">
        <v>16091712.46577429</v>
      </c>
      <c r="I150" s="2">
        <v>286</v>
      </c>
      <c r="J150" s="2">
        <v>30607900.12116923</v>
      </c>
      <c r="K150" s="2">
        <v>12093331.16675568</v>
      </c>
      <c r="L150" s="2">
        <v>4753493.972870377</v>
      </c>
      <c r="M150" s="2">
        <v>15590695.29766297</v>
      </c>
      <c r="N150" s="3">
        <v>3</v>
      </c>
      <c r="O150" s="3">
        <v>5</v>
      </c>
      <c r="P150" s="2">
        <v>399213.0483169302</v>
      </c>
      <c r="Q150" s="2">
        <v>1300721.657069769</v>
      </c>
      <c r="R150" s="2">
        <v>356440.2217115448</v>
      </c>
      <c r="S150" s="2">
        <v>399213.0483169302</v>
      </c>
      <c r="T150" s="2">
        <v>6715333.777045504</v>
      </c>
      <c r="U150" s="2">
        <f>M150+P150+Q150+R150+S150+T150</f>
        <v>24761617.05012365</v>
      </c>
      <c r="V150" s="2">
        <f>F150-K150-L150-U150</f>
        <v>5775786.352237068</v>
      </c>
      <c r="W150" s="2">
        <v>0</v>
      </c>
      <c r="X150" s="2">
        <v>0</v>
      </c>
      <c r="Y150" s="2">
        <f>W150+X150</f>
        <v>0</v>
      </c>
      <c r="Z150" s="2">
        <v>3.434251993894577E-09</v>
      </c>
      <c r="AA150" s="2">
        <v>0</v>
      </c>
      <c r="AB150" s="2">
        <v>0</v>
      </c>
      <c r="AC150" s="2">
        <v>0</v>
      </c>
      <c r="AD150" s="2">
        <v>402780.6135666016</v>
      </c>
      <c r="AE150" s="2">
        <v>3020854.60174951</v>
      </c>
      <c r="AF150" s="2">
        <f>F150-H150-L150-U150-AA150-AC150-AD150</f>
        <v>1374624.4396518562</v>
      </c>
      <c r="AG150" s="2">
        <f>F150-H150-L150-U150-AA150-AB150-AD150-Y150</f>
        <v>1374624.4396518562</v>
      </c>
      <c r="AH150" s="2">
        <f>AH149+AG150</f>
        <v>946196562.2373077</v>
      </c>
      <c r="AI150" s="2">
        <v>76662189.76521195</v>
      </c>
      <c r="AJ150" s="2">
        <f>AH150-AI150</f>
        <v>869534372.4720957</v>
      </c>
      <c r="AK150" s="3">
        <v>0.25</v>
      </c>
    </row>
    <row r="151" spans="1:37">
      <c r="A151" s="2">
        <v>150</v>
      </c>
      <c r="B151" s="2">
        <v>2039</v>
      </c>
      <c r="C151" s="2">
        <v>132</v>
      </c>
      <c r="D151" s="2">
        <v>499002.0527872943</v>
      </c>
      <c r="E151" s="2">
        <v>65868270.96792284</v>
      </c>
      <c r="F151" s="2">
        <f>E151/1.19</f>
        <v>55351488.20833853</v>
      </c>
      <c r="G151" s="2">
        <v>190</v>
      </c>
      <c r="H151" s="2">
        <v>20382835.78998076</v>
      </c>
      <c r="I151" s="2">
        <v>344</v>
      </c>
      <c r="J151" s="2">
        <v>36850447.80133529</v>
      </c>
      <c r="K151" s="2">
        <v>14140288.1098147</v>
      </c>
      <c r="L151" s="2">
        <v>5553839.219563493</v>
      </c>
      <c r="M151" s="2">
        <v>15590695.29766297</v>
      </c>
      <c r="N151" s="3">
        <v>3</v>
      </c>
      <c r="O151" s="3">
        <v>5</v>
      </c>
      <c r="P151" s="2">
        <v>399213.0483169302</v>
      </c>
      <c r="Q151" s="2">
        <v>1300721.657069769</v>
      </c>
      <c r="R151" s="2">
        <v>356440.2217115448</v>
      </c>
      <c r="S151" s="2">
        <v>399213.0483169302</v>
      </c>
      <c r="T151" s="2">
        <v>6715333.777045504</v>
      </c>
      <c r="U151" s="2">
        <f>M151+P151+Q151+R151+S151+T151</f>
        <v>24761617.05012365</v>
      </c>
      <c r="V151" s="2">
        <f>F151-K151-L151-U151</f>
        <v>10895743.828836683</v>
      </c>
      <c r="W151" s="2">
        <v>0</v>
      </c>
      <c r="X151" s="2">
        <v>0</v>
      </c>
      <c r="Y151" s="2">
        <f>W151+X151</f>
        <v>0</v>
      </c>
      <c r="Z151" s="2">
        <v>3.434251993894577E-09</v>
      </c>
      <c r="AA151" s="2">
        <v>0</v>
      </c>
      <c r="AB151" s="2">
        <v>0</v>
      </c>
      <c r="AC151" s="2">
        <v>0</v>
      </c>
      <c r="AD151" s="2">
        <v>805561.2271332024</v>
      </c>
      <c r="AE151" s="2">
        <v>3826415.828882712</v>
      </c>
      <c r="AF151" s="2">
        <f>F151-H151-L151-U151-AA151-AC151-AD151</f>
        <v>3847634.9215374226</v>
      </c>
      <c r="AG151" s="2">
        <f>F151-H151-L151-U151-AA151-AB151-AD151-Y151</f>
        <v>3847634.9215374226</v>
      </c>
      <c r="AH151" s="2">
        <f>AH150+AG151</f>
        <v>950044197.1588451</v>
      </c>
      <c r="AI151" s="2">
        <v>76662189.76521195</v>
      </c>
      <c r="AJ151" s="2">
        <f>AH151-AI151</f>
        <v>873382007.3936331</v>
      </c>
      <c r="AK151" s="3">
        <v>0.25</v>
      </c>
    </row>
    <row r="152" spans="1:37">
      <c r="A152" s="2">
        <v>151</v>
      </c>
      <c r="B152" s="2">
        <v>2039</v>
      </c>
      <c r="C152" s="2">
        <v>151</v>
      </c>
      <c r="D152" s="2">
        <v>499002.0527872943</v>
      </c>
      <c r="E152" s="2">
        <v>75349309.97088143</v>
      </c>
      <c r="F152" s="2">
        <f>E152/1.19</f>
        <v>63318747.87469028</v>
      </c>
      <c r="G152" s="2">
        <v>210</v>
      </c>
      <c r="H152" s="2">
        <v>22528397.452084</v>
      </c>
      <c r="I152" s="2">
        <v>403</v>
      </c>
      <c r="J152" s="2">
        <v>43194358.55077252</v>
      </c>
      <c r="K152" s="2">
        <v>16184486.70264678</v>
      </c>
      <c r="L152" s="2">
        <v>6353963.798238453</v>
      </c>
      <c r="M152" s="2">
        <v>15590695.29766297</v>
      </c>
      <c r="N152" s="3">
        <v>3</v>
      </c>
      <c r="O152" s="3">
        <v>5</v>
      </c>
      <c r="P152" s="2">
        <v>399213.0483169302</v>
      </c>
      <c r="Q152" s="2">
        <v>1300721.657069769</v>
      </c>
      <c r="R152" s="2">
        <v>356440.2217115448</v>
      </c>
      <c r="S152" s="2">
        <v>399213.0483169302</v>
      </c>
      <c r="T152" s="2">
        <v>6715333.777045504</v>
      </c>
      <c r="U152" s="2">
        <f>M152+P152+Q152+R152+S152+T152</f>
        <v>24761617.05012365</v>
      </c>
      <c r="V152" s="2">
        <f>F152-K152-L152-U152</f>
        <v>16018680.323681396</v>
      </c>
      <c r="W152" s="2">
        <v>0</v>
      </c>
      <c r="X152" s="2">
        <v>0</v>
      </c>
      <c r="Y152" s="2">
        <f>W152+X152</f>
        <v>0</v>
      </c>
      <c r="Z152" s="2">
        <v>3.434251993894577E-09</v>
      </c>
      <c r="AA152" s="2">
        <v>0</v>
      </c>
      <c r="AB152" s="2">
        <v>0</v>
      </c>
      <c r="AC152" s="2">
        <v>0</v>
      </c>
      <c r="AD152" s="2">
        <v>402780.6135666012</v>
      </c>
      <c r="AE152" s="2">
        <v>4229196.442449314</v>
      </c>
      <c r="AF152" s="2">
        <f>F152-H152-L152-U152-AA152-AC152-AD152</f>
        <v>9271988.960677566</v>
      </c>
      <c r="AG152" s="2">
        <f>F152-H152-L152-U152-AA152-AB152-AD152-Y152</f>
        <v>9271988.960677566</v>
      </c>
      <c r="AH152" s="2">
        <f>AH151+AG152</f>
        <v>959316186.1195227</v>
      </c>
      <c r="AI152" s="2">
        <v>76662189.76521195</v>
      </c>
      <c r="AJ152" s="2">
        <f>AH152-AI152</f>
        <v>882653996.3543108</v>
      </c>
      <c r="AK152" s="3">
        <v>0.25</v>
      </c>
    </row>
    <row r="153" spans="1:37">
      <c r="A153" s="2">
        <v>152</v>
      </c>
      <c r="B153" s="2">
        <v>2039</v>
      </c>
      <c r="C153" s="2">
        <v>188</v>
      </c>
      <c r="D153" s="2">
        <v>499002.0527872943</v>
      </c>
      <c r="E153" s="2">
        <v>93812385.92401132</v>
      </c>
      <c r="F153" s="2">
        <f>E153/1.19</f>
        <v>78833937.75127003</v>
      </c>
      <c r="G153" s="2">
        <v>240</v>
      </c>
      <c r="H153" s="2">
        <v>25746739.94523886</v>
      </c>
      <c r="I153" s="2">
        <v>455</v>
      </c>
      <c r="J153" s="2">
        <v>48784136.57182765</v>
      </c>
      <c r="K153" s="2">
        <v>20156961.92418373</v>
      </c>
      <c r="L153" s="2">
        <v>7911434.530497755</v>
      </c>
      <c r="M153" s="2">
        <v>15590695.29766297</v>
      </c>
      <c r="N153" s="3">
        <v>3</v>
      </c>
      <c r="O153" s="3">
        <v>5</v>
      </c>
      <c r="P153" s="2">
        <v>399213.0483169302</v>
      </c>
      <c r="Q153" s="2">
        <v>1300721.657069769</v>
      </c>
      <c r="R153" s="2">
        <v>356440.2217115448</v>
      </c>
      <c r="S153" s="2">
        <v>399213.0483169302</v>
      </c>
      <c r="T153" s="2">
        <v>6715333.777045504</v>
      </c>
      <c r="U153" s="2">
        <f>M153+P153+Q153+R153+S153+T153</f>
        <v>24761617.05012365</v>
      </c>
      <c r="V153" s="2">
        <f>F153-K153-L153-U153</f>
        <v>26003924.246464897</v>
      </c>
      <c r="W153" s="2">
        <v>0</v>
      </c>
      <c r="X153" s="2">
        <v>0</v>
      </c>
      <c r="Y153" s="2">
        <f>W153+X153</f>
        <v>0</v>
      </c>
      <c r="Z153" s="2">
        <v>3.434251993894577E-09</v>
      </c>
      <c r="AA153" s="2">
        <v>0</v>
      </c>
      <c r="AB153" s="2">
        <v>0</v>
      </c>
      <c r="AC153" s="2">
        <v>0</v>
      </c>
      <c r="AD153" s="2">
        <v>604170.9203499025</v>
      </c>
      <c r="AE153" s="2">
        <v>4833367.362799216</v>
      </c>
      <c r="AF153" s="2">
        <f>F153-H153-L153-U153-AA153-AC153-AD153</f>
        <v>19809975.30505986</v>
      </c>
      <c r="AG153" s="2">
        <f>F153-H153-L153-U153-AA153-AB153-AD153-Y153</f>
        <v>19809975.30505986</v>
      </c>
      <c r="AH153" s="2">
        <f>AH152+AG153</f>
        <v>979126161.4245826</v>
      </c>
      <c r="AI153" s="2">
        <v>76662189.76521195</v>
      </c>
      <c r="AJ153" s="2">
        <f>AH153-AI153</f>
        <v>902463971.6593707</v>
      </c>
      <c r="AK153" s="3">
        <v>0.25</v>
      </c>
    </row>
    <row r="154" spans="1:37">
      <c r="A154" s="2">
        <v>153</v>
      </c>
      <c r="B154" s="2">
        <v>2039</v>
      </c>
      <c r="C154" s="2">
        <v>207</v>
      </c>
      <c r="D154" s="2">
        <v>499002.0527872943</v>
      </c>
      <c r="E154" s="2">
        <v>103293424.9269699</v>
      </c>
      <c r="F154" s="2">
        <f>E154/1.19</f>
        <v>86801197.41762178</v>
      </c>
      <c r="G154" s="2">
        <v>270</v>
      </c>
      <c r="H154" s="2">
        <v>28965082.43839371</v>
      </c>
      <c r="I154" s="2">
        <v>518</v>
      </c>
      <c r="J154" s="2">
        <v>55550476.47902712</v>
      </c>
      <c r="K154" s="2">
        <v>22198742.53119424</v>
      </c>
      <c r="L154" s="2">
        <v>8711365.67030699</v>
      </c>
      <c r="M154" s="2">
        <v>15590695.29766297</v>
      </c>
      <c r="N154" s="3">
        <v>3</v>
      </c>
      <c r="O154" s="3">
        <v>5</v>
      </c>
      <c r="P154" s="2">
        <v>399213.0483169302</v>
      </c>
      <c r="Q154" s="2">
        <v>1300721.657069769</v>
      </c>
      <c r="R154" s="2">
        <v>356440.2217115448</v>
      </c>
      <c r="S154" s="2">
        <v>399213.0483169302</v>
      </c>
      <c r="T154" s="2">
        <v>6715333.777045504</v>
      </c>
      <c r="U154" s="2">
        <f>M154+P154+Q154+R154+S154+T154</f>
        <v>24761617.05012365</v>
      </c>
      <c r="V154" s="2">
        <f>F154-K154-L154-U154</f>
        <v>31129472.165996898</v>
      </c>
      <c r="W154" s="2">
        <v>0</v>
      </c>
      <c r="X154" s="2">
        <v>0</v>
      </c>
      <c r="Y154" s="2">
        <f>W154+X154</f>
        <v>0</v>
      </c>
      <c r="Z154" s="2">
        <v>3.434251993894577E-09</v>
      </c>
      <c r="AA154" s="2">
        <v>0</v>
      </c>
      <c r="AB154" s="2">
        <v>0</v>
      </c>
      <c r="AC154" s="2">
        <v>0</v>
      </c>
      <c r="AD154" s="2">
        <v>604170.9203499006</v>
      </c>
      <c r="AE154" s="2">
        <v>5437538.283149117</v>
      </c>
      <c r="AF154" s="2">
        <f>F154-H154-L154-U154-AA154-AC154-AD154</f>
        <v>23758961.338447526</v>
      </c>
      <c r="AG154" s="2">
        <f>F154-H154-L154-U154-AA154-AB154-AD154-Y154</f>
        <v>23758961.338447526</v>
      </c>
      <c r="AH154" s="2">
        <f>AH153+AG154</f>
        <v>1002885122.7630302</v>
      </c>
      <c r="AI154" s="2">
        <v>76662189.76521195</v>
      </c>
      <c r="AJ154" s="2">
        <f>AH154-AI154</f>
        <v>926222932.9978182</v>
      </c>
      <c r="AK154" s="3">
        <v>0.25</v>
      </c>
    </row>
    <row r="155" spans="1:37">
      <c r="A155" s="2">
        <v>154</v>
      </c>
      <c r="B155" s="2">
        <v>2039</v>
      </c>
      <c r="C155" s="2">
        <v>245</v>
      </c>
      <c r="D155" s="2">
        <v>499002.0527872943</v>
      </c>
      <c r="E155" s="2">
        <v>122255502.9328871</v>
      </c>
      <c r="F155" s="2">
        <f>E155/1.19</f>
        <v>102735716.7503253</v>
      </c>
      <c r="G155" s="2">
        <v>320</v>
      </c>
      <c r="H155" s="2">
        <v>34328986.59365181</v>
      </c>
      <c r="I155" s="2">
        <v>593</v>
      </c>
      <c r="J155" s="2">
        <v>63602054.41777878</v>
      </c>
      <c r="K155" s="2">
        <v>26277408.65490016</v>
      </c>
      <c r="L155" s="2">
        <v>10310836.34270025</v>
      </c>
      <c r="M155" s="2">
        <v>15590695.29766297</v>
      </c>
      <c r="N155" s="3">
        <v>3</v>
      </c>
      <c r="O155" s="3">
        <v>5</v>
      </c>
      <c r="P155" s="2">
        <v>399213.0483169302</v>
      </c>
      <c r="Q155" s="2">
        <v>1300721.657069769</v>
      </c>
      <c r="R155" s="2">
        <v>356440.2217115448</v>
      </c>
      <c r="S155" s="2">
        <v>399213.0483169302</v>
      </c>
      <c r="T155" s="2">
        <v>6715333.777045504</v>
      </c>
      <c r="U155" s="2">
        <f>M155+P155+Q155+R155+S155+T155</f>
        <v>24761617.05012365</v>
      </c>
      <c r="V155" s="2">
        <f>F155-K155-L155-U155</f>
        <v>41385854.70260124</v>
      </c>
      <c r="W155" s="2">
        <v>0</v>
      </c>
      <c r="X155" s="2">
        <v>0</v>
      </c>
      <c r="Y155" s="2">
        <f>W155+X155</f>
        <v>0</v>
      </c>
      <c r="Z155" s="2">
        <v>3.434251993894577E-09</v>
      </c>
      <c r="AA155" s="2">
        <v>0</v>
      </c>
      <c r="AB155" s="2">
        <v>0</v>
      </c>
      <c r="AC155" s="2">
        <v>0</v>
      </c>
      <c r="AD155" s="2">
        <v>1006951.533916504</v>
      </c>
      <c r="AE155" s="2">
        <v>6444489.817065621</v>
      </c>
      <c r="AF155" s="2">
        <f>F155-H155-L155-U155-AA155-AC155-AD155</f>
        <v>32327325.229933087</v>
      </c>
      <c r="AG155" s="2">
        <f>F155-H155-L155-U155-AA155-AB155-AD155-Y155</f>
        <v>32327325.229933087</v>
      </c>
      <c r="AH155" s="2">
        <f>AH154+AG155</f>
        <v>1035212447.9929633</v>
      </c>
      <c r="AI155" s="2">
        <v>76662189.76521195</v>
      </c>
      <c r="AJ155" s="2">
        <f>AH155-AI155</f>
        <v>958550258.2277514</v>
      </c>
      <c r="AK155" s="3">
        <v>0.25</v>
      </c>
    </row>
    <row r="156" spans="1:37">
      <c r="A156" s="2">
        <v>155</v>
      </c>
      <c r="B156" s="2">
        <v>2039</v>
      </c>
      <c r="C156" s="2">
        <v>264</v>
      </c>
      <c r="D156" s="2">
        <v>499002.0527872943</v>
      </c>
      <c r="E156" s="2">
        <v>131736541.9358457</v>
      </c>
      <c r="F156" s="2">
        <f>E156/1.19</f>
        <v>110702976.41667706</v>
      </c>
      <c r="G156" s="2">
        <v>40</v>
      </c>
      <c r="H156" s="2">
        <v>4291123.324206476</v>
      </c>
      <c r="I156" s="2">
        <v>369</v>
      </c>
      <c r="J156" s="2">
        <v>39577539.63158382</v>
      </c>
      <c r="K156" s="2">
        <v>28315638.11040143</v>
      </c>
      <c r="L156" s="2">
        <v>11110483.39038875</v>
      </c>
      <c r="M156" s="2">
        <v>15590695.29766297</v>
      </c>
      <c r="N156" s="3">
        <v>3</v>
      </c>
      <c r="O156" s="3">
        <v>5</v>
      </c>
      <c r="P156" s="2">
        <v>399213.0483169302</v>
      </c>
      <c r="Q156" s="2">
        <v>1300721.657069769</v>
      </c>
      <c r="R156" s="2">
        <v>356440.2217115448</v>
      </c>
      <c r="S156" s="2">
        <v>399213.0483169302</v>
      </c>
      <c r="T156" s="2">
        <v>6715333.777045504</v>
      </c>
      <c r="U156" s="2">
        <f>M156+P156+Q156+R156+S156+T156</f>
        <v>24761617.05012365</v>
      </c>
      <c r="V156" s="2">
        <f>F156-K156-L156-U156</f>
        <v>46515237.86576325</v>
      </c>
      <c r="W156" s="2">
        <v>0</v>
      </c>
      <c r="X156" s="2">
        <v>0</v>
      </c>
      <c r="Y156" s="2">
        <f>W156+X156</f>
        <v>0</v>
      </c>
      <c r="Z156" s="2">
        <v>3.434251993894577E-09</v>
      </c>
      <c r="AA156" s="2">
        <v>0</v>
      </c>
      <c r="AB156" s="2">
        <v>0</v>
      </c>
      <c r="AC156" s="2">
        <v>0</v>
      </c>
      <c r="AD156" s="2">
        <v>-5638928.589932418</v>
      </c>
      <c r="AE156" s="2">
        <v>805561.2271332026</v>
      </c>
      <c r="AF156" s="2">
        <f>F156-H156-L156-U156-AA156-AC156-AD156</f>
        <v>76178681.24189061</v>
      </c>
      <c r="AG156" s="2">
        <f>F156-H156-L156-U156-AA156-AB156-AD156-Y156</f>
        <v>76178681.24189061</v>
      </c>
      <c r="AH156" s="2">
        <f>AH155+AG156</f>
        <v>1111391129.234854</v>
      </c>
      <c r="AI156" s="2">
        <v>76662189.76521195</v>
      </c>
      <c r="AJ156" s="2">
        <f>AH156-AI156</f>
        <v>1034728939.469642</v>
      </c>
      <c r="AK156" s="3">
        <v>0.25</v>
      </c>
    </row>
    <row r="157" spans="1:37">
      <c r="A157" s="2">
        <v>156</v>
      </c>
      <c r="B157" s="2">
        <v>2039</v>
      </c>
      <c r="C157" s="2">
        <v>320</v>
      </c>
      <c r="D157" s="2">
        <v>499002.0527872943</v>
      </c>
      <c r="E157" s="2">
        <v>159680656.8919342</v>
      </c>
      <c r="F157" s="2">
        <f>E157/1.19</f>
        <v>134185425.95960857</v>
      </c>
      <c r="G157" s="2">
        <v>50</v>
      </c>
      <c r="H157" s="2">
        <v>5363904.155258095</v>
      </c>
      <c r="I157" s="2">
        <v>99</v>
      </c>
      <c r="J157" s="2">
        <v>10618622.75631826</v>
      </c>
      <c r="K157" s="2">
        <v>34322821.03052367</v>
      </c>
      <c r="L157" s="2">
        <v>13467319.42978327</v>
      </c>
      <c r="M157" s="2">
        <v>15590695.29766297</v>
      </c>
      <c r="N157" s="3">
        <v>3</v>
      </c>
      <c r="O157" s="3">
        <v>5</v>
      </c>
      <c r="P157" s="2">
        <v>399213.0483169302</v>
      </c>
      <c r="Q157" s="2">
        <v>1300721.657069769</v>
      </c>
      <c r="R157" s="2">
        <v>356440.2217115448</v>
      </c>
      <c r="S157" s="2">
        <v>399213.0483169302</v>
      </c>
      <c r="T157" s="2">
        <v>6715333.777045504</v>
      </c>
      <c r="U157" s="2">
        <f>M157+P157+Q157+R157+S157+T157</f>
        <v>24761617.05012365</v>
      </c>
      <c r="V157" s="2">
        <f>F157-K157-L157-U157</f>
        <v>61633668.44917798</v>
      </c>
      <c r="W157" s="2">
        <v>0</v>
      </c>
      <c r="X157" s="2">
        <v>0</v>
      </c>
      <c r="Y157" s="2">
        <f>W157+X157</f>
        <v>0</v>
      </c>
      <c r="Z157" s="2">
        <v>3.434251993894577E-09</v>
      </c>
      <c r="AA157" s="2">
        <v>0</v>
      </c>
      <c r="AB157" s="2">
        <v>52447462.31000622</v>
      </c>
      <c r="AC157" s="2">
        <v>52447462.31000622</v>
      </c>
      <c r="AD157" s="2">
        <v>201390.3067833006</v>
      </c>
      <c r="AE157" s="2">
        <v>1006951.533916503</v>
      </c>
      <c r="AF157" s="2">
        <f>F157-H157-L157-U157-AA157-AC157-AD157</f>
        <v>37943732.707654044</v>
      </c>
      <c r="AG157" s="2">
        <f>F157-H157-L157-U157-AA157-AB157-AD157-Y157</f>
        <v>37943732.707654044</v>
      </c>
      <c r="AH157" s="2">
        <f>AH156+AG157</f>
        <v>1149334861.942508</v>
      </c>
      <c r="AI157" s="2">
        <v>76662189.76521195</v>
      </c>
      <c r="AJ157" s="2">
        <f>AH157-AI157</f>
        <v>1072672672.177296</v>
      </c>
      <c r="AK157" s="3">
        <v>0.25</v>
      </c>
    </row>
    <row r="158" spans="1:37">
      <c r="A158" s="2">
        <v>157</v>
      </c>
      <c r="B158" s="2">
        <v>2040</v>
      </c>
      <c r="C158" s="2">
        <v>40</v>
      </c>
      <c r="D158" s="2">
        <v>513972.1143709132</v>
      </c>
      <c r="E158" s="2">
        <v>20558884.57483653</v>
      </c>
      <c r="F158" s="2">
        <f>E158/1.19</f>
        <v>17276373.592299603</v>
      </c>
      <c r="G158" s="2">
        <v>80</v>
      </c>
      <c r="H158" s="2">
        <v>8839714.047865342</v>
      </c>
      <c r="I158" s="2">
        <v>139</v>
      </c>
      <c r="J158" s="2">
        <v>15110105.11609788</v>
      </c>
      <c r="K158" s="2">
        <v>4348231.688085721</v>
      </c>
      <c r="L158" s="2">
        <v>1728250.855017059</v>
      </c>
      <c r="M158" s="2">
        <v>16801861.34902772</v>
      </c>
      <c r="N158" s="3">
        <v>3</v>
      </c>
      <c r="O158" s="3">
        <v>5.5</v>
      </c>
      <c r="P158" s="2">
        <v>425874.7769009538</v>
      </c>
      <c r="Q158" s="2">
        <v>1395694.441264367</v>
      </c>
      <c r="R158" s="2">
        <v>367133.4283628912</v>
      </c>
      <c r="S158" s="2">
        <v>411189.4397664382</v>
      </c>
      <c r="T158" s="2">
        <v>7261899.213017988</v>
      </c>
      <c r="U158" s="2">
        <f>M158+P158+Q158+R158+S158+T158</f>
        <v>26663652.648340356</v>
      </c>
      <c r="V158" s="2">
        <f>F158-K158-L158-U158</f>
        <v>-15463761.599143531</v>
      </c>
      <c r="W158" s="2">
        <v>0</v>
      </c>
      <c r="X158" s="2">
        <v>0</v>
      </c>
      <c r="Y158" s="2">
        <f>W158+X158</f>
        <v>0</v>
      </c>
      <c r="Z158" s="2">
        <v>3.434251993894577E-09</v>
      </c>
      <c r="AA158" s="2">
        <v>0</v>
      </c>
      <c r="AB158" s="2">
        <v>0</v>
      </c>
      <c r="AC158" s="2">
        <v>0</v>
      </c>
      <c r="AD158" s="2">
        <v>652504.5939778946</v>
      </c>
      <c r="AE158" s="2">
        <v>1659456.127894398</v>
      </c>
      <c r="AF158" s="2">
        <f>F158-H158-L158-U158-AA158-AC158-AD158</f>
        <v>-20607748.55290105</v>
      </c>
      <c r="AG158" s="2">
        <f>F158-H158-L158-U158-AA158-AB158-AD158-Y158</f>
        <v>-20607748.55290105</v>
      </c>
      <c r="AH158" s="2">
        <f>AH157+AG158</f>
        <v>1128727113.389607</v>
      </c>
      <c r="AI158" s="2">
        <v>82368296.55986208</v>
      </c>
      <c r="AJ158" s="2">
        <f>AH158-AI158</f>
        <v>1046358816.8297448</v>
      </c>
      <c r="AK158" s="3">
        <v>0.25</v>
      </c>
    </row>
    <row r="159" spans="1:37">
      <c r="A159" s="2">
        <v>158</v>
      </c>
      <c r="B159" s="2">
        <v>2040</v>
      </c>
      <c r="C159" s="2">
        <v>59</v>
      </c>
      <c r="D159" s="2">
        <v>513972.1143709132</v>
      </c>
      <c r="E159" s="2">
        <v>30324354.74788387</v>
      </c>
      <c r="F159" s="2">
        <f>E159/1.19</f>
        <v>25482651.048641913</v>
      </c>
      <c r="G159" s="2">
        <v>100</v>
      </c>
      <c r="H159" s="2">
        <v>11049642.55983168</v>
      </c>
      <c r="I159" s="2">
        <v>180</v>
      </c>
      <c r="J159" s="2">
        <v>19701902.01534443</v>
      </c>
      <c r="K159" s="2">
        <v>6457845.66058512</v>
      </c>
      <c r="L159" s="2">
        <v>2552706.324802857</v>
      </c>
      <c r="M159" s="2">
        <v>16801861.34902772</v>
      </c>
      <c r="N159" s="3">
        <v>3</v>
      </c>
      <c r="O159" s="3">
        <v>5.5</v>
      </c>
      <c r="P159" s="2">
        <v>425874.7769009538</v>
      </c>
      <c r="Q159" s="2">
        <v>1395694.441264367</v>
      </c>
      <c r="R159" s="2">
        <v>367133.4283628912</v>
      </c>
      <c r="S159" s="2">
        <v>411189.4397664382</v>
      </c>
      <c r="T159" s="2">
        <v>7261899.213017988</v>
      </c>
      <c r="U159" s="2">
        <f>M159+P159+Q159+R159+S159+T159</f>
        <v>26663652.648340356</v>
      </c>
      <c r="V159" s="2">
        <f>F159-K159-L159-U159</f>
        <v>-10191553.58508642</v>
      </c>
      <c r="W159" s="2">
        <v>0</v>
      </c>
      <c r="X159" s="2">
        <v>0</v>
      </c>
      <c r="Y159" s="2">
        <f>W159+X159</f>
        <v>0</v>
      </c>
      <c r="Z159" s="2">
        <v>3.434251993894577E-09</v>
      </c>
      <c r="AA159" s="2">
        <v>0</v>
      </c>
      <c r="AB159" s="2">
        <v>0</v>
      </c>
      <c r="AC159" s="2">
        <v>0</v>
      </c>
      <c r="AD159" s="2">
        <v>414864.0319735992</v>
      </c>
      <c r="AE159" s="2">
        <v>2074320.159867997</v>
      </c>
      <c r="AF159" s="2">
        <f>F159-H159-L159-U159-AA159-AC159-AD159</f>
        <v>-15198214.516306575</v>
      </c>
      <c r="AG159" s="2">
        <f>F159-H159-L159-U159-AA159-AB159-AD159-Y159</f>
        <v>-15198214.516306575</v>
      </c>
      <c r="AH159" s="2">
        <f>AH158+AG159</f>
        <v>1113528898.8733003</v>
      </c>
      <c r="AI159" s="2">
        <v>82368296.55986208</v>
      </c>
      <c r="AJ159" s="2">
        <f>AH159-AI159</f>
        <v>1031160602.3134382</v>
      </c>
      <c r="AK159" s="3">
        <v>0.25</v>
      </c>
    </row>
    <row r="160" spans="1:37">
      <c r="A160" s="2">
        <v>159</v>
      </c>
      <c r="B160" s="2">
        <v>2040</v>
      </c>
      <c r="C160" s="2">
        <v>79</v>
      </c>
      <c r="D160" s="2">
        <v>513972.1143709132</v>
      </c>
      <c r="E160" s="2">
        <v>40603797.03530214</v>
      </c>
      <c r="F160" s="2">
        <f>E160/1.19</f>
        <v>34120837.84479172</v>
      </c>
      <c r="G160" s="2">
        <v>120</v>
      </c>
      <c r="H160" s="2">
        <v>13259571.07179801</v>
      </c>
      <c r="I160" s="2">
        <v>221</v>
      </c>
      <c r="J160" s="2">
        <v>24281618.50752827</v>
      </c>
      <c r="K160" s="2">
        <v>8679854.579614177</v>
      </c>
      <c r="L160" s="2">
        <v>3420663.198310283</v>
      </c>
      <c r="M160" s="2">
        <v>16801861.34902772</v>
      </c>
      <c r="N160" s="3">
        <v>3</v>
      </c>
      <c r="O160" s="3">
        <v>5.5</v>
      </c>
      <c r="P160" s="2">
        <v>425874.7769009538</v>
      </c>
      <c r="Q160" s="2">
        <v>1395694.441264367</v>
      </c>
      <c r="R160" s="2">
        <v>367133.4283628912</v>
      </c>
      <c r="S160" s="2">
        <v>411189.4397664382</v>
      </c>
      <c r="T160" s="2">
        <v>7261899.213017988</v>
      </c>
      <c r="U160" s="2">
        <f>M160+P160+Q160+R160+S160+T160</f>
        <v>26663652.648340356</v>
      </c>
      <c r="V160" s="2">
        <f>F160-K160-L160-U160</f>
        <v>-4643332.581473097</v>
      </c>
      <c r="W160" s="2">
        <v>0</v>
      </c>
      <c r="X160" s="2">
        <v>0</v>
      </c>
      <c r="Y160" s="2">
        <f>W160+X160</f>
        <v>0</v>
      </c>
      <c r="Z160" s="2">
        <v>3.434251993894577E-09</v>
      </c>
      <c r="AA160" s="2">
        <v>0</v>
      </c>
      <c r="AB160" s="2">
        <v>0</v>
      </c>
      <c r="AC160" s="2">
        <v>0</v>
      </c>
      <c r="AD160" s="2">
        <v>414864.0319735992</v>
      </c>
      <c r="AE160" s="2">
        <v>2489184.191841596</v>
      </c>
      <c r="AF160" s="2">
        <f>F160-H160-L160-U160-AA160-AC160-AD160</f>
        <v>-9637913.10563053</v>
      </c>
      <c r="AG160" s="2">
        <f>F160-H160-L160-U160-AA160-AB160-AD160-Y160</f>
        <v>-9637913.10563053</v>
      </c>
      <c r="AH160" s="2">
        <f>AH159+AG160</f>
        <v>1103890985.7676697</v>
      </c>
      <c r="AI160" s="2">
        <v>82368296.55986208</v>
      </c>
      <c r="AJ160" s="2">
        <f>AH160-AI160</f>
        <v>1021522689.2078075</v>
      </c>
      <c r="AK160" s="3">
        <v>0.25</v>
      </c>
    </row>
    <row r="161" spans="1:37">
      <c r="A161" s="2">
        <v>160</v>
      </c>
      <c r="B161" s="2">
        <v>2040</v>
      </c>
      <c r="C161" s="2">
        <v>99</v>
      </c>
      <c r="D161" s="2">
        <v>513972.1143709132</v>
      </c>
      <c r="E161" s="2">
        <v>50883239.3227204</v>
      </c>
      <c r="F161" s="2">
        <f>E161/1.19</f>
        <v>42759024.640941516</v>
      </c>
      <c r="G161" s="2">
        <v>140</v>
      </c>
      <c r="H161" s="2">
        <v>15469499.58376435</v>
      </c>
      <c r="I161" s="2">
        <v>262</v>
      </c>
      <c r="J161" s="2">
        <v>28849841.93883287</v>
      </c>
      <c r="K161" s="2">
        <v>10901276.15245975</v>
      </c>
      <c r="L161" s="2">
        <v>4288573.084123029</v>
      </c>
      <c r="M161" s="2">
        <v>16801861.34902772</v>
      </c>
      <c r="N161" s="3">
        <v>3</v>
      </c>
      <c r="O161" s="3">
        <v>5.5</v>
      </c>
      <c r="P161" s="2">
        <v>425874.7769009538</v>
      </c>
      <c r="Q161" s="2">
        <v>1395694.441264367</v>
      </c>
      <c r="R161" s="2">
        <v>367133.4283628912</v>
      </c>
      <c r="S161" s="2">
        <v>411189.4397664382</v>
      </c>
      <c r="T161" s="2">
        <v>7261899.213017988</v>
      </c>
      <c r="U161" s="2">
        <f>M161+P161+Q161+R161+S161+T161</f>
        <v>26663652.648340356</v>
      </c>
      <c r="V161" s="2">
        <f>F161-K161-L161-U161</f>
        <v>905522.7560183816</v>
      </c>
      <c r="W161" s="2">
        <v>0</v>
      </c>
      <c r="X161" s="2">
        <v>0</v>
      </c>
      <c r="Y161" s="2">
        <f>W161+X161</f>
        <v>0</v>
      </c>
      <c r="Z161" s="2">
        <v>3.434251993894577E-09</v>
      </c>
      <c r="AA161" s="2">
        <v>0</v>
      </c>
      <c r="AB161" s="2">
        <v>0</v>
      </c>
      <c r="AC161" s="2">
        <v>0</v>
      </c>
      <c r="AD161" s="2">
        <v>414864.0319735999</v>
      </c>
      <c r="AE161" s="2">
        <v>2904048.223815196</v>
      </c>
      <c r="AF161" s="2">
        <f>F161-H161-L161-U161-AA161-AC161-AD161</f>
        <v>-4077564.707259822</v>
      </c>
      <c r="AG161" s="2">
        <f>F161-H161-L161-U161-AA161-AB161-AD161-Y161</f>
        <v>-4077564.707259822</v>
      </c>
      <c r="AH161" s="2">
        <f>AH160+AG161</f>
        <v>1099813421.0604098</v>
      </c>
      <c r="AI161" s="2">
        <v>82368296.55986208</v>
      </c>
      <c r="AJ161" s="2">
        <f>AH161-AI161</f>
        <v>1017445124.5005476</v>
      </c>
      <c r="AK161" s="3">
        <v>0.25</v>
      </c>
    </row>
    <row r="162" spans="1:37">
      <c r="A162" s="2">
        <v>161</v>
      </c>
      <c r="B162" s="2">
        <v>2040</v>
      </c>
      <c r="C162" s="2">
        <v>119</v>
      </c>
      <c r="D162" s="2">
        <v>513972.1143709132</v>
      </c>
      <c r="E162" s="2">
        <v>61162681.61013867</v>
      </c>
      <c r="F162" s="2">
        <f>E162/1.19</f>
        <v>51397211.43709132</v>
      </c>
      <c r="G162" s="2">
        <v>160</v>
      </c>
      <c r="H162" s="2">
        <v>17679428.09573068</v>
      </c>
      <c r="I162" s="2">
        <v>303</v>
      </c>
      <c r="J162" s="2">
        <v>33408456.92055156</v>
      </c>
      <c r="K162" s="2">
        <v>13120813.114012</v>
      </c>
      <c r="L162" s="2">
        <v>5156332.201032311</v>
      </c>
      <c r="M162" s="2">
        <v>16801861.34902772</v>
      </c>
      <c r="N162" s="3">
        <v>3</v>
      </c>
      <c r="O162" s="3">
        <v>5.5</v>
      </c>
      <c r="P162" s="2">
        <v>425874.7769009538</v>
      </c>
      <c r="Q162" s="2">
        <v>1395694.441264367</v>
      </c>
      <c r="R162" s="2">
        <v>367133.4283628912</v>
      </c>
      <c r="S162" s="2">
        <v>411189.4397664382</v>
      </c>
      <c r="T162" s="2">
        <v>7261899.213017988</v>
      </c>
      <c r="U162" s="2">
        <f>M162+P162+Q162+R162+S162+T162</f>
        <v>26663652.648340356</v>
      </c>
      <c r="V162" s="2">
        <f>F162-K162-L162-U162</f>
        <v>6456413.473706659</v>
      </c>
      <c r="W162" s="2">
        <v>0</v>
      </c>
      <c r="X162" s="2">
        <v>0</v>
      </c>
      <c r="Y162" s="2">
        <f>W162+X162</f>
        <v>0</v>
      </c>
      <c r="Z162" s="2">
        <v>3.434251993894577E-09</v>
      </c>
      <c r="AA162" s="2">
        <v>0</v>
      </c>
      <c r="AB162" s="2">
        <v>0</v>
      </c>
      <c r="AC162" s="2">
        <v>0</v>
      </c>
      <c r="AD162" s="2">
        <v>414864.0319735995</v>
      </c>
      <c r="AE162" s="2">
        <v>3318912.255788796</v>
      </c>
      <c r="AF162" s="2">
        <f>F162-H162-L162-U162-AA162-AC162-AD162</f>
        <v>1482934.4600143703</v>
      </c>
      <c r="AG162" s="2">
        <f>F162-H162-L162-U162-AA162-AB162-AD162-Y162</f>
        <v>1482934.4600143703</v>
      </c>
      <c r="AH162" s="2">
        <f>AH161+AG162</f>
        <v>1101296355.5204241</v>
      </c>
      <c r="AI162" s="2">
        <v>82368296.55986208</v>
      </c>
      <c r="AJ162" s="2">
        <f>AH162-AI162</f>
        <v>1018928058.960562</v>
      </c>
      <c r="AK162" s="3">
        <v>0.25</v>
      </c>
    </row>
    <row r="163" spans="1:37">
      <c r="A163" s="2">
        <v>162</v>
      </c>
      <c r="B163" s="2">
        <v>2040</v>
      </c>
      <c r="C163" s="2">
        <v>138</v>
      </c>
      <c r="D163" s="2">
        <v>513972.1143709132</v>
      </c>
      <c r="E163" s="2">
        <v>70928151.78318602</v>
      </c>
      <c r="F163" s="2">
        <f>E163/1.19</f>
        <v>59603488.89343363</v>
      </c>
      <c r="G163" s="2">
        <v>200</v>
      </c>
      <c r="H163" s="2">
        <v>22099285.11966335</v>
      </c>
      <c r="I163" s="2">
        <v>365</v>
      </c>
      <c r="J163" s="2">
        <v>40278977.82242236</v>
      </c>
      <c r="K163" s="2">
        <v>15228764.21779256</v>
      </c>
      <c r="L163" s="2">
        <v>5980654.641320601</v>
      </c>
      <c r="M163" s="2">
        <v>16801861.34902772</v>
      </c>
      <c r="N163" s="3">
        <v>3</v>
      </c>
      <c r="O163" s="3">
        <v>5.5</v>
      </c>
      <c r="P163" s="2">
        <v>425874.7769009538</v>
      </c>
      <c r="Q163" s="2">
        <v>1395694.441264367</v>
      </c>
      <c r="R163" s="2">
        <v>367133.4283628912</v>
      </c>
      <c r="S163" s="2">
        <v>411189.4397664382</v>
      </c>
      <c r="T163" s="2">
        <v>7261899.213017988</v>
      </c>
      <c r="U163" s="2">
        <f>M163+P163+Q163+R163+S163+T163</f>
        <v>26663652.648340356</v>
      </c>
      <c r="V163" s="2">
        <f>F163-K163-L163-U163</f>
        <v>11730417.38598011</v>
      </c>
      <c r="W163" s="2">
        <v>0</v>
      </c>
      <c r="X163" s="2">
        <v>0</v>
      </c>
      <c r="Y163" s="2">
        <f>W163+X163</f>
        <v>0</v>
      </c>
      <c r="Z163" s="2">
        <v>3.434251993894577E-09</v>
      </c>
      <c r="AA163" s="2">
        <v>0</v>
      </c>
      <c r="AB163" s="2">
        <v>0</v>
      </c>
      <c r="AC163" s="2">
        <v>0</v>
      </c>
      <c r="AD163" s="2">
        <v>829728.0639471984</v>
      </c>
      <c r="AE163" s="2">
        <v>4148640.319735994</v>
      </c>
      <c r="AF163" s="2">
        <f>F163-H163-L163-U163-AA163-AC163-AD163</f>
        <v>4030168.4201621176</v>
      </c>
      <c r="AG163" s="2">
        <f>F163-H163-L163-U163-AA163-AB163-AD163-Y163</f>
        <v>4030168.4201621176</v>
      </c>
      <c r="AH163" s="2">
        <f>AH162+AG163</f>
        <v>1105326523.9405863</v>
      </c>
      <c r="AI163" s="2">
        <v>82368296.55986208</v>
      </c>
      <c r="AJ163" s="2">
        <f>AH163-AI163</f>
        <v>1022958227.3807242</v>
      </c>
      <c r="AK163" s="3">
        <v>0.25</v>
      </c>
    </row>
    <row r="164" spans="1:37">
      <c r="A164" s="2">
        <v>163</v>
      </c>
      <c r="B164" s="2">
        <v>2040</v>
      </c>
      <c r="C164" s="2">
        <v>158</v>
      </c>
      <c r="D164" s="2">
        <v>513972.1143709132</v>
      </c>
      <c r="E164" s="2">
        <v>81207594.07060428</v>
      </c>
      <c r="F164" s="2">
        <f>E164/1.19</f>
        <v>68241675.68958344</v>
      </c>
      <c r="G164" s="2">
        <v>210</v>
      </c>
      <c r="H164" s="2">
        <v>23204249.37564652</v>
      </c>
      <c r="I164" s="2">
        <v>417</v>
      </c>
      <c r="J164" s="2">
        <v>46039140.42016473</v>
      </c>
      <c r="K164" s="2">
        <v>17444086.77790415</v>
      </c>
      <c r="L164" s="2">
        <v>6848076.60611463</v>
      </c>
      <c r="M164" s="2">
        <v>16801861.34902772</v>
      </c>
      <c r="N164" s="3">
        <v>3</v>
      </c>
      <c r="O164" s="3">
        <v>5.5</v>
      </c>
      <c r="P164" s="2">
        <v>425874.7769009538</v>
      </c>
      <c r="Q164" s="2">
        <v>1395694.441264367</v>
      </c>
      <c r="R164" s="2">
        <v>367133.4283628912</v>
      </c>
      <c r="S164" s="2">
        <v>411189.4397664382</v>
      </c>
      <c r="T164" s="2">
        <v>7261899.213017988</v>
      </c>
      <c r="U164" s="2">
        <f>M164+P164+Q164+R164+S164+T164</f>
        <v>26663652.648340356</v>
      </c>
      <c r="V164" s="2">
        <f>F164-K164-L164-U164</f>
        <v>17285859.6572243</v>
      </c>
      <c r="W164" s="2">
        <v>0</v>
      </c>
      <c r="X164" s="2">
        <v>0</v>
      </c>
      <c r="Y164" s="2">
        <f>W164+X164</f>
        <v>0</v>
      </c>
      <c r="Z164" s="2">
        <v>3.434251993894577E-09</v>
      </c>
      <c r="AA164" s="2">
        <v>0</v>
      </c>
      <c r="AB164" s="2">
        <v>0</v>
      </c>
      <c r="AC164" s="2">
        <v>0</v>
      </c>
      <c r="AD164" s="2">
        <v>207432.0159867997</v>
      </c>
      <c r="AE164" s="2">
        <v>4356072.335722794</v>
      </c>
      <c r="AF164" s="2">
        <f>F164-H164-L164-U164-AA164-AC164-AD164</f>
        <v>11318265.043495122</v>
      </c>
      <c r="AG164" s="2">
        <f>F164-H164-L164-U164-AA164-AB164-AD164-Y164</f>
        <v>11318265.043495122</v>
      </c>
      <c r="AH164" s="2">
        <f>AH163+AG164</f>
        <v>1116644788.9840815</v>
      </c>
      <c r="AI164" s="2">
        <v>82368296.55986208</v>
      </c>
      <c r="AJ164" s="2">
        <f>AH164-AI164</f>
        <v>1034276492.4242194</v>
      </c>
      <c r="AK164" s="3">
        <v>0.25</v>
      </c>
    </row>
    <row r="165" spans="1:37">
      <c r="A165" s="2">
        <v>164</v>
      </c>
      <c r="B165" s="2">
        <v>2040</v>
      </c>
      <c r="C165" s="2">
        <v>198</v>
      </c>
      <c r="D165" s="2">
        <v>513972.1143709132</v>
      </c>
      <c r="E165" s="2">
        <v>101766478.6454408</v>
      </c>
      <c r="F165" s="2">
        <f>E165/1.19</f>
        <v>85518049.28188303</v>
      </c>
      <c r="G165" s="2">
        <v>260</v>
      </c>
      <c r="H165" s="2">
        <v>28729070.65556236</v>
      </c>
      <c r="I165" s="2">
        <v>479</v>
      </c>
      <c r="J165" s="2">
        <v>52900994.24708018</v>
      </c>
      <c r="K165" s="2">
        <v>21867216.82864692</v>
      </c>
      <c r="L165" s="2">
        <v>8582319.330144253</v>
      </c>
      <c r="M165" s="2">
        <v>16801861.34902772</v>
      </c>
      <c r="N165" s="3">
        <v>3</v>
      </c>
      <c r="O165" s="3">
        <v>5.5</v>
      </c>
      <c r="P165" s="2">
        <v>425874.7769009538</v>
      </c>
      <c r="Q165" s="2">
        <v>1395694.441264367</v>
      </c>
      <c r="R165" s="2">
        <v>367133.4283628912</v>
      </c>
      <c r="S165" s="2">
        <v>411189.4397664382</v>
      </c>
      <c r="T165" s="2">
        <v>7261899.213017988</v>
      </c>
      <c r="U165" s="2">
        <f>M165+P165+Q165+R165+S165+T165</f>
        <v>26663652.648340356</v>
      </c>
      <c r="V165" s="2">
        <f>F165-K165-L165-U165</f>
        <v>28404860.474751506</v>
      </c>
      <c r="W165" s="2">
        <v>0</v>
      </c>
      <c r="X165" s="2">
        <v>0</v>
      </c>
      <c r="Y165" s="2">
        <f>W165+X165</f>
        <v>0</v>
      </c>
      <c r="Z165" s="2">
        <v>3.434251993894577E-09</v>
      </c>
      <c r="AA165" s="2">
        <v>0</v>
      </c>
      <c r="AB165" s="2">
        <v>0</v>
      </c>
      <c r="AC165" s="2">
        <v>0</v>
      </c>
      <c r="AD165" s="2">
        <v>1037160.079933998</v>
      </c>
      <c r="AE165" s="2">
        <v>5393232.415656792</v>
      </c>
      <c r="AF165" s="2">
        <f>F165-H165-L165-U165-AA165-AC165-AD165</f>
        <v>20505846.567902066</v>
      </c>
      <c r="AG165" s="2">
        <f>F165-H165-L165-U165-AA165-AB165-AD165-Y165</f>
        <v>20505846.567902066</v>
      </c>
      <c r="AH165" s="2">
        <f>AH164+AG165</f>
        <v>1137150635.5519836</v>
      </c>
      <c r="AI165" s="2">
        <v>82368296.55986208</v>
      </c>
      <c r="AJ165" s="2">
        <f>AH165-AI165</f>
        <v>1054782338.9921215</v>
      </c>
      <c r="AK165" s="3">
        <v>0.25</v>
      </c>
    </row>
    <row r="166" spans="1:37">
      <c r="A166" s="2">
        <v>165</v>
      </c>
      <c r="B166" s="2">
        <v>2040</v>
      </c>
      <c r="C166" s="2">
        <v>218</v>
      </c>
      <c r="D166" s="2">
        <v>513972.1143709132</v>
      </c>
      <c r="E166" s="2">
        <v>112045920.9328591</v>
      </c>
      <c r="F166" s="2">
        <f>E166/1.19</f>
        <v>94156236.07803284</v>
      </c>
      <c r="G166" s="2">
        <v>280</v>
      </c>
      <c r="H166" s="2">
        <v>30938999.1675287</v>
      </c>
      <c r="I166" s="2">
        <v>541</v>
      </c>
      <c r="J166" s="2">
        <v>59759468.29684243</v>
      </c>
      <c r="K166" s="2">
        <v>24080525.11776645</v>
      </c>
      <c r="L166" s="2">
        <v>9449580.153258916</v>
      </c>
      <c r="M166" s="2">
        <v>16801861.34902772</v>
      </c>
      <c r="N166" s="3">
        <v>3</v>
      </c>
      <c r="O166" s="3">
        <v>5.5</v>
      </c>
      <c r="P166" s="2">
        <v>425874.7769009538</v>
      </c>
      <c r="Q166" s="2">
        <v>1395694.441264367</v>
      </c>
      <c r="R166" s="2">
        <v>367133.4283628912</v>
      </c>
      <c r="S166" s="2">
        <v>411189.4397664382</v>
      </c>
      <c r="T166" s="2">
        <v>7261899.213017988</v>
      </c>
      <c r="U166" s="2">
        <f>M166+P166+Q166+R166+S166+T166</f>
        <v>26663652.648340356</v>
      </c>
      <c r="V166" s="2">
        <f>F166-K166-L166-U166</f>
        <v>33962478.1586671</v>
      </c>
      <c r="W166" s="2">
        <v>0</v>
      </c>
      <c r="X166" s="2">
        <v>0</v>
      </c>
      <c r="Y166" s="2">
        <f>W166+X166</f>
        <v>0</v>
      </c>
      <c r="Z166" s="2">
        <v>3.434251993894577E-09</v>
      </c>
      <c r="AA166" s="2">
        <v>0</v>
      </c>
      <c r="AB166" s="2">
        <v>0</v>
      </c>
      <c r="AC166" s="2">
        <v>0</v>
      </c>
      <c r="AD166" s="2">
        <v>414864.0319736004</v>
      </c>
      <c r="AE166" s="2">
        <v>5808096.447630392</v>
      </c>
      <c r="AF166" s="2">
        <f>F166-H166-L166-U166-AA166-AC166-AD166</f>
        <v>26689140.076931257</v>
      </c>
      <c r="AG166" s="2">
        <f>F166-H166-L166-U166-AA166-AB166-AD166-Y166</f>
        <v>26689140.076931257</v>
      </c>
      <c r="AH166" s="2">
        <f>AH165+AG166</f>
        <v>1163839775.6289148</v>
      </c>
      <c r="AI166" s="2">
        <v>82368296.55986208</v>
      </c>
      <c r="AJ166" s="2">
        <f>AH166-AI166</f>
        <v>1081471479.0690527</v>
      </c>
      <c r="AK166" s="3">
        <v>0.25</v>
      </c>
    </row>
    <row r="167" spans="1:37">
      <c r="A167" s="2">
        <v>166</v>
      </c>
      <c r="B167" s="2">
        <v>2040</v>
      </c>
      <c r="C167" s="2">
        <v>257</v>
      </c>
      <c r="D167" s="2">
        <v>513972.1143709132</v>
      </c>
      <c r="E167" s="2">
        <v>132090833.3933247</v>
      </c>
      <c r="F167" s="2">
        <f>E167/1.19</f>
        <v>111000700.33052495</v>
      </c>
      <c r="G167" s="2">
        <v>330</v>
      </c>
      <c r="H167" s="2">
        <v>36463820.44744454</v>
      </c>
      <c r="I167" s="2">
        <v>614</v>
      </c>
      <c r="J167" s="2">
        <v>67831342.46727003</v>
      </c>
      <c r="K167" s="2">
        <v>28391946.27701693</v>
      </c>
      <c r="L167" s="2">
        <v>11140376.3579699</v>
      </c>
      <c r="M167" s="2">
        <v>16801861.34902772</v>
      </c>
      <c r="N167" s="3">
        <v>3</v>
      </c>
      <c r="O167" s="3">
        <v>5.5</v>
      </c>
      <c r="P167" s="2">
        <v>425874.7769009538</v>
      </c>
      <c r="Q167" s="2">
        <v>1395694.441264367</v>
      </c>
      <c r="R167" s="2">
        <v>367133.4283628912</v>
      </c>
      <c r="S167" s="2">
        <v>411189.4397664382</v>
      </c>
      <c r="T167" s="2">
        <v>7261899.213017988</v>
      </c>
      <c r="U167" s="2">
        <f>M167+P167+Q167+R167+S167+T167</f>
        <v>26663652.648340356</v>
      </c>
      <c r="V167" s="2">
        <f>F167-K167-L167-U167</f>
        <v>44804725.047197744</v>
      </c>
      <c r="W167" s="2">
        <v>0</v>
      </c>
      <c r="X167" s="2">
        <v>0</v>
      </c>
      <c r="Y167" s="2">
        <f>W167+X167</f>
        <v>0</v>
      </c>
      <c r="Z167" s="2">
        <v>3.434251993894577E-09</v>
      </c>
      <c r="AA167" s="2">
        <v>0</v>
      </c>
      <c r="AB167" s="2">
        <v>0</v>
      </c>
      <c r="AC167" s="2">
        <v>0</v>
      </c>
      <c r="AD167" s="2">
        <v>1037160.079933998</v>
      </c>
      <c r="AE167" s="2">
        <v>6845256.527564391</v>
      </c>
      <c r="AF167" s="2">
        <f>F167-H167-L167-U167-AA167-AC167-AD167</f>
        <v>35695690.79683617</v>
      </c>
      <c r="AG167" s="2">
        <f>F167-H167-L167-U167-AA167-AB167-AD167-Y167</f>
        <v>35695690.79683617</v>
      </c>
      <c r="AH167" s="2">
        <f>AH166+AG167</f>
        <v>1199535466.425751</v>
      </c>
      <c r="AI167" s="2">
        <v>82368296.55986208</v>
      </c>
      <c r="AJ167" s="2">
        <f>AH167-AI167</f>
        <v>1117167169.8658888</v>
      </c>
      <c r="AK167" s="3">
        <v>0.25</v>
      </c>
    </row>
    <row r="168" spans="1:37">
      <c r="A168" s="2">
        <v>167</v>
      </c>
      <c r="B168" s="2">
        <v>2040</v>
      </c>
      <c r="C168" s="2">
        <v>277</v>
      </c>
      <c r="D168" s="2">
        <v>513972.1143709132</v>
      </c>
      <c r="E168" s="2">
        <v>142370275.6807429</v>
      </c>
      <c r="F168" s="2">
        <f>E168/1.19</f>
        <v>119638887.12667476</v>
      </c>
      <c r="G168" s="2">
        <v>50</v>
      </c>
      <c r="H168" s="2">
        <v>5524821.279915839</v>
      </c>
      <c r="I168" s="2">
        <v>387</v>
      </c>
      <c r="J168" s="2">
        <v>42754270.13578454</v>
      </c>
      <c r="K168" s="2">
        <v>30601893.61140133</v>
      </c>
      <c r="L168" s="2">
        <v>12007368.30470575</v>
      </c>
      <c r="M168" s="2">
        <v>16801861.34902772</v>
      </c>
      <c r="N168" s="3">
        <v>3</v>
      </c>
      <c r="O168" s="3">
        <v>5.5</v>
      </c>
      <c r="P168" s="2">
        <v>425874.7769009538</v>
      </c>
      <c r="Q168" s="2">
        <v>1395694.441264367</v>
      </c>
      <c r="R168" s="2">
        <v>367133.4283628912</v>
      </c>
      <c r="S168" s="2">
        <v>411189.4397664382</v>
      </c>
      <c r="T168" s="2">
        <v>7261899.213017988</v>
      </c>
      <c r="U168" s="2">
        <f>M168+P168+Q168+R168+S168+T168</f>
        <v>26663652.648340356</v>
      </c>
      <c r="V168" s="2">
        <f>F168-K168-L168-U168</f>
        <v>50365972.56222731</v>
      </c>
      <c r="W168" s="2">
        <v>0</v>
      </c>
      <c r="X168" s="2">
        <v>0</v>
      </c>
      <c r="Y168" s="2">
        <f>W168+X168</f>
        <v>0</v>
      </c>
      <c r="Z168" s="2">
        <v>3.434251993894577E-09</v>
      </c>
      <c r="AA168" s="2">
        <v>0</v>
      </c>
      <c r="AB168" s="2">
        <v>0</v>
      </c>
      <c r="AC168" s="2">
        <v>0</v>
      </c>
      <c r="AD168" s="2">
        <v>-5808096.447630392</v>
      </c>
      <c r="AE168" s="2">
        <v>1037160.079933999</v>
      </c>
      <c r="AF168" s="2">
        <f>F168-H168-L168-U168-AA168-AC168-AD168</f>
        <v>81251141.3413432</v>
      </c>
      <c r="AG168" s="2">
        <f>F168-H168-L168-U168-AA168-AB168-AD168-Y168</f>
        <v>81251141.3413432</v>
      </c>
      <c r="AH168" s="2">
        <f>AH167+AG168</f>
        <v>1280786607.7670941</v>
      </c>
      <c r="AI168" s="2">
        <v>82368296.55986208</v>
      </c>
      <c r="AJ168" s="2">
        <f>AH168-AI168</f>
        <v>1198418311.207232</v>
      </c>
      <c r="AK168" s="3">
        <v>0.25</v>
      </c>
    </row>
    <row r="169" spans="1:37">
      <c r="A169" s="2">
        <v>168</v>
      </c>
      <c r="B169" s="2">
        <v>2040</v>
      </c>
      <c r="C169" s="2">
        <v>336</v>
      </c>
      <c r="D169" s="2">
        <v>513972.1143709132</v>
      </c>
      <c r="E169" s="2">
        <v>172694630.4286268</v>
      </c>
      <c r="F169" s="2">
        <f>E169/1.19</f>
        <v>145121538.17531666</v>
      </c>
      <c r="G169" s="2">
        <v>60</v>
      </c>
      <c r="H169" s="2">
        <v>6629785.535899007</v>
      </c>
      <c r="I169" s="2">
        <v>111</v>
      </c>
      <c r="J169" s="2">
        <v>12263154.76410934</v>
      </c>
      <c r="K169" s="2">
        <v>37120900.90757421</v>
      </c>
      <c r="L169" s="2">
        <v>14564967.56035563</v>
      </c>
      <c r="M169" s="2">
        <v>16801861.34902772</v>
      </c>
      <c r="N169" s="3">
        <v>3</v>
      </c>
      <c r="O169" s="3">
        <v>5.5</v>
      </c>
      <c r="P169" s="2">
        <v>425874.7769009538</v>
      </c>
      <c r="Q169" s="2">
        <v>1395694.441264367</v>
      </c>
      <c r="R169" s="2">
        <v>367133.4283628912</v>
      </c>
      <c r="S169" s="2">
        <v>411189.4397664382</v>
      </c>
      <c r="T169" s="2">
        <v>7261899.213017988</v>
      </c>
      <c r="U169" s="2">
        <f>M169+P169+Q169+R169+S169+T169</f>
        <v>26663652.648340356</v>
      </c>
      <c r="V169" s="2">
        <f>F169-K169-L169-U169</f>
        <v>66772017.05904646</v>
      </c>
      <c r="W169" s="2">
        <v>0</v>
      </c>
      <c r="X169" s="2">
        <v>0</v>
      </c>
      <c r="Y169" s="2">
        <f>W169+X169</f>
        <v>0</v>
      </c>
      <c r="Z169" s="2">
        <v>3.434251993894577E-09</v>
      </c>
      <c r="AA169" s="2">
        <v>0</v>
      </c>
      <c r="AB169" s="2">
        <v>57186271.70033137</v>
      </c>
      <c r="AC169" s="2">
        <v>57186271.70033137</v>
      </c>
      <c r="AD169" s="2">
        <v>207432.0159867996</v>
      </c>
      <c r="AE169" s="2">
        <v>1244592.095920798</v>
      </c>
      <c r="AF169" s="2">
        <f>F169-H169-L169-U169-AA169-AC169-AD169</f>
        <v>39869428.71440349</v>
      </c>
      <c r="AG169" s="2">
        <f>F169-H169-L169-U169-AA169-AB169-AD169-Y169</f>
        <v>39869428.71440349</v>
      </c>
      <c r="AH169" s="2">
        <f>AH168+AG169</f>
        <v>1320656036.4814975</v>
      </c>
      <c r="AI169" s="2">
        <v>82368296.55986208</v>
      </c>
      <c r="AJ169" s="2">
        <f>AH169-AI169</f>
        <v>1238287739.9216354</v>
      </c>
      <c r="AK169" s="3">
        <v>0.25</v>
      </c>
    </row>
    <row r="170" spans="1:37">
      <c r="A170" s="2">
        <v>169</v>
      </c>
      <c r="B170" s="2">
        <v>2041</v>
      </c>
      <c r="C170" s="2">
        <v>42</v>
      </c>
      <c r="D170" s="2">
        <v>529391.2778020406</v>
      </c>
      <c r="E170" s="2">
        <v>22234433.66768571</v>
      </c>
      <c r="F170" s="2">
        <f>E170/1.19</f>
        <v>18684398.040072024</v>
      </c>
      <c r="G170" s="2">
        <v>80</v>
      </c>
      <c r="H170" s="2">
        <v>9104905.469301304</v>
      </c>
      <c r="I170" s="2">
        <v>149</v>
      </c>
      <c r="J170" s="2">
        <v>16669324.47527846</v>
      </c>
      <c r="K170" s="2">
        <v>4698735.758132183</v>
      </c>
      <c r="L170" s="2">
        <v>1868793.154698348</v>
      </c>
      <c r="M170" s="2">
        <v>17305917.18949855</v>
      </c>
      <c r="N170" s="3">
        <v>3</v>
      </c>
      <c r="O170" s="3">
        <v>5.5</v>
      </c>
      <c r="P170" s="2">
        <v>438651.0202079825</v>
      </c>
      <c r="Q170" s="2">
        <v>1497993.23401026</v>
      </c>
      <c r="R170" s="2">
        <v>378147.431213778</v>
      </c>
      <c r="S170" s="2">
        <v>423525.1229594313</v>
      </c>
      <c r="T170" s="2">
        <v>7854122.146310168</v>
      </c>
      <c r="U170" s="2">
        <f>M170+P170+Q170+R170+S170+T170</f>
        <v>27898356.14420017</v>
      </c>
      <c r="V170" s="2">
        <f>F170-K170-L170-U170</f>
        <v>-15781487.016958674</v>
      </c>
      <c r="W170" s="2">
        <v>0</v>
      </c>
      <c r="X170" s="2">
        <v>0</v>
      </c>
      <c r="Y170" s="2">
        <f>W170+X170</f>
        <v>0</v>
      </c>
      <c r="Z170" s="2">
        <v>3.434251993894577E-09</v>
      </c>
      <c r="AA170" s="2">
        <v>0</v>
      </c>
      <c r="AB170" s="2">
        <v>0</v>
      </c>
      <c r="AC170" s="2">
        <v>0</v>
      </c>
      <c r="AD170" s="2">
        <v>464647.7158104316</v>
      </c>
      <c r="AE170" s="2">
        <v>1709239.81173123</v>
      </c>
      <c r="AF170" s="2">
        <f>F170-H170-L170-U170-AA170-AC170-AD170</f>
        <v>-20652304.44393823</v>
      </c>
      <c r="AG170" s="2">
        <f>F170-H170-L170-U170-AA170-AB170-AD170-Y170</f>
        <v>-20652304.44393823</v>
      </c>
      <c r="AH170" s="2">
        <f>AH169+AG170</f>
        <v>1300003732.0375593</v>
      </c>
      <c r="AI170" s="2">
        <v>86072407.04744151</v>
      </c>
      <c r="AJ170" s="2">
        <f>AH170-AI170</f>
        <v>1213931324.9901178</v>
      </c>
      <c r="AK170" s="3">
        <v>0.25</v>
      </c>
    </row>
    <row r="171" spans="1:37">
      <c r="A171" s="2">
        <v>170</v>
      </c>
      <c r="B171" s="2">
        <v>2041</v>
      </c>
      <c r="C171" s="2">
        <v>62</v>
      </c>
      <c r="D171" s="2">
        <v>529391.2778020406</v>
      </c>
      <c r="E171" s="2">
        <v>32822259.22372652</v>
      </c>
      <c r="F171" s="2">
        <f>E171/1.19</f>
        <v>27581730.440106317</v>
      </c>
      <c r="G171" s="2">
        <v>100</v>
      </c>
      <c r="H171" s="2">
        <v>11381131.83662663</v>
      </c>
      <c r="I171" s="2">
        <v>187</v>
      </c>
      <c r="J171" s="2">
        <v>21066005.3426757</v>
      </c>
      <c r="K171" s="2">
        <v>6984450.969229379</v>
      </c>
      <c r="L171" s="2">
        <v>2762552.416370778</v>
      </c>
      <c r="M171" s="2">
        <v>17305917.18949855</v>
      </c>
      <c r="N171" s="3">
        <v>3</v>
      </c>
      <c r="O171" s="3">
        <v>5.5</v>
      </c>
      <c r="P171" s="2">
        <v>438651.0202079825</v>
      </c>
      <c r="Q171" s="2">
        <v>1497993.23401026</v>
      </c>
      <c r="R171" s="2">
        <v>378147.431213778</v>
      </c>
      <c r="S171" s="2">
        <v>423525.1229594313</v>
      </c>
      <c r="T171" s="2">
        <v>7854122.146310168</v>
      </c>
      <c r="U171" s="2">
        <f>M171+P171+Q171+R171+S171+T171</f>
        <v>27898356.14420017</v>
      </c>
      <c r="V171" s="2">
        <f>F171-K171-L171-U171</f>
        <v>-10063629.089694008</v>
      </c>
      <c r="W171" s="2">
        <v>0</v>
      </c>
      <c r="X171" s="2">
        <v>0</v>
      </c>
      <c r="Y171" s="2">
        <f>W171+X171</f>
        <v>0</v>
      </c>
      <c r="Z171" s="2">
        <v>3.434251993894577E-09</v>
      </c>
      <c r="AA171" s="2">
        <v>0</v>
      </c>
      <c r="AB171" s="2">
        <v>0</v>
      </c>
      <c r="AC171" s="2">
        <v>0</v>
      </c>
      <c r="AD171" s="2">
        <v>427309.9529328074</v>
      </c>
      <c r="AE171" s="2">
        <v>2136549.764664037</v>
      </c>
      <c r="AF171" s="2">
        <f>F171-H171-L171-U171-AA171-AC171-AD171</f>
        <v>-14887619.910024064</v>
      </c>
      <c r="AG171" s="2">
        <f>F171-H171-L171-U171-AA171-AB171-AD171-Y171</f>
        <v>-14887619.910024064</v>
      </c>
      <c r="AH171" s="2">
        <f>AH170+AG171</f>
        <v>1285116112.127535</v>
      </c>
      <c r="AI171" s="2">
        <v>86072407.04744151</v>
      </c>
      <c r="AJ171" s="2">
        <f>AH171-AI171</f>
        <v>1199043705.0800936</v>
      </c>
      <c r="AK171" s="3">
        <v>0.25</v>
      </c>
    </row>
    <row r="172" spans="1:37">
      <c r="A172" s="2">
        <v>171</v>
      </c>
      <c r="B172" s="2">
        <v>2041</v>
      </c>
      <c r="C172" s="2">
        <v>83</v>
      </c>
      <c r="D172" s="2">
        <v>529391.2778020406</v>
      </c>
      <c r="E172" s="2">
        <v>43939476.05756937</v>
      </c>
      <c r="F172" s="2">
        <f>E172/1.19</f>
        <v>36923929.46014233</v>
      </c>
      <c r="G172" s="2">
        <v>130</v>
      </c>
      <c r="H172" s="2">
        <v>14795471.38761462</v>
      </c>
      <c r="I172" s="2">
        <v>234</v>
      </c>
      <c r="J172" s="2">
        <v>26471878.72204396</v>
      </c>
      <c r="K172" s="2">
        <v>9389598.008246362</v>
      </c>
      <c r="L172" s="2">
        <v>3701411.326516023</v>
      </c>
      <c r="M172" s="2">
        <v>17305917.18949855</v>
      </c>
      <c r="N172" s="3">
        <v>3</v>
      </c>
      <c r="O172" s="3">
        <v>5.5</v>
      </c>
      <c r="P172" s="2">
        <v>438651.0202079825</v>
      </c>
      <c r="Q172" s="2">
        <v>1497993.23401026</v>
      </c>
      <c r="R172" s="2">
        <v>378147.431213778</v>
      </c>
      <c r="S172" s="2">
        <v>423525.1229594313</v>
      </c>
      <c r="T172" s="2">
        <v>7854122.146310168</v>
      </c>
      <c r="U172" s="2">
        <f>M172+P172+Q172+R172+S172+T172</f>
        <v>27898356.14420017</v>
      </c>
      <c r="V172" s="2">
        <f>F172-K172-L172-U172</f>
        <v>-4065436.018820226</v>
      </c>
      <c r="W172" s="2">
        <v>0</v>
      </c>
      <c r="X172" s="2">
        <v>0</v>
      </c>
      <c r="Y172" s="2">
        <f>W172+X172</f>
        <v>0</v>
      </c>
      <c r="Z172" s="2">
        <v>3.434251993894577E-09</v>
      </c>
      <c r="AA172" s="2">
        <v>0</v>
      </c>
      <c r="AB172" s="2">
        <v>0</v>
      </c>
      <c r="AC172" s="2">
        <v>0</v>
      </c>
      <c r="AD172" s="2">
        <v>640964.929399211</v>
      </c>
      <c r="AE172" s="2">
        <v>2777514.694063248</v>
      </c>
      <c r="AF172" s="2">
        <f>F172-H172-L172-U172-AA172-AC172-AD172</f>
        <v>-10112274.32758769</v>
      </c>
      <c r="AG172" s="2">
        <f>F172-H172-L172-U172-AA172-AB172-AD172-Y172</f>
        <v>-10112274.32758769</v>
      </c>
      <c r="AH172" s="2">
        <f>AH171+AG172</f>
        <v>1275003837.7999475</v>
      </c>
      <c r="AI172" s="2">
        <v>86072407.04744151</v>
      </c>
      <c r="AJ172" s="2">
        <f>AH172-AI172</f>
        <v>1188931430.752506</v>
      </c>
      <c r="AK172" s="3">
        <v>0.25</v>
      </c>
    </row>
    <row r="173" spans="1:37">
      <c r="A173" s="2">
        <v>172</v>
      </c>
      <c r="B173" s="2">
        <v>2041</v>
      </c>
      <c r="C173" s="2">
        <v>104</v>
      </c>
      <c r="D173" s="2">
        <v>529391.2778020406</v>
      </c>
      <c r="E173" s="2">
        <v>55056692.89141222</v>
      </c>
      <c r="F173" s="2">
        <f>E173/1.19</f>
        <v>46266128.48017834</v>
      </c>
      <c r="G173" s="2">
        <v>140</v>
      </c>
      <c r="H173" s="2">
        <v>15933584.57127728</v>
      </c>
      <c r="I173" s="2">
        <v>270</v>
      </c>
      <c r="J173" s="2">
        <v>30613569.75721052</v>
      </c>
      <c r="K173" s="2">
        <v>11791893.53611072</v>
      </c>
      <c r="L173" s="2">
        <v>4640042.115769058</v>
      </c>
      <c r="M173" s="2">
        <v>17305917.18949855</v>
      </c>
      <c r="N173" s="3">
        <v>3</v>
      </c>
      <c r="O173" s="3">
        <v>5.5</v>
      </c>
      <c r="P173" s="2">
        <v>438651.0202079825</v>
      </c>
      <c r="Q173" s="2">
        <v>1497993.23401026</v>
      </c>
      <c r="R173" s="2">
        <v>378147.431213778</v>
      </c>
      <c r="S173" s="2">
        <v>423525.1229594313</v>
      </c>
      <c r="T173" s="2">
        <v>7854122.146310168</v>
      </c>
      <c r="U173" s="2">
        <f>M173+P173+Q173+R173+S173+T173</f>
        <v>27898356.14420017</v>
      </c>
      <c r="V173" s="2">
        <f>F173-K173-L173-U173</f>
        <v>1935836.6840983927</v>
      </c>
      <c r="W173" s="2">
        <v>0</v>
      </c>
      <c r="X173" s="2">
        <v>0</v>
      </c>
      <c r="Y173" s="2">
        <f>W173+X173</f>
        <v>0</v>
      </c>
      <c r="Z173" s="2">
        <v>3.434251993894577E-09</v>
      </c>
      <c r="AA173" s="2">
        <v>0</v>
      </c>
      <c r="AB173" s="2">
        <v>0</v>
      </c>
      <c r="AC173" s="2">
        <v>0</v>
      </c>
      <c r="AD173" s="2">
        <v>213654.9764664038</v>
      </c>
      <c r="AE173" s="2">
        <v>2991169.670529652</v>
      </c>
      <c r="AF173" s="2">
        <f>F173-H173-L173-U173-AA173-AC173-AD173</f>
        <v>-2419509.3275345727</v>
      </c>
      <c r="AG173" s="2">
        <f>F173-H173-L173-U173-AA173-AB173-AD173-Y173</f>
        <v>-2419509.3275345727</v>
      </c>
      <c r="AH173" s="2">
        <f>AH172+AG173</f>
        <v>1272584328.4724128</v>
      </c>
      <c r="AI173" s="2">
        <v>86072407.04744151</v>
      </c>
      <c r="AJ173" s="2">
        <f>AH173-AI173</f>
        <v>1186511921.4249713</v>
      </c>
      <c r="AK173" s="3">
        <v>0.25</v>
      </c>
    </row>
    <row r="174" spans="1:37">
      <c r="A174" s="2">
        <v>173</v>
      </c>
      <c r="B174" s="2">
        <v>2041</v>
      </c>
      <c r="C174" s="2">
        <v>125</v>
      </c>
      <c r="D174" s="2">
        <v>529391.2778020406</v>
      </c>
      <c r="E174" s="2">
        <v>66173909.72525508</v>
      </c>
      <c r="F174" s="2">
        <f>E174/1.19</f>
        <v>55608327.50021435</v>
      </c>
      <c r="G174" s="2">
        <v>170</v>
      </c>
      <c r="H174" s="2">
        <v>19347924.12226527</v>
      </c>
      <c r="I174" s="2">
        <v>315</v>
      </c>
      <c r="J174" s="2">
        <v>35767887.66371562</v>
      </c>
      <c r="K174" s="2">
        <v>14193606.21576017</v>
      </c>
      <c r="L174" s="2">
        <v>5578626.277164901</v>
      </c>
      <c r="M174" s="2">
        <v>17305917.18949855</v>
      </c>
      <c r="N174" s="3">
        <v>3</v>
      </c>
      <c r="O174" s="3">
        <v>5.5</v>
      </c>
      <c r="P174" s="2">
        <v>438651.0202079825</v>
      </c>
      <c r="Q174" s="2">
        <v>1497993.23401026</v>
      </c>
      <c r="R174" s="2">
        <v>378147.431213778</v>
      </c>
      <c r="S174" s="2">
        <v>423525.1229594313</v>
      </c>
      <c r="T174" s="2">
        <v>7854122.146310168</v>
      </c>
      <c r="U174" s="2">
        <f>M174+P174+Q174+R174+S174+T174</f>
        <v>27898356.14420017</v>
      </c>
      <c r="V174" s="2">
        <f>F174-K174-L174-U174</f>
        <v>7937738.863089122</v>
      </c>
      <c r="W174" s="2">
        <v>0</v>
      </c>
      <c r="X174" s="2">
        <v>0</v>
      </c>
      <c r="Y174" s="2">
        <f>W174+X174</f>
        <v>0</v>
      </c>
      <c r="Z174" s="2">
        <v>3.434251993894577E-09</v>
      </c>
      <c r="AA174" s="2">
        <v>0</v>
      </c>
      <c r="AB174" s="2">
        <v>0</v>
      </c>
      <c r="AC174" s="2">
        <v>0</v>
      </c>
      <c r="AD174" s="2">
        <v>640964.929399211</v>
      </c>
      <c r="AE174" s="2">
        <v>3632134.599928863</v>
      </c>
      <c r="AF174" s="2">
        <f>F174-H174-L174-U174-AA174-AC174-AD174</f>
        <v>2142456.0271848105</v>
      </c>
      <c r="AG174" s="2">
        <f>F174-H174-L174-U174-AA174-AB174-AD174-Y174</f>
        <v>2142456.0271848105</v>
      </c>
      <c r="AH174" s="2">
        <f>AH173+AG174</f>
        <v>1274726784.4995975</v>
      </c>
      <c r="AI174" s="2">
        <v>86072407.04744151</v>
      </c>
      <c r="AJ174" s="2">
        <f>AH174-AI174</f>
        <v>1188654377.452156</v>
      </c>
      <c r="AK174" s="3">
        <v>0.25</v>
      </c>
    </row>
    <row r="175" spans="1:37">
      <c r="A175" s="2">
        <v>174</v>
      </c>
      <c r="B175" s="2">
        <v>2041</v>
      </c>
      <c r="C175" s="2">
        <v>145</v>
      </c>
      <c r="D175" s="2">
        <v>529391.2778020406</v>
      </c>
      <c r="E175" s="2">
        <v>76761735.2812959</v>
      </c>
      <c r="F175" s="2">
        <f>E175/1.19</f>
        <v>64505659.900248654</v>
      </c>
      <c r="G175" s="2">
        <v>210</v>
      </c>
      <c r="H175" s="2">
        <v>23900376.85691592</v>
      </c>
      <c r="I175" s="2">
        <v>380</v>
      </c>
      <c r="J175" s="2">
        <v>43188458.12921903</v>
      </c>
      <c r="K175" s="2">
        <v>16479806.39141252</v>
      </c>
      <c r="L175" s="2">
        <v>6472424.336001744</v>
      </c>
      <c r="M175" s="2">
        <v>17305917.18949855</v>
      </c>
      <c r="N175" s="3">
        <v>3</v>
      </c>
      <c r="O175" s="3">
        <v>5.5</v>
      </c>
      <c r="P175" s="2">
        <v>438651.0202079825</v>
      </c>
      <c r="Q175" s="2">
        <v>1497993.23401026</v>
      </c>
      <c r="R175" s="2">
        <v>378147.431213778</v>
      </c>
      <c r="S175" s="2">
        <v>423525.1229594313</v>
      </c>
      <c r="T175" s="2">
        <v>7854122.146310168</v>
      </c>
      <c r="U175" s="2">
        <f>M175+P175+Q175+R175+S175+T175</f>
        <v>27898356.14420017</v>
      </c>
      <c r="V175" s="2">
        <f>F175-K175-L175-U175</f>
        <v>13655073.02863422</v>
      </c>
      <c r="W175" s="2">
        <v>0</v>
      </c>
      <c r="X175" s="2">
        <v>0</v>
      </c>
      <c r="Y175" s="2">
        <f>W175+X175</f>
        <v>0</v>
      </c>
      <c r="Z175" s="2">
        <v>3.434251993894577E-09</v>
      </c>
      <c r="AA175" s="2">
        <v>0</v>
      </c>
      <c r="AB175" s="2">
        <v>0</v>
      </c>
      <c r="AC175" s="2">
        <v>0</v>
      </c>
      <c r="AD175" s="2">
        <v>854619.9058656157</v>
      </c>
      <c r="AE175" s="2">
        <v>4486754.505794479</v>
      </c>
      <c r="AF175" s="2">
        <f>F175-H175-L175-U175-AA175-AC175-AD175</f>
        <v>5379882.657265203</v>
      </c>
      <c r="AG175" s="2">
        <f>F175-H175-L175-U175-AA175-AB175-AD175-Y175</f>
        <v>5379882.657265203</v>
      </c>
      <c r="AH175" s="2">
        <f>AH174+AG175</f>
        <v>1280106667.1568627</v>
      </c>
      <c r="AI175" s="2">
        <v>86072407.04744151</v>
      </c>
      <c r="AJ175" s="2">
        <f>AH175-AI175</f>
        <v>1194034260.1094213</v>
      </c>
      <c r="AK175" s="3">
        <v>0.25</v>
      </c>
    </row>
    <row r="176" spans="1:37">
      <c r="A176" s="2">
        <v>175</v>
      </c>
      <c r="B176" s="2">
        <v>2041</v>
      </c>
      <c r="C176" s="2">
        <v>166</v>
      </c>
      <c r="D176" s="2">
        <v>529391.2778020406</v>
      </c>
      <c r="E176" s="2">
        <v>87878952.11513874</v>
      </c>
      <c r="F176" s="2">
        <f>E176/1.19</f>
        <v>73847858.92028466</v>
      </c>
      <c r="G176" s="2">
        <v>230</v>
      </c>
      <c r="H176" s="2">
        <v>26176603.22424125</v>
      </c>
      <c r="I176" s="2">
        <v>444</v>
      </c>
      <c r="J176" s="2">
        <v>50488667.6080924</v>
      </c>
      <c r="K176" s="2">
        <v>18876393.74536788</v>
      </c>
      <c r="L176" s="2">
        <v>7410598.471342059</v>
      </c>
      <c r="M176" s="2">
        <v>17305917.18949855</v>
      </c>
      <c r="N176" s="3">
        <v>3</v>
      </c>
      <c r="O176" s="3">
        <v>5.5</v>
      </c>
      <c r="P176" s="2">
        <v>438651.0202079825</v>
      </c>
      <c r="Q176" s="2">
        <v>1497993.23401026</v>
      </c>
      <c r="R176" s="2">
        <v>378147.431213778</v>
      </c>
      <c r="S176" s="2">
        <v>423525.1229594313</v>
      </c>
      <c r="T176" s="2">
        <v>7854122.146310168</v>
      </c>
      <c r="U176" s="2">
        <f>M176+P176+Q176+R176+S176+T176</f>
        <v>27898356.14420017</v>
      </c>
      <c r="V176" s="2">
        <f>F176-K176-L176-U176</f>
        <v>19662510.559374556</v>
      </c>
      <c r="W176" s="2">
        <v>0</v>
      </c>
      <c r="X176" s="2">
        <v>0</v>
      </c>
      <c r="Y176" s="2">
        <f>W176+X176</f>
        <v>0</v>
      </c>
      <c r="Z176" s="2">
        <v>3.434251993894577E-09</v>
      </c>
      <c r="AA176" s="2">
        <v>0</v>
      </c>
      <c r="AB176" s="2">
        <v>0</v>
      </c>
      <c r="AC176" s="2">
        <v>0</v>
      </c>
      <c r="AD176" s="2">
        <v>427309.9529328067</v>
      </c>
      <c r="AE176" s="2">
        <v>4914064.458727285</v>
      </c>
      <c r="AF176" s="2">
        <f>F176-H176-L176-U176-AA176-AC176-AD176</f>
        <v>11934991.127568385</v>
      </c>
      <c r="AG176" s="2">
        <f>F176-H176-L176-U176-AA176-AB176-AD176-Y176</f>
        <v>11934991.127568385</v>
      </c>
      <c r="AH176" s="2">
        <f>AH175+AG176</f>
        <v>1292041658.2844312</v>
      </c>
      <c r="AI176" s="2">
        <v>86072407.04744151</v>
      </c>
      <c r="AJ176" s="2">
        <f>AH176-AI176</f>
        <v>1205969251.2369897</v>
      </c>
      <c r="AK176" s="3">
        <v>0.25</v>
      </c>
    </row>
    <row r="177" spans="1:37">
      <c r="A177" s="2">
        <v>176</v>
      </c>
      <c r="B177" s="2">
        <v>2041</v>
      </c>
      <c r="C177" s="2">
        <v>208</v>
      </c>
      <c r="D177" s="2">
        <v>529391.2778020406</v>
      </c>
      <c r="E177" s="2">
        <v>110113385.7828244</v>
      </c>
      <c r="F177" s="2">
        <f>E177/1.19</f>
        <v>92532256.96035668</v>
      </c>
      <c r="G177" s="2">
        <v>270</v>
      </c>
      <c r="H177" s="2">
        <v>30729055.95889189</v>
      </c>
      <c r="I177" s="2">
        <v>506</v>
      </c>
      <c r="J177" s="2">
        <v>57557658.43822696</v>
      </c>
      <c r="K177" s="2">
        <v>23660065.12875733</v>
      </c>
      <c r="L177" s="2">
        <v>9286186.47606099</v>
      </c>
      <c r="M177" s="2">
        <v>17305917.18949855</v>
      </c>
      <c r="N177" s="3">
        <v>3</v>
      </c>
      <c r="O177" s="3">
        <v>5.5</v>
      </c>
      <c r="P177" s="2">
        <v>438651.0202079825</v>
      </c>
      <c r="Q177" s="2">
        <v>1497993.23401026</v>
      </c>
      <c r="R177" s="2">
        <v>378147.431213778</v>
      </c>
      <c r="S177" s="2">
        <v>423525.1229594313</v>
      </c>
      <c r="T177" s="2">
        <v>7854122.146310168</v>
      </c>
      <c r="U177" s="2">
        <f>M177+P177+Q177+R177+S177+T177</f>
        <v>27898356.14420017</v>
      </c>
      <c r="V177" s="2">
        <f>F177-K177-L177-U177</f>
        <v>31687649.2113382</v>
      </c>
      <c r="W177" s="2">
        <v>0</v>
      </c>
      <c r="X177" s="2">
        <v>0</v>
      </c>
      <c r="Y177" s="2">
        <f>W177+X177</f>
        <v>0</v>
      </c>
      <c r="Z177" s="2">
        <v>3.434251993894577E-09</v>
      </c>
      <c r="AA177" s="2">
        <v>0</v>
      </c>
      <c r="AB177" s="2">
        <v>0</v>
      </c>
      <c r="AC177" s="2">
        <v>0</v>
      </c>
      <c r="AD177" s="2">
        <v>854619.9058656143</v>
      </c>
      <c r="AE177" s="2">
        <v>5768684.3645929</v>
      </c>
      <c r="AF177" s="2">
        <f>F177-H177-L177-U177-AA177-AC177-AD177</f>
        <v>23764038.475338016</v>
      </c>
      <c r="AG177" s="2">
        <f>F177-H177-L177-U177-AA177-AB177-AD177-Y177</f>
        <v>23764038.475338016</v>
      </c>
      <c r="AH177" s="2">
        <f>AH176+AG177</f>
        <v>1315805696.7597692</v>
      </c>
      <c r="AI177" s="2">
        <v>86072407.04744151</v>
      </c>
      <c r="AJ177" s="2">
        <f>AH177-AI177</f>
        <v>1229733289.7123277</v>
      </c>
      <c r="AK177" s="3">
        <v>0.25</v>
      </c>
    </row>
    <row r="178" spans="1:37">
      <c r="A178" s="2">
        <v>177</v>
      </c>
      <c r="B178" s="2">
        <v>2041</v>
      </c>
      <c r="C178" s="2">
        <v>228</v>
      </c>
      <c r="D178" s="2">
        <v>529391.2778020406</v>
      </c>
      <c r="E178" s="2">
        <v>120701211.3388653</v>
      </c>
      <c r="F178" s="2">
        <f>E178/1.19</f>
        <v>101429589.36039099</v>
      </c>
      <c r="G178" s="2">
        <v>290</v>
      </c>
      <c r="H178" s="2">
        <v>33005282.32621722</v>
      </c>
      <c r="I178" s="2">
        <v>568</v>
      </c>
      <c r="J178" s="2">
        <v>64622801.95251796</v>
      </c>
      <c r="K178" s="2">
        <v>25940138.81192623</v>
      </c>
      <c r="L178" s="2">
        <v>10179494.41549915</v>
      </c>
      <c r="M178" s="2">
        <v>17305917.18949855</v>
      </c>
      <c r="N178" s="3">
        <v>3</v>
      </c>
      <c r="O178" s="3">
        <v>5.5</v>
      </c>
      <c r="P178" s="2">
        <v>438651.0202079825</v>
      </c>
      <c r="Q178" s="2">
        <v>1497993.23401026</v>
      </c>
      <c r="R178" s="2">
        <v>378147.431213778</v>
      </c>
      <c r="S178" s="2">
        <v>423525.1229594313</v>
      </c>
      <c r="T178" s="2">
        <v>7854122.146310168</v>
      </c>
      <c r="U178" s="2">
        <f>M178+P178+Q178+R178+S178+T178</f>
        <v>27898356.14420017</v>
      </c>
      <c r="V178" s="2">
        <f>F178-K178-L178-U178</f>
        <v>37411599.98876544</v>
      </c>
      <c r="W178" s="2">
        <v>0</v>
      </c>
      <c r="X178" s="2">
        <v>0</v>
      </c>
      <c r="Y178" s="2">
        <f>W178+X178</f>
        <v>0</v>
      </c>
      <c r="Z178" s="2">
        <v>3.434251993894577E-09</v>
      </c>
      <c r="AA178" s="2">
        <v>0</v>
      </c>
      <c r="AB178" s="2">
        <v>0</v>
      </c>
      <c r="AC178" s="2">
        <v>0</v>
      </c>
      <c r="AD178" s="2">
        <v>427309.9529328076</v>
      </c>
      <c r="AE178" s="2">
        <v>6195994.317525707</v>
      </c>
      <c r="AF178" s="2">
        <f>F178-H178-L178-U178-AA178-AC178-AD178</f>
        <v>29919146.521541644</v>
      </c>
      <c r="AG178" s="2">
        <f>F178-H178-L178-U178-AA178-AB178-AD178-Y178</f>
        <v>29919146.521541644</v>
      </c>
      <c r="AH178" s="2">
        <f>AH177+AG178</f>
        <v>1345724843.2813108</v>
      </c>
      <c r="AI178" s="2">
        <v>86072407.04744151</v>
      </c>
      <c r="AJ178" s="2">
        <f>AH178-AI178</f>
        <v>1259652436.2338693</v>
      </c>
      <c r="AK178" s="3">
        <v>0.25</v>
      </c>
    </row>
    <row r="179" spans="1:37">
      <c r="A179" s="2">
        <v>178</v>
      </c>
      <c r="B179" s="2">
        <v>2041</v>
      </c>
      <c r="C179" s="2">
        <v>270</v>
      </c>
      <c r="D179" s="2">
        <v>529391.2778020406</v>
      </c>
      <c r="E179" s="2">
        <v>142935645.006551</v>
      </c>
      <c r="F179" s="2">
        <f>E179/1.19</f>
        <v>120113987.400463</v>
      </c>
      <c r="G179" s="2">
        <v>350</v>
      </c>
      <c r="H179" s="2">
        <v>39833961.4281932</v>
      </c>
      <c r="I179" s="2">
        <v>648</v>
      </c>
      <c r="J179" s="2">
        <v>73734185.9157961</v>
      </c>
      <c r="K179" s="2">
        <v>30722577.46491504</v>
      </c>
      <c r="L179" s="2">
        <v>12054983.80178604</v>
      </c>
      <c r="M179" s="2">
        <v>17305917.18949855</v>
      </c>
      <c r="N179" s="3">
        <v>3</v>
      </c>
      <c r="O179" s="3">
        <v>5.5</v>
      </c>
      <c r="P179" s="2">
        <v>438651.0202079825</v>
      </c>
      <c r="Q179" s="2">
        <v>1497993.23401026</v>
      </c>
      <c r="R179" s="2">
        <v>378147.431213778</v>
      </c>
      <c r="S179" s="2">
        <v>423525.1229594313</v>
      </c>
      <c r="T179" s="2">
        <v>7854122.146310168</v>
      </c>
      <c r="U179" s="2">
        <f>M179+P179+Q179+R179+S179+T179</f>
        <v>27898356.14420017</v>
      </c>
      <c r="V179" s="2">
        <f>F179-K179-L179-U179</f>
        <v>49438069.989561744</v>
      </c>
      <c r="W179" s="2">
        <v>0</v>
      </c>
      <c r="X179" s="2">
        <v>0</v>
      </c>
      <c r="Y179" s="2">
        <f>W179+X179</f>
        <v>0</v>
      </c>
      <c r="Z179" s="2">
        <v>3.434251993894577E-09</v>
      </c>
      <c r="AA179" s="2">
        <v>0</v>
      </c>
      <c r="AB179" s="2">
        <v>0</v>
      </c>
      <c r="AC179" s="2">
        <v>0</v>
      </c>
      <c r="AD179" s="2">
        <v>1281929.858798422</v>
      </c>
      <c r="AE179" s="2">
        <v>7477924.176324129</v>
      </c>
      <c r="AF179" s="2">
        <f>F179-H179-L179-U179-AA179-AC179-AD179</f>
        <v>39044756.16748518</v>
      </c>
      <c r="AG179" s="2">
        <f>F179-H179-L179-U179-AA179-AB179-AD179-Y179</f>
        <v>39044756.16748518</v>
      </c>
      <c r="AH179" s="2">
        <f>AH178+AG179</f>
        <v>1384769599.448796</v>
      </c>
      <c r="AI179" s="2">
        <v>86072407.04744151</v>
      </c>
      <c r="AJ179" s="2">
        <f>AH179-AI179</f>
        <v>1298697192.4013546</v>
      </c>
      <c r="AK179" s="3">
        <v>0.25</v>
      </c>
    </row>
    <row r="180" spans="1:37">
      <c r="A180" s="2">
        <v>179</v>
      </c>
      <c r="B180" s="2">
        <v>2041</v>
      </c>
      <c r="C180" s="2">
        <v>291</v>
      </c>
      <c r="D180" s="2">
        <v>529391.2778020406</v>
      </c>
      <c r="E180" s="2">
        <v>154052861.8403938</v>
      </c>
      <c r="F180" s="2">
        <f>E180/1.19</f>
        <v>129456186.42049901</v>
      </c>
      <c r="G180" s="2">
        <v>0</v>
      </c>
      <c r="H180" s="2">
        <v>0</v>
      </c>
      <c r="I180" s="2">
        <v>357</v>
      </c>
      <c r="J180" s="2">
        <v>40622074.64805433</v>
      </c>
      <c r="K180" s="2">
        <v>33112111.26774177</v>
      </c>
      <c r="L180" s="2">
        <v>12992593.65303606</v>
      </c>
      <c r="M180" s="2">
        <v>17305917.18949855</v>
      </c>
      <c r="N180" s="3">
        <v>3</v>
      </c>
      <c r="O180" s="3">
        <v>5.5</v>
      </c>
      <c r="P180" s="2">
        <v>438651.0202079825</v>
      </c>
      <c r="Q180" s="2">
        <v>1497993.23401026</v>
      </c>
      <c r="R180" s="2">
        <v>378147.431213778</v>
      </c>
      <c r="S180" s="2">
        <v>423525.1229594313</v>
      </c>
      <c r="T180" s="2">
        <v>7854122.146310168</v>
      </c>
      <c r="U180" s="2">
        <f>M180+P180+Q180+R180+S180+T180</f>
        <v>27898356.14420017</v>
      </c>
      <c r="V180" s="2">
        <f>F180-K180-L180-U180</f>
        <v>55453125.355521016</v>
      </c>
      <c r="W180" s="2">
        <v>0</v>
      </c>
      <c r="X180" s="2">
        <v>0</v>
      </c>
      <c r="Y180" s="2">
        <f>W180+X180</f>
        <v>0</v>
      </c>
      <c r="Z180" s="2">
        <v>3.434251993894577E-09</v>
      </c>
      <c r="AA180" s="2">
        <v>0</v>
      </c>
      <c r="AB180" s="2">
        <v>0</v>
      </c>
      <c r="AC180" s="2">
        <v>0</v>
      </c>
      <c r="AD180" s="2">
        <v>-7477924.176324129</v>
      </c>
      <c r="AE180" s="2">
        <v>0</v>
      </c>
      <c r="AF180" s="2">
        <f>F180-H180-L180-U180-AA180-AC180-AD180</f>
        <v>96043160.79958692</v>
      </c>
      <c r="AG180" s="2">
        <f>F180-H180-L180-U180-AA180-AB180-AD180-Y180</f>
        <v>96043160.79958692</v>
      </c>
      <c r="AH180" s="2">
        <f>AH179+AG180</f>
        <v>1480812760.248383</v>
      </c>
      <c r="AI180" s="2">
        <v>86072407.04744151</v>
      </c>
      <c r="AJ180" s="2">
        <f>AH180-AI180</f>
        <v>1394740353.2009416</v>
      </c>
      <c r="AK180" s="3">
        <v>0.25</v>
      </c>
    </row>
    <row r="181" spans="1:37">
      <c r="A181" s="2">
        <v>180</v>
      </c>
      <c r="B181" s="2">
        <v>2041</v>
      </c>
      <c r="C181" s="2">
        <v>353</v>
      </c>
      <c r="D181" s="2">
        <v>529391.2778020406</v>
      </c>
      <c r="E181" s="2">
        <v>186875121.0641203</v>
      </c>
      <c r="F181" s="2">
        <f>E181/1.19</f>
        <v>157037916.86060533</v>
      </c>
      <c r="G181" s="2">
        <v>0</v>
      </c>
      <c r="H181" s="2">
        <v>0</v>
      </c>
      <c r="I181" s="2">
        <v>4</v>
      </c>
      <c r="J181" s="2">
        <v>455149.2957765236</v>
      </c>
      <c r="K181" s="2">
        <v>40166925.35227781</v>
      </c>
      <c r="L181" s="2">
        <v>15760775.11863137</v>
      </c>
      <c r="M181" s="2">
        <v>17305917.18949855</v>
      </c>
      <c r="N181" s="3">
        <v>3</v>
      </c>
      <c r="O181" s="3">
        <v>5.5</v>
      </c>
      <c r="P181" s="2">
        <v>438651.0202079825</v>
      </c>
      <c r="Q181" s="2">
        <v>1497993.23401026</v>
      </c>
      <c r="R181" s="2">
        <v>378147.431213778</v>
      </c>
      <c r="S181" s="2">
        <v>423525.1229594313</v>
      </c>
      <c r="T181" s="2">
        <v>7854122.146310168</v>
      </c>
      <c r="U181" s="2">
        <f>M181+P181+Q181+R181+S181+T181</f>
        <v>27898356.14420017</v>
      </c>
      <c r="V181" s="2">
        <f>F181-K181-L181-U181</f>
        <v>73211860.24549598</v>
      </c>
      <c r="W181" s="2">
        <v>0</v>
      </c>
      <c r="X181" s="2">
        <v>0</v>
      </c>
      <c r="Y181" s="2">
        <f>W181+X181</f>
        <v>0</v>
      </c>
      <c r="Z181" s="2">
        <v>3.434251993894577E-09</v>
      </c>
      <c r="AA181" s="2">
        <v>0</v>
      </c>
      <c r="AB181" s="2">
        <v>68072729.31718466</v>
      </c>
      <c r="AC181" s="2">
        <v>68072729.31718466</v>
      </c>
      <c r="AD181" s="2">
        <v>0</v>
      </c>
      <c r="AE181" s="2">
        <v>0</v>
      </c>
      <c r="AF181" s="2">
        <f>F181-H181-L181-U181-AA181-AC181-AD181</f>
        <v>45306056.28058913</v>
      </c>
      <c r="AG181" s="2">
        <f>F181-H181-L181-U181-AA181-AB181-AD181-Y181</f>
        <v>45306056.28058913</v>
      </c>
      <c r="AH181" s="2">
        <f>AH180+AG181</f>
        <v>1526118816.5289721</v>
      </c>
      <c r="AI181" s="2">
        <v>86072407.04744151</v>
      </c>
      <c r="AJ181" s="2">
        <f>AH181-AI181</f>
        <v>1440046409.4815307</v>
      </c>
      <c r="AK181" s="3">
        <v>0.25</v>
      </c>
    </row>
  </sheetData>
  <autoFilter ref="A1:AK18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  <c r="AG1" s="1" t="s">
        <v>147</v>
      </c>
      <c r="AH1" s="1" t="s">
        <v>148</v>
      </c>
      <c r="AI1" s="1" t="s">
        <v>149</v>
      </c>
      <c r="AJ1" s="1" t="s">
        <v>150</v>
      </c>
      <c r="AK1" s="1" t="s">
        <v>151</v>
      </c>
      <c r="AL1" s="1" t="s">
        <v>152</v>
      </c>
      <c r="AM1" s="1" t="s">
        <v>153</v>
      </c>
      <c r="AN1" s="1" t="s">
        <v>154</v>
      </c>
      <c r="AO1" s="1" t="s">
        <v>155</v>
      </c>
    </row>
    <row r="2" spans="1:41">
      <c r="A2" s="2">
        <v>78</v>
      </c>
      <c r="B2" s="2">
        <v>2027</v>
      </c>
      <c r="C2" s="2">
        <f>SUM('Crecimiento_mensual'!C2:C13)</f>
        <v>300</v>
      </c>
      <c r="D2" s="2">
        <v>349990</v>
      </c>
      <c r="E2" s="2">
        <f>SUM('Crecimiento_mensual'!E2:E13)</f>
        <v>104997000.0</v>
      </c>
      <c r="F2" s="2">
        <f>SUM('Crecimiento_mensual'!F2:F13)</f>
        <v>88232773.1092437</v>
      </c>
      <c r="G2" s="2">
        <f>SUM('Crecimiento_mensual'!G2:G13)</f>
        <v>310</v>
      </c>
      <c r="H2" s="2">
        <f>SUM('Crecimiento_mensual'!H2:H13)</f>
        <v>23325233.61344538</v>
      </c>
      <c r="I2" s="2">
        <v>30</v>
      </c>
      <c r="J2" s="2">
        <v>2257280.672268907</v>
      </c>
      <c r="K2" s="2">
        <f>SUM('Crecimiento_mensual'!K2:K13)</f>
        <v>22572806.722689077</v>
      </c>
      <c r="L2" s="2">
        <f>SUM('Crecimiento_mensual'!L2:L13)</f>
        <v>8855674.537815126</v>
      </c>
      <c r="M2" s="2">
        <f>SUM('Crecimiento_mensual'!M2:M13)</f>
        <v>24705000.000000004</v>
      </c>
      <c r="N2" s="3">
        <v>0.5</v>
      </c>
      <c r="O2" s="3">
        <v>0</v>
      </c>
      <c r="P2" s="2">
        <f>SUM('Crecimiento_mensual'!P2:P13)</f>
        <v>1560000.0</v>
      </c>
      <c r="Q2" s="2">
        <f>SUM('Crecimiento_mensual'!Q2:Q13)</f>
        <v>1980000.0</v>
      </c>
      <c r="R2" s="2">
        <f>SUM('Crecimiento_mensual'!R2:R13)</f>
        <v>0</v>
      </c>
      <c r="S2" s="2">
        <f>SUM('Crecimiento_mensual'!S2:S13)</f>
        <v>3360000.0</v>
      </c>
      <c r="T2" s="2">
        <f>SUM('Crecimiento_mensual'!T2:T13)</f>
        <v>9000000.0</v>
      </c>
      <c r="U2" s="2">
        <f>SUM('Crecimiento_mensual'!U2:U13)</f>
        <v>40605000.0</v>
      </c>
      <c r="V2" s="2">
        <f>SUM('Crecimiento_mensual'!V2:V13)</f>
        <v>16199291.8487395</v>
      </c>
      <c r="W2" s="2">
        <f>SUM('Crecimiento_mensual'!W2:W13)</f>
        <v>3073382.712136357</v>
      </c>
      <c r="X2" s="2">
        <f>SUM('Crecimiento_mensual'!X2:X13)</f>
        <v>1578461.3472276744</v>
      </c>
      <c r="Y2" s="2">
        <f>SUM('Crecimiento_mensual'!Y2:Y13)</f>
        <v>4651844.059364032</v>
      </c>
      <c r="Z2" s="2">
        <v>26121538.65277232</v>
      </c>
      <c r="AA2" s="2">
        <f>SUM('Crecimiento_mensual'!AA2:AA13)</f>
        <v>0</v>
      </c>
      <c r="AB2" s="2">
        <f>SUM('Crecimiento_mensual'!AB2:AB13)</f>
        <v>28713.28073085472</v>
      </c>
      <c r="AC2" s="2">
        <f>SUM('Crecimiento_mensual'!AC2:AC13)</f>
        <v>412886.1197479002</v>
      </c>
      <c r="AD2" s="2">
        <f>SUM('Crecimiento_mensual'!AD2:AD13)</f>
        <v>141251.1092436975</v>
      </c>
      <c r="AE2" s="2">
        <v>141251.1092436975</v>
      </c>
      <c r="AF2" s="2">
        <f>SUM('Crecimiento_mensual'!AF2:AF13)</f>
        <v>14892727.728991603</v>
      </c>
      <c r="AG2" s="2">
        <f>SUM('Crecimiento_mensual'!AG2:AG13)</f>
        <v>10625056.508644616</v>
      </c>
      <c r="AH2" s="2">
        <v>34627280.50864462</v>
      </c>
      <c r="AI2" s="2">
        <v>12528588.61484101</v>
      </c>
      <c r="AJ2" s="2">
        <v>22098691.89380361</v>
      </c>
      <c r="AK2" s="3">
        <v>0.125</v>
      </c>
      <c r="AL2" s="3">
        <v>3.284052597863136</v>
      </c>
      <c r="AM2" s="2">
        <v>824153.9529559705</v>
      </c>
      <c r="AN2" s="2">
        <v>215</v>
      </c>
      <c r="AO2" s="2">
        <v>240</v>
      </c>
    </row>
    <row r="3" spans="1:41">
      <c r="A3" s="2">
        <v>222</v>
      </c>
      <c r="B3" s="2">
        <v>2028</v>
      </c>
      <c r="C3" s="2">
        <f>SUM('Crecimiento_mensual'!C14:C25)</f>
        <v>525</v>
      </c>
      <c r="D3" s="2">
        <v>360489.7</v>
      </c>
      <c r="E3" s="2">
        <f>SUM('Crecimiento_mensual'!E14:E25)</f>
        <v>189257092.5</v>
      </c>
      <c r="F3" s="2">
        <f>SUM('Crecimiento_mensual'!F14:F25)</f>
        <v>159039573.52941176</v>
      </c>
      <c r="G3" s="2">
        <f>SUM('Crecimiento_mensual'!G14:G25)</f>
        <v>540</v>
      </c>
      <c r="H3" s="2">
        <f>SUM('Crecimiento_mensual'!H14:H25)</f>
        <v>41849983.663865544</v>
      </c>
      <c r="I3" s="2">
        <v>45</v>
      </c>
      <c r="J3" s="2">
        <v>3486874.314825841</v>
      </c>
      <c r="K3" s="2">
        <f>SUM('Crecimiento_mensual'!K14:K25)</f>
        <v>40620390.021308616</v>
      </c>
      <c r="L3" s="2">
        <f>SUM('Crecimiento_mensual'!L14:L25)</f>
        <v>15956985.82670469</v>
      </c>
      <c r="M3" s="2">
        <f>SUM('Crecimiento_mensual'!M14:M25)</f>
        <v>35040600.0</v>
      </c>
      <c r="N3" s="3">
        <v>0.5</v>
      </c>
      <c r="O3" s="3">
        <v>0.5</v>
      </c>
      <c r="P3" s="2">
        <f>SUM('Crecimiento_mensual'!P14:P25)</f>
        <v>1730400.0</v>
      </c>
      <c r="Q3" s="2">
        <f>SUM('Crecimiento_mensual'!Q14:Q25)</f>
        <v>2549250.0</v>
      </c>
      <c r="R3" s="2">
        <f>SUM('Crecimiento_mensual'!R14:R25)</f>
        <v>0</v>
      </c>
      <c r="S3" s="2">
        <f>SUM('Crecimiento_mensual'!S14:S25)</f>
        <v>3460800.0</v>
      </c>
      <c r="T3" s="2">
        <f>SUM('Crecimiento_mensual'!T14:T25)</f>
        <v>16222500.0</v>
      </c>
      <c r="U3" s="2">
        <f>SUM('Crecimiento_mensual'!U14:U25)</f>
        <v>59003550.0</v>
      </c>
      <c r="V3" s="2">
        <f>SUM('Crecimiento_mensual'!V14:V25)</f>
        <v>43458647.68139847</v>
      </c>
      <c r="W3" s="2">
        <f>SUM('Crecimiento_mensual'!W14:W25)</f>
        <v>2883967.3504690346</v>
      </c>
      <c r="X3" s="2">
        <f>SUM('Crecimiento_mensual'!X14:X25)</f>
        <v>1767876.7088949974</v>
      </c>
      <c r="Y3" s="2">
        <f>SUM('Crecimiento_mensual'!Y14:Y25)</f>
        <v>4651844.059364032</v>
      </c>
      <c r="Z3" s="2">
        <v>24353661.94387732</v>
      </c>
      <c r="AA3" s="2">
        <f>SUM('Crecimiento_mensual'!AA14:AA25)</f>
        <v>0</v>
      </c>
      <c r="AB3" s="2">
        <f>SUM('Crecimiento_mensual'!AB14:AB25)</f>
        <v>5901763.003255876</v>
      </c>
      <c r="AC3" s="2">
        <f>SUM('Crecimiento_mensual'!AC14:AC25)</f>
        <v>6334358.105826232</v>
      </c>
      <c r="AD3" s="2">
        <f>SUM('Crecimiento_mensual'!AD14:AD25)</f>
        <v>295214.81831932766</v>
      </c>
      <c r="AE3" s="2">
        <v>436465.9275630252</v>
      </c>
      <c r="AF3" s="2">
        <f>SUM('Crecimiento_mensual'!AF14:AF25)</f>
        <v>35599481.11469598</v>
      </c>
      <c r="AG3" s="2">
        <f>SUM('Crecimiento_mensual'!AG14:AG25)</f>
        <v>31380232.157902308</v>
      </c>
      <c r="AH3" s="2">
        <v>66007512.66654693</v>
      </c>
      <c r="AI3" s="2">
        <v>17128226.11484101</v>
      </c>
      <c r="AJ3" s="2">
        <v>48879286.55170592</v>
      </c>
      <c r="AK3" s="3">
        <v>0.15</v>
      </c>
      <c r="AL3" s="3">
        <v>7.745761843571427</v>
      </c>
      <c r="AM3" s="2">
        <v>6710575.663980868</v>
      </c>
      <c r="AN3" s="2">
        <v>303</v>
      </c>
      <c r="AO3" s="2">
        <v>327</v>
      </c>
    </row>
    <row r="4" spans="1:41">
      <c r="A4" s="2">
        <v>366</v>
      </c>
      <c r="B4" s="2">
        <v>2029</v>
      </c>
      <c r="C4" s="2">
        <f>SUM('Crecimiento_mensual'!C26:C37)</f>
        <v>750</v>
      </c>
      <c r="D4" s="2">
        <v>371304.391</v>
      </c>
      <c r="E4" s="2">
        <f>SUM('Crecimiento_mensual'!E26:E37)</f>
        <v>278478293.25</v>
      </c>
      <c r="F4" s="2">
        <f>SUM('Crecimiento_mensual'!F26:F37)</f>
        <v>234015372.4789916</v>
      </c>
      <c r="G4" s="2">
        <f>SUM('Crecimiento_mensual'!G26:G37)</f>
        <v>760</v>
      </c>
      <c r="H4" s="2">
        <f>SUM('Crecimiento_mensual'!H26:H37)</f>
        <v>60666976.31865545</v>
      </c>
      <c r="I4" s="2">
        <v>55</v>
      </c>
      <c r="J4" s="2">
        <v>4389520.683319569</v>
      </c>
      <c r="K4" s="2">
        <f>SUM('Crecimiento_mensual'!K26:K37)</f>
        <v>59764329.950161725</v>
      </c>
      <c r="L4" s="2">
        <f>SUM('Crecimiento_mensual'!L26:L37)</f>
        <v>23479111.058512937</v>
      </c>
      <c r="M4" s="2">
        <f>SUM('Crecimiento_mensual'!M26:M37)</f>
        <v>53278398.0</v>
      </c>
      <c r="N4" s="3">
        <v>1</v>
      </c>
      <c r="O4" s="3">
        <v>1</v>
      </c>
      <c r="P4" s="2">
        <f>SUM('Crecimiento_mensual'!P26:P37)</f>
        <v>2036928.0</v>
      </c>
      <c r="Q4" s="2">
        <f>SUM('Crecimiento_mensual'!Q26:Q37)</f>
        <v>3437316.0</v>
      </c>
      <c r="R4" s="2">
        <f>SUM('Crecimiento_mensual'!R26:R37)</f>
        <v>3182700.0</v>
      </c>
      <c r="S4" s="2">
        <f>SUM('Crecimiento_mensual'!S26:S37)</f>
        <v>3564624.0</v>
      </c>
      <c r="T4" s="2">
        <f>SUM('Crecimiento_mensual'!T26:T37)</f>
        <v>23870250.0</v>
      </c>
      <c r="U4" s="2">
        <f>SUM('Crecimiento_mensual'!U26:U37)</f>
        <v>89370216.0</v>
      </c>
      <c r="V4" s="2">
        <f>SUM('Crecimiento_mensual'!V26:V37)</f>
        <v>61401715.47031694</v>
      </c>
      <c r="W4" s="2">
        <f>SUM('Crecimiento_mensual'!W26:W37)</f>
        <v>2671822.1454016333</v>
      </c>
      <c r="X4" s="2">
        <f>SUM('Crecimiento_mensual'!X26:X37)</f>
        <v>1980021.9139623984</v>
      </c>
      <c r="Y4" s="2">
        <f>SUM('Crecimiento_mensual'!Y26:Y37)</f>
        <v>4651844.059364032</v>
      </c>
      <c r="Z4" s="2">
        <v>22373640.02991493</v>
      </c>
      <c r="AA4" s="2">
        <f>SUM('Crecimiento_mensual'!AA26:AA37)</f>
        <v>0</v>
      </c>
      <c r="AB4" s="2">
        <f>SUM('Crecimiento_mensual'!AB26:AB37)</f>
        <v>14456811.739105394</v>
      </c>
      <c r="AC4" s="2">
        <f>SUM('Crecimiento_mensual'!AC26:AC37)</f>
        <v>15124767.275455803</v>
      </c>
      <c r="AD4" s="2">
        <f>SUM('Crecimiento_mensual'!AD26:AD37)</f>
        <v>13093.97782689071</v>
      </c>
      <c r="AE4" s="2">
        <v>449559.9053899159</v>
      </c>
      <c r="AF4" s="2">
        <f>SUM('Crecimiento_mensual'!AF26:AF37)</f>
        <v>45361207.848540515</v>
      </c>
      <c r="AG4" s="2">
        <f>SUM('Crecimiento_mensual'!AG26:AG37)</f>
        <v>41377319.32552689</v>
      </c>
      <c r="AH4" s="2">
        <v>107384831.9920738</v>
      </c>
      <c r="AI4" s="2">
        <v>24719892.61484101</v>
      </c>
      <c r="AJ4" s="2">
        <v>82664939.37723282</v>
      </c>
      <c r="AK4" s="3">
        <v>0.25</v>
      </c>
      <c r="AL4" s="3">
        <v>9.894820806006061</v>
      </c>
      <c r="AM4" s="2">
        <v>26480322.19445025</v>
      </c>
      <c r="AN4" s="2">
        <v>445</v>
      </c>
      <c r="AO4" s="2">
        <v>468</v>
      </c>
    </row>
    <row r="5" spans="1:41">
      <c r="A5" s="2">
        <v>510</v>
      </c>
      <c r="B5" s="2">
        <v>2030</v>
      </c>
      <c r="C5" s="2">
        <f>SUM('Crecimiento_mensual'!C38:C49)</f>
        <v>975</v>
      </c>
      <c r="D5" s="2">
        <v>382443.52273</v>
      </c>
      <c r="E5" s="2">
        <f>SUM('Crecimiento_mensual'!E38:E49)</f>
        <v>372882434.66175</v>
      </c>
      <c r="F5" s="2">
        <f>SUM('Crecimiento_mensual'!F38:F49)</f>
        <v>313346583.74936974</v>
      </c>
      <c r="G5" s="2">
        <f>SUM('Crecimiento_mensual'!G38:G49)</f>
        <v>990</v>
      </c>
      <c r="H5" s="2">
        <f>SUM('Crecimiento_mensual'!H38:H49)</f>
        <v>81397520.72649075</v>
      </c>
      <c r="I5" s="2">
        <v>70</v>
      </c>
      <c r="J5" s="2">
        <v>5754341.77742148</v>
      </c>
      <c r="K5" s="2">
        <f>SUM('Crecimiento_mensual'!K38:K49)</f>
        <v>80032699.63238885</v>
      </c>
      <c r="L5" s="2">
        <f>SUM('Crecimiento_mensual'!L38:L49)</f>
        <v>31439190.653678607</v>
      </c>
      <c r="M5" s="2">
        <f>SUM('Crecimiento_mensual'!M38:M49)</f>
        <v>72578927.34</v>
      </c>
      <c r="N5" s="3">
        <v>1.5</v>
      </c>
      <c r="O5" s="3">
        <v>1.5</v>
      </c>
      <c r="P5" s="2">
        <f>SUM('Crecimiento_mensual'!P38:P49)</f>
        <v>2360290.3200000003</v>
      </c>
      <c r="Q5" s="2">
        <f>SUM('Crecimiento_mensual'!Q38:Q49)</f>
        <v>4671407.925000001</v>
      </c>
      <c r="R5" s="2">
        <f>SUM('Crecimiento_mensual'!R38:R49)</f>
        <v>3278181.0</v>
      </c>
      <c r="S5" s="2">
        <f>SUM('Crecimiento_mensual'!S38:S49)</f>
        <v>3671562.7199999997</v>
      </c>
      <c r="T5" s="2">
        <f>SUM('Crecimiento_mensual'!T38:T49)</f>
        <v>31962264.75</v>
      </c>
      <c r="U5" s="2">
        <f>SUM('Crecimiento_mensual'!U38:U49)</f>
        <v>118522634.055</v>
      </c>
      <c r="V5" s="2">
        <f>SUM('Crecimiento_mensual'!V38:V49)</f>
        <v>83352059.4083023</v>
      </c>
      <c r="W5" s="2">
        <f>SUM('Crecimiento_mensual'!W38:W49)</f>
        <v>2434219.515726144</v>
      </c>
      <c r="X5" s="2">
        <f>SUM('Crecimiento_mensual'!X38:X49)</f>
        <v>2217624.5436378876</v>
      </c>
      <c r="Y5" s="2">
        <f>SUM('Crecimiento_mensual'!Y38:Y49)</f>
        <v>4651844.059364032</v>
      </c>
      <c r="Z5" s="2">
        <v>20156015.48627704</v>
      </c>
      <c r="AA5" s="2">
        <f>SUM('Crecimiento_mensual'!AA38:AA49)</f>
        <v>1639090.5</v>
      </c>
      <c r="AB5" s="2">
        <f>SUM('Crecimiento_mensual'!AB38:AB49)</f>
        <v>19478482.074618563</v>
      </c>
      <c r="AC5" s="2">
        <f>SUM('Crecimiento_mensual'!AC38:AC49)</f>
        <v>20087036.9535501</v>
      </c>
      <c r="AD5" s="2">
        <f>SUM('Crecimiento_mensual'!AD38:AD49)</f>
        <v>167835.69801223534</v>
      </c>
      <c r="AE5" s="2">
        <v>617395.6034021511</v>
      </c>
      <c r="AF5" s="2">
        <f>SUM('Crecimiento_mensual'!AF38:AF49)</f>
        <v>60093275.16263805</v>
      </c>
      <c r="AG5" s="2">
        <f>SUM('Crecimiento_mensual'!AG38:AG49)</f>
        <v>56049985.982205555</v>
      </c>
      <c r="AH5" s="2">
        <v>163434817.9742794</v>
      </c>
      <c r="AI5" s="2">
        <v>32007997.12859101</v>
      </c>
      <c r="AJ5" s="2">
        <v>131426820.8456884</v>
      </c>
      <c r="AK5" s="3">
        <v>0.25</v>
      </c>
      <c r="AL5" s="3">
        <v>13.04898213846582</v>
      </c>
      <c r="AM5" s="2">
        <v>54462701.72595369</v>
      </c>
      <c r="AN5" s="2">
        <v>573</v>
      </c>
      <c r="AO5" s="2">
        <v>595</v>
      </c>
    </row>
    <row r="6" spans="1:41">
      <c r="A6" s="2">
        <v>654</v>
      </c>
      <c r="B6" s="2">
        <v>2031</v>
      </c>
      <c r="C6" s="2">
        <f>SUM('Crecimiento_mensual'!C50:C61)</f>
        <v>1275</v>
      </c>
      <c r="D6" s="2">
        <v>393916.8284119</v>
      </c>
      <c r="E6" s="2">
        <f>SUM('Crecimiento_mensual'!E50:E61)</f>
        <v>502243956.2251725</v>
      </c>
      <c r="F6" s="2">
        <f>SUM('Crecimiento_mensual'!F50:F61)</f>
        <v>422053744.72703576</v>
      </c>
      <c r="G6" s="2">
        <f>SUM('Crecimiento_mensual'!G50:G61)</f>
        <v>1280</v>
      </c>
      <c r="H6" s="2">
        <f>SUM('Crecimiento_mensual'!H50:H61)</f>
        <v>108398476.08667214</v>
      </c>
      <c r="I6" s="2">
        <v>75</v>
      </c>
      <c r="J6" s="2">
        <v>6350357.019379726</v>
      </c>
      <c r="K6" s="2">
        <f>SUM('Crecimiento_mensual'!K50:K61)</f>
        <v>107802460.8447139</v>
      </c>
      <c r="L6" s="2">
        <f>SUM('Crecimiento_mensual'!L50:L61)</f>
        <v>42346537.07533574</v>
      </c>
      <c r="M6" s="2">
        <f>SUM('Crecimiento_mensual'!M50:M61)</f>
        <v>101650328.17515004</v>
      </c>
      <c r="N6" s="3">
        <v>2</v>
      </c>
      <c r="O6" s="3">
        <v>2.5</v>
      </c>
      <c r="P6" s="2">
        <f>SUM('Crecimiento_mensual'!P50:P61)</f>
        <v>2836282.2012000005</v>
      </c>
      <c r="Q6" s="2">
        <f>SUM('Crecimiento_mensual'!Q50:Q61)</f>
        <v>6330987.05625</v>
      </c>
      <c r="R6" s="2">
        <f>SUM('Crecimiento_mensual'!R50:R61)</f>
        <v>3376526.43</v>
      </c>
      <c r="S6" s="2">
        <f>SUM('Crecimiento_mensual'!S50:S61)</f>
        <v>3781709.6016000006</v>
      </c>
      <c r="T6" s="2">
        <f>SUM('Crecimiento_mensual'!T50:T61)</f>
        <v>43050711.9825</v>
      </c>
      <c r="U6" s="2">
        <f>SUM('Crecimiento_mensual'!U50:U61)</f>
        <v>161026545.44670004</v>
      </c>
      <c r="V6" s="2">
        <f>SUM('Crecimiento_mensual'!V50:V61)</f>
        <v>110878201.36028612</v>
      </c>
      <c r="W6" s="2">
        <f>SUM('Crecimiento_mensual'!W50:W61)</f>
        <v>2168104.5704895956</v>
      </c>
      <c r="X6" s="2">
        <f>SUM('Crecimiento_mensual'!X50:X61)</f>
        <v>2483739.4888744364</v>
      </c>
      <c r="Y6" s="2">
        <f>SUM('Crecimiento_mensual'!Y50:Y61)</f>
        <v>4651844.059364032</v>
      </c>
      <c r="Z6" s="2">
        <v>17672275.99740261</v>
      </c>
      <c r="AA6" s="2">
        <f>SUM('Crecimiento_mensual'!AA50:AA61)</f>
        <v>0</v>
      </c>
      <c r="AB6" s="2">
        <f>SUM('Crecimiento_mensual'!AB50:AB61)</f>
        <v>27028520.386959568</v>
      </c>
      <c r="AC6" s="2">
        <f>SUM('Crecimiento_mensual'!AC50:AC61)</f>
        <v>27570546.529581964</v>
      </c>
      <c r="AD6" s="2">
        <f>SUM('Crecimiento_mensual'!AD50:AD61)</f>
        <v>18521.868102064647</v>
      </c>
      <c r="AE6" s="2">
        <v>635917.4715042158</v>
      </c>
      <c r="AF6" s="2">
        <f>SUM('Crecimiento_mensual'!AF50:AF61)</f>
        <v>82693117.72064383</v>
      </c>
      <c r="AG6" s="2">
        <f>SUM('Crecimiento_mensual'!AG50:AG61)</f>
        <v>78583299.80390221</v>
      </c>
      <c r="AH6" s="2">
        <v>242018117.7781816</v>
      </c>
      <c r="AI6" s="2">
        <v>42633974.97651602</v>
      </c>
      <c r="AJ6" s="2">
        <v>199384142.8016656</v>
      </c>
      <c r="AK6" s="3">
        <v>0.25</v>
      </c>
      <c r="AL6" s="3">
        <v>17.89293510295476</v>
      </c>
      <c r="AM6" s="2">
        <v>94364585.49909383</v>
      </c>
      <c r="AN6" s="2">
        <v>756</v>
      </c>
      <c r="AO6" s="2">
        <v>777</v>
      </c>
    </row>
    <row r="7" spans="1:41">
      <c r="A7" s="2">
        <v>798</v>
      </c>
      <c r="B7" s="2">
        <v>2032</v>
      </c>
      <c r="C7" s="2">
        <f>SUM('Crecimiento_mensual'!C62:C73)</f>
        <v>1339</v>
      </c>
      <c r="D7" s="2">
        <v>405734.333264257</v>
      </c>
      <c r="E7" s="2">
        <f>SUM('Crecimiento_mensual'!E62:E73)</f>
        <v>543278272.2408402</v>
      </c>
      <c r="F7" s="2">
        <f>SUM('Crecimiento_mensual'!F62:F73)</f>
        <v>456536363.2275968</v>
      </c>
      <c r="G7" s="2">
        <f>SUM('Crecimiento_mensual'!G62:G73)</f>
        <v>1340</v>
      </c>
      <c r="H7" s="2">
        <f>SUM('Crecimiento_mensual'!H62:H73)</f>
        <v>116884044.29283193</v>
      </c>
      <c r="I7" s="2">
        <v>76</v>
      </c>
      <c r="J7" s="2">
        <v>6628031.264372701</v>
      </c>
      <c r="K7" s="2">
        <f>SUM('Crecimiento_mensual'!K62:K73)</f>
        <v>116606370.04783896</v>
      </c>
      <c r="L7" s="2">
        <f>SUM('Crecimiento_mensual'!L62:L73)</f>
        <v>45806031.128795326</v>
      </c>
      <c r="M7" s="2">
        <f>SUM('Crecimiento_mensual'!M62:M73)</f>
        <v>111742428.021777</v>
      </c>
      <c r="N7" s="3">
        <v>2</v>
      </c>
      <c r="O7" s="3">
        <v>3</v>
      </c>
      <c r="P7" s="2">
        <f>SUM('Crecimiento_mensual'!P62:P73)</f>
        <v>3060483.556152</v>
      </c>
      <c r="Q7" s="2">
        <f>SUM('Crecimiento_mensual'!Q62:Q73)</f>
        <v>7921783.459321621</v>
      </c>
      <c r="R7" s="2">
        <f>SUM('Crecimiento_mensual'!R62:R73)</f>
        <v>3477822.2229</v>
      </c>
      <c r="S7" s="2">
        <f>SUM('Crecimiento_mensual'!S62:S73)</f>
        <v>3895160.889648</v>
      </c>
      <c r="T7" s="2">
        <f>SUM('Crecimiento_mensual'!T62:T73)</f>
        <v>46568039.564631</v>
      </c>
      <c r="U7" s="2">
        <f>SUM('Crecimiento_mensual'!U62:U73)</f>
        <v>176665717.71442962</v>
      </c>
      <c r="V7" s="2">
        <f>SUM('Crecimiento_mensual'!V62:V73)</f>
        <v>117458244.33653288</v>
      </c>
      <c r="W7" s="2">
        <f>SUM('Crecimiento_mensual'!W62:W73)</f>
        <v>1870055.831824661</v>
      </c>
      <c r="X7" s="2">
        <f>SUM('Crecimiento_mensual'!X62:X73)</f>
        <v>2781788.227539371</v>
      </c>
      <c r="Y7" s="2">
        <f>SUM('Crecimiento_mensual'!Y62:Y73)</f>
        <v>4651844.059364032</v>
      </c>
      <c r="Z7" s="2">
        <v>14890487.76986324</v>
      </c>
      <c r="AA7" s="2">
        <f>SUM('Crecimiento_mensual'!AA62:AA73)</f>
        <v>0</v>
      </c>
      <c r="AB7" s="2">
        <f>SUM('Crecimiento_mensual'!AB62:AB73)</f>
        <v>28827628.564928815</v>
      </c>
      <c r="AC7" s="2">
        <f>SUM('Crecimiento_mensual'!AC62:AC73)</f>
        <v>29295142.52288498</v>
      </c>
      <c r="AD7" s="2">
        <f>SUM('Crecimiento_mensual'!AD62:AD73)</f>
        <v>19077.524145126226</v>
      </c>
      <c r="AE7" s="2">
        <v>654994.9956493423</v>
      </c>
      <c r="AF7" s="2">
        <f>SUM('Crecimiento_mensual'!AF62:AF73)</f>
        <v>87866350.04450981</v>
      </c>
      <c r="AG7" s="2">
        <f>SUM('Crecimiento_mensual'!AG62:AG73)</f>
        <v>83682019.94310194</v>
      </c>
      <c r="AH7" s="2">
        <v>325700137.7212836</v>
      </c>
      <c r="AI7" s="2">
        <v>46543768.04344841</v>
      </c>
      <c r="AJ7" s="2">
        <v>279156369.6778352</v>
      </c>
      <c r="AK7" s="3">
        <v>0.25</v>
      </c>
      <c r="AL7" s="3">
        <v>18.98899938931796</v>
      </c>
      <c r="AM7" s="2">
        <v>166085438.1645835</v>
      </c>
      <c r="AN7" s="2">
        <v>805</v>
      </c>
      <c r="AO7" s="2">
        <v>826</v>
      </c>
    </row>
    <row r="8" spans="1:41">
      <c r="A8" s="2">
        <v>942</v>
      </c>
      <c r="B8" s="2">
        <v>2033</v>
      </c>
      <c r="C8" s="2">
        <f>SUM('Crecimiento_mensual'!C74:C85)</f>
        <v>1406</v>
      </c>
      <c r="D8" s="2">
        <v>417906.3632621848</v>
      </c>
      <c r="E8" s="2">
        <f>SUM('Crecimiento_mensual'!E74:E85)</f>
        <v>587576346.7466317</v>
      </c>
      <c r="F8" s="2">
        <f>SUM('Crecimiento_mensual'!F74:F85)</f>
        <v>493761635.9215393</v>
      </c>
      <c r="G8" s="2">
        <f>SUM('Crecimiento_mensual'!G74:G85)</f>
        <v>1410</v>
      </c>
      <c r="H8" s="2">
        <f>SUM('Crecimiento_mensual'!H74:H85)</f>
        <v>126679625.01976106</v>
      </c>
      <c r="I8" s="2">
        <v>80</v>
      </c>
      <c r="J8" s="2">
        <v>7186252.386973187</v>
      </c>
      <c r="K8" s="2">
        <f>SUM('Crecimiento_mensual'!K74:K85)</f>
        <v>126121403.89716057</v>
      </c>
      <c r="L8" s="2">
        <f>SUM('Crecimiento_mensual'!L74:L85)</f>
        <v>49541554.82262308</v>
      </c>
      <c r="M8" s="2">
        <f>SUM('Crecimiento_mensual'!M74:M85)</f>
        <v>122348568.563844</v>
      </c>
      <c r="N8" s="3">
        <v>2</v>
      </c>
      <c r="O8" s="3">
        <v>3.5</v>
      </c>
      <c r="P8" s="2">
        <f>SUM('Crecimiento_mensual'!P74:P85)</f>
        <v>3295584.3384200404</v>
      </c>
      <c r="Q8" s="2">
        <f>SUM('Crecimiento_mensual'!Q74:Q85)</f>
        <v>9373788.148671262</v>
      </c>
      <c r="R8" s="2">
        <f>SUM('Crecimiento_mensual'!R74:R85)</f>
        <v>3582156.8895870005</v>
      </c>
      <c r="S8" s="2">
        <f>SUM('Crecimiento_mensual'!S74:S85)</f>
        <v>4012015.7163374405</v>
      </c>
      <c r="T8" s="2">
        <f>SUM('Crecimiento_mensual'!T74:T85)</f>
        <v>50365125.86759323</v>
      </c>
      <c r="U8" s="2">
        <f>SUM('Crecimiento_mensual'!U74:U85)</f>
        <v>192977239.52445295</v>
      </c>
      <c r="V8" s="2">
        <f>SUM('Crecimiento_mensual'!V74:V85)</f>
        <v>125121437.67730269</v>
      </c>
      <c r="W8" s="2">
        <f>SUM('Crecimiento_mensual'!W74:W85)</f>
        <v>1536241.244519934</v>
      </c>
      <c r="X8" s="2">
        <f>SUM('Crecimiento_mensual'!X74:X85)</f>
        <v>3115602.814844098</v>
      </c>
      <c r="Y8" s="2">
        <f>SUM('Crecimiento_mensual'!Y74:Y85)</f>
        <v>4651844.059364032</v>
      </c>
      <c r="Z8" s="2">
        <v>11774884.95501914</v>
      </c>
      <c r="AA8" s="2">
        <f>SUM('Crecimiento_mensual'!AA74:AA85)</f>
        <v>1791078.4447935002</v>
      </c>
      <c r="AB8" s="2">
        <f>SUM('Crecimiento_mensual'!AB74:AB85)</f>
        <v>30308974.216347195</v>
      </c>
      <c r="AC8" s="2">
        <f>SUM('Crecimiento_mensual'!AC74:AC85)</f>
        <v>30693034.52747718</v>
      </c>
      <c r="AD8" s="2">
        <f>SUM('Crecimiento_mensual'!AD74:AD85)</f>
        <v>188311.06124918582</v>
      </c>
      <c r="AE8" s="2">
        <v>843306.0568985282</v>
      </c>
      <c r="AF8" s="2">
        <f>SUM('Crecimiento_mensual'!AF74:AF85)</f>
        <v>91890792.52118234</v>
      </c>
      <c r="AG8" s="2">
        <f>SUM('Crecimiento_mensual'!AG74:AG85)</f>
        <v>87623008.7729483</v>
      </c>
      <c r="AH8" s="2">
        <v>413323146.4942318</v>
      </c>
      <c r="AI8" s="2">
        <v>50621648.49595425</v>
      </c>
      <c r="AJ8" s="2">
        <v>362701497.9982775</v>
      </c>
      <c r="AK8" s="3">
        <v>0.25</v>
      </c>
      <c r="AL8" s="3">
        <v>19.83618789769309</v>
      </c>
      <c r="AM8" s="2">
        <v>240462035.5556228</v>
      </c>
      <c r="AN8" s="2">
        <v>853</v>
      </c>
      <c r="AO8" s="2">
        <v>874</v>
      </c>
    </row>
    <row r="9" spans="1:41">
      <c r="A9" s="2">
        <v>1086</v>
      </c>
      <c r="B9" s="2">
        <v>2034</v>
      </c>
      <c r="C9" s="2">
        <f>SUM('Crecimiento_mensual'!C86:C97)</f>
        <v>1476</v>
      </c>
      <c r="D9" s="2">
        <v>430443.5541600503</v>
      </c>
      <c r="E9" s="2">
        <f>SUM('Crecimiento_mensual'!E86:E97)</f>
        <v>635334685.9402343</v>
      </c>
      <c r="F9" s="2">
        <f>SUM('Crecimiento_mensual'!F86:F97)</f>
        <v>533894694.06742376</v>
      </c>
      <c r="G9" s="2">
        <f>SUM('Crecimiento_mensual'!G86:G97)</f>
        <v>1480</v>
      </c>
      <c r="H9" s="2">
        <f>SUM('Crecimiento_mensual'!H86:H97)</f>
        <v>136957744.9504424</v>
      </c>
      <c r="I9" s="2">
        <v>84</v>
      </c>
      <c r="J9" s="2">
        <v>7771914.767229352</v>
      </c>
      <c r="K9" s="2">
        <f>SUM('Crecimiento_mensual'!K86:K97)</f>
        <v>136372082.57018623</v>
      </c>
      <c r="L9" s="2">
        <f>SUM('Crecimiento_mensual'!L86:L97)</f>
        <v>53568263.85482927</v>
      </c>
      <c r="M9" s="2">
        <f>SUM('Crecimiento_mensual'!M86:M97)</f>
        <v>139965795.25467736</v>
      </c>
      <c r="N9" s="3">
        <v>2.5</v>
      </c>
      <c r="O9" s="3">
        <v>4</v>
      </c>
      <c r="P9" s="2">
        <f>SUM('Crecimiento_mensual'!P86:P97)</f>
        <v>3689621.5962746106</v>
      </c>
      <c r="Q9" s="2">
        <f>SUM('Crecimiento_mensual'!Q86:Q97)</f>
        <v>10674813.202341704</v>
      </c>
      <c r="R9" s="2">
        <f>SUM('Crecimiento_mensual'!R86:R97)</f>
        <v>3689621.5962746106</v>
      </c>
      <c r="S9" s="2">
        <f>SUM('Crecimiento_mensual'!S86:S97)</f>
        <v>4132376.187827564</v>
      </c>
      <c r="T9" s="2">
        <f>SUM('Crecimiento_mensual'!T86:T97)</f>
        <v>54458814.761013255</v>
      </c>
      <c r="U9" s="2">
        <f>SUM('Crecimiento_mensual'!U86:U97)</f>
        <v>216611042.59840912</v>
      </c>
      <c r="V9" s="2">
        <f>SUM('Crecimiento_mensual'!V86:V97)</f>
        <v>127343305.04399918</v>
      </c>
      <c r="W9" s="2">
        <f>SUM('Crecimiento_mensual'!W86:W97)</f>
        <v>1162368.906738639</v>
      </c>
      <c r="X9" s="2">
        <f>SUM('Crecimiento_mensual'!X86:X97)</f>
        <v>3489475.1526253927</v>
      </c>
      <c r="Y9" s="2">
        <f>SUM('Crecimiento_mensual'!Y86:Y97)</f>
        <v>4651844.059364032</v>
      </c>
      <c r="Z9" s="2">
        <v>8285409.802393747</v>
      </c>
      <c r="AA9" s="2">
        <f>SUM('Crecimiento_mensual'!AA86:AA97)</f>
        <v>0</v>
      </c>
      <c r="AB9" s="2">
        <f>SUM('Crecimiento_mensual'!AB86:AB97)</f>
        <v>31398818.439251095</v>
      </c>
      <c r="AC9" s="2">
        <f>SUM('Crecimiento_mensual'!AC86:AC97)</f>
        <v>31689410.665935755</v>
      </c>
      <c r="AD9" s="2">
        <f>SUM('Crecimiento_mensual'!AD86:AD97)</f>
        <v>25299.1817069556</v>
      </c>
      <c r="AE9" s="2">
        <v>868605.238605484</v>
      </c>
      <c r="AF9" s="2">
        <f>SUM('Crecimiento_mensual'!AF86:AF97)</f>
        <v>95042932.8161003</v>
      </c>
      <c r="AG9" s="2">
        <f>SUM('Crecimiento_mensual'!AG86:AG97)</f>
        <v>90681680.98342092</v>
      </c>
      <c r="AH9" s="2">
        <v>504004827.4776527</v>
      </c>
      <c r="AI9" s="2">
        <v>56530099.26444329</v>
      </c>
      <c r="AJ9" s="2">
        <v>447474728.2132095</v>
      </c>
      <c r="AK9" s="3">
        <v>0.25</v>
      </c>
      <c r="AL9" s="3">
        <v>20.49370611443461</v>
      </c>
      <c r="AM9" s="2">
        <v>318651771.8287128</v>
      </c>
      <c r="AN9" s="2">
        <v>930</v>
      </c>
      <c r="AO9" s="2">
        <v>950</v>
      </c>
    </row>
    <row r="10" spans="1:41">
      <c r="A10" s="2">
        <v>1230</v>
      </c>
      <c r="B10" s="2">
        <v>2035</v>
      </c>
      <c r="C10" s="2">
        <f>SUM('Crecimiento_mensual'!C98:C109)</f>
        <v>1550</v>
      </c>
      <c r="D10" s="2">
        <v>443356.8607848518</v>
      </c>
      <c r="E10" s="2">
        <f>SUM('Crecimiento_mensual'!E98:E109)</f>
        <v>687203134.2165204</v>
      </c>
      <c r="F10" s="2">
        <f>SUM('Crecimiento_mensual'!F98:F109)</f>
        <v>577481625.3920339</v>
      </c>
      <c r="G10" s="2">
        <f>SUM('Crecimiento_mensual'!G98:G109)</f>
        <v>1550</v>
      </c>
      <c r="H10" s="2">
        <f>SUM('Crecimiento_mensual'!H98:H109)</f>
        <v>147738540.41444683</v>
      </c>
      <c r="I10" s="2">
        <v>84</v>
      </c>
      <c r="J10" s="2">
        <v>8005079.367440365</v>
      </c>
      <c r="K10" s="2">
        <f>SUM('Crecimiento_mensual'!K98:K109)</f>
        <v>147505375.8142358</v>
      </c>
      <c r="L10" s="2">
        <f>SUM('Crecimiento_mensual'!L98:L109)</f>
        <v>57941548.53286972</v>
      </c>
      <c r="M10" s="2">
        <f>SUM('Crecimiento_mensual'!M98:M109)</f>
        <v>144164769.11231768</v>
      </c>
      <c r="N10" s="3">
        <v>2.5</v>
      </c>
      <c r="O10" s="3">
        <v>4</v>
      </c>
      <c r="P10" s="2">
        <f>SUM('Crecimiento_mensual'!P98:P109)</f>
        <v>3800310.244162849</v>
      </c>
      <c r="Q10" s="2">
        <f>SUM('Crecimiento_mensual'!Q98:Q109)</f>
        <v>11812884.362955801</v>
      </c>
      <c r="R10" s="2">
        <f>SUM('Crecimiento_mensual'!R98:R109)</f>
        <v>3800310.244162849</v>
      </c>
      <c r="S10" s="2">
        <f>SUM('Crecimiento_mensual'!S98:S109)</f>
        <v>4256347.473462391</v>
      </c>
      <c r="T10" s="2">
        <f>SUM('Crecimiento_mensual'!T98:T109)</f>
        <v>58904808.784524165</v>
      </c>
      <c r="U10" s="2">
        <f>SUM('Crecimiento_mensual'!U98:U109)</f>
        <v>226739430.22158575</v>
      </c>
      <c r="V10" s="2">
        <f>SUM('Crecimiento_mensual'!V98:V109)</f>
        <v>145295270.8233427</v>
      </c>
      <c r="W10" s="2">
        <f>SUM('Crecimiento_mensual'!W98:W109)</f>
        <v>743631.8884235884</v>
      </c>
      <c r="X10" s="2">
        <f>SUM('Crecimiento_mensual'!X98:X109)</f>
        <v>3908212.1709404434</v>
      </c>
      <c r="Y10" s="2">
        <f>SUM('Crecimiento_mensual'!Y98:Y109)</f>
        <v>4651844.059364032</v>
      </c>
      <c r="Z10" s="2">
        <v>4377197.631453304</v>
      </c>
      <c r="AA10" s="2">
        <f>SUM('Crecimiento_mensual'!AA98:AA109)</f>
        <v>0</v>
      </c>
      <c r="AB10" s="2">
        <f>SUM('Crecimiento_mensual'!AB98:AB109)</f>
        <v>36079618.58367702</v>
      </c>
      <c r="AC10" s="2">
        <f>SUM('Crecimiento_mensual'!AC98:AC109)</f>
        <v>36265526.55578293</v>
      </c>
      <c r="AD10" s="2">
        <f>SUM('Crecimiento_mensual'!AD98:AD109)</f>
        <v>26058.157158164657</v>
      </c>
      <c r="AE10" s="2">
        <v>894663.3957636486</v>
      </c>
      <c r="AF10" s="2">
        <f>SUM('Crecimiento_mensual'!AF98:AF109)</f>
        <v>108770521.5101906</v>
      </c>
      <c r="AG10" s="2">
        <f>SUM('Crecimiento_mensual'!AG98:AG109)</f>
        <v>104304585.42293248</v>
      </c>
      <c r="AH10" s="2">
        <v>608309412.9005852</v>
      </c>
      <c r="AI10" s="2">
        <v>59062196.17023744</v>
      </c>
      <c r="AJ10" s="2">
        <v>549247216.7303478</v>
      </c>
      <c r="AK10" s="3">
        <v>0.25</v>
      </c>
      <c r="AL10" s="3">
        <v>23.42220162410007</v>
      </c>
      <c r="AM10" s="2">
        <v>407386370.7015328</v>
      </c>
      <c r="AN10" s="2">
        <v>945</v>
      </c>
      <c r="AO10" s="2">
        <v>965</v>
      </c>
    </row>
    <row r="11" spans="1:41">
      <c r="A11" s="2">
        <v>1374</v>
      </c>
      <c r="B11" s="2">
        <v>2036</v>
      </c>
      <c r="C11" s="2">
        <f>SUM('Crecimiento_mensual'!C110:C121)</f>
        <v>1628</v>
      </c>
      <c r="D11" s="2">
        <v>456657.5666083974</v>
      </c>
      <c r="E11" s="2">
        <f>SUM('Crecimiento_mensual'!E110:E121)</f>
        <v>743438518.438471</v>
      </c>
      <c r="F11" s="2">
        <f>SUM('Crecimiento_mensual'!F110:F121)</f>
        <v>624738250.7886312</v>
      </c>
      <c r="G11" s="2">
        <f>SUM('Crecimiento_mensual'!G110:G121)</f>
        <v>1630</v>
      </c>
      <c r="H11" s="2">
        <f>SUM('Crecimiento_mensual'!H110:H121)</f>
        <v>160024668.06568694</v>
      </c>
      <c r="I11" s="2">
        <v>86</v>
      </c>
      <c r="J11" s="2">
        <v>8441582.27916773</v>
      </c>
      <c r="K11" s="2">
        <f>SUM('Crecimiento_mensual'!K110:K121)</f>
        <v>159588165.15395957</v>
      </c>
      <c r="L11" s="2">
        <f>SUM('Crecimiento_mensual'!L110:L121)</f>
        <v>62684003.59388438</v>
      </c>
      <c r="M11" s="2">
        <f>SUM('Crecimiento_mensual'!M110:M121)</f>
        <v>156416209.27744988</v>
      </c>
      <c r="N11" s="3">
        <v>2.5</v>
      </c>
      <c r="O11" s="3">
        <v>4.5</v>
      </c>
      <c r="P11" s="2">
        <f>SUM('Crecimiento_mensual'!P110:P121)</f>
        <v>4070892.333547244</v>
      </c>
      <c r="Q11" s="2">
        <f>SUM('Crecimiento_mensual'!Q110:Q121)</f>
        <v>12658909.429511335</v>
      </c>
      <c r="R11" s="2">
        <f>SUM('Crecimiento_mensual'!R110:R121)</f>
        <v>3914319.5514877345</v>
      </c>
      <c r="S11" s="2">
        <f>SUM('Crecimiento_mensual'!S110:S121)</f>
        <v>4384037.897666262</v>
      </c>
      <c r="T11" s="2">
        <f>SUM('Crecimiento_mensual'!T110:T121)</f>
        <v>63725122.29822032</v>
      </c>
      <c r="U11" s="2">
        <f>SUM('Crecimiento_mensual'!U110:U121)</f>
        <v>245169490.7878828</v>
      </c>
      <c r="V11" s="2">
        <f>SUM('Crecimiento_mensual'!V110:V121)</f>
        <v>157296591.2529044</v>
      </c>
      <c r="W11" s="2">
        <f>SUM('Crecimiento_mensual'!W110:W121)</f>
        <v>274646.4279107316</v>
      </c>
      <c r="X11" s="2">
        <f>SUM('Crecimiento_mensual'!X110:X121)</f>
        <v>4377197.6314533</v>
      </c>
      <c r="Y11" s="2">
        <f>SUM('Crecimiento_mensual'!Y110:Y121)</f>
        <v>4651844.059364032</v>
      </c>
      <c r="Z11" s="2">
        <v>3.434251993894577E-09</v>
      </c>
      <c r="AA11" s="2">
        <f>SUM('Crecimiento_mensual'!AA110:AA121)</f>
        <v>1957159.7757438673</v>
      </c>
      <c r="AB11" s="2">
        <f>SUM('Crecimiento_mensual'!AB110:AB121)</f>
        <v>38657070.5343806</v>
      </c>
      <c r="AC11" s="2">
        <f>SUM('Crecimiento_mensual'!AC110:AC121)</f>
        <v>38725732.141358286</v>
      </c>
      <c r="AD11" s="2">
        <f>SUM('Crecimiento_mensual'!AD110:AD121)</f>
        <v>26839.90187290986</v>
      </c>
      <c r="AE11" s="2">
        <v>921503.2976365582</v>
      </c>
      <c r="AF11" s="2">
        <f>SUM('Crecimiento_mensual'!AF110:AF121)</f>
        <v>116150356.52220197</v>
      </c>
      <c r="AG11" s="2">
        <f>SUM('Crecimiento_mensual'!AG110:AG121)</f>
        <v>111567174.06981562</v>
      </c>
      <c r="AH11" s="2">
        <v>719876586.9704008</v>
      </c>
      <c r="AI11" s="2">
        <v>63669711.31181171</v>
      </c>
      <c r="AJ11" s="2">
        <v>656206875.6585891</v>
      </c>
      <c r="AK11" s="3">
        <v>0.25</v>
      </c>
      <c r="AL11" s="3">
        <v>24.98342950581802</v>
      </c>
      <c r="AM11" s="2">
        <v>501198191.7532005</v>
      </c>
      <c r="AN11" s="2">
        <v>992</v>
      </c>
      <c r="AO11" s="2">
        <v>1011</v>
      </c>
    </row>
    <row r="12" spans="1:41">
      <c r="A12" s="2">
        <v>1518</v>
      </c>
      <c r="B12" s="2">
        <v>2037</v>
      </c>
      <c r="C12" s="2">
        <f>SUM('Crecimiento_mensual'!C122:C133)</f>
        <v>1709</v>
      </c>
      <c r="D12" s="2">
        <v>470357.2936066493</v>
      </c>
      <c r="E12" s="2">
        <f>SUM('Crecimiento_mensual'!E122:E133)</f>
        <v>803840614.7737638</v>
      </c>
      <c r="F12" s="2">
        <f>SUM('Crecimiento_mensual'!F122:F133)</f>
        <v>675496314.935936</v>
      </c>
      <c r="G12" s="2">
        <f>SUM('Crecimiento_mensual'!G122:G133)</f>
        <v>1720</v>
      </c>
      <c r="H12" s="2">
        <f>SUM('Crecimiento_mensual'!H122:H133)</f>
        <v>173926197.51237485</v>
      </c>
      <c r="I12" s="2">
        <v>97</v>
      </c>
      <c r="J12" s="2">
        <v>9807024.545588326</v>
      </c>
      <c r="K12" s="2">
        <f>SUM('Crecimiento_mensual'!K122:K133)</f>
        <v>172560755.24595425</v>
      </c>
      <c r="L12" s="2">
        <f>SUM('Crecimiento_mensual'!L122:L133)</f>
        <v>67777409.71215916</v>
      </c>
      <c r="M12" s="2">
        <f>SUM('Crecimiento_mensual'!M122:M133)</f>
        <v>161108695.55577338</v>
      </c>
      <c r="N12" s="3">
        <v>2.5</v>
      </c>
      <c r="O12" s="3">
        <v>4.5</v>
      </c>
      <c r="P12" s="2">
        <f>SUM('Crecimiento_mensual'!P122:P133)</f>
        <v>4193019.103553661</v>
      </c>
      <c r="Q12" s="2">
        <f>SUM('Crecimiento_mensual'!Q122:Q133)</f>
        <v>13570061.24878934</v>
      </c>
      <c r="R12" s="2">
        <f>SUM('Crecimiento_mensual'!R122:R133)</f>
        <v>4031749.1380323665</v>
      </c>
      <c r="S12" s="2">
        <f>SUM('Crecimiento_mensual'!S122:S133)</f>
        <v>4515559.03459625</v>
      </c>
      <c r="T12" s="2">
        <f>SUM('Crecimiento_mensual'!T122:T133)</f>
        <v>68902592.76897314</v>
      </c>
      <c r="U12" s="2">
        <f>SUM('Crecimiento_mensual'!U122:U133)</f>
        <v>256321676.8497181</v>
      </c>
      <c r="V12" s="2">
        <f>SUM('Crecimiento_mensual'!V122:V133)</f>
        <v>178836473.1281044</v>
      </c>
      <c r="W12" s="2">
        <f>SUM('Crecimiento_mensual'!W122:W133)</f>
        <v>0</v>
      </c>
      <c r="X12" s="2">
        <f>SUM('Crecimiento_mensual'!X122:X133)</f>
        <v>0</v>
      </c>
      <c r="Y12" s="2">
        <f>SUM('Crecimiento_mensual'!Y122:Y133)</f>
        <v>0</v>
      </c>
      <c r="Z12" s="2">
        <v>3.434251993894577E-09</v>
      </c>
      <c r="AA12" s="2">
        <f>SUM('Crecimiento_mensual'!AA122:AA133)</f>
        <v>0</v>
      </c>
      <c r="AB12" s="2">
        <f>SUM('Crecimiento_mensual'!AB122:AB133)</f>
        <v>44367757.71542095</v>
      </c>
      <c r="AC12" s="2">
        <f>SUM('Crecimiento_mensual'!AC122:AC133)</f>
        <v>44367757.71542095</v>
      </c>
      <c r="AD12" s="2">
        <f>SUM('Crecimiento_mensual'!AD122:AD133)</f>
        <v>217474.77824222774</v>
      </c>
      <c r="AE12" s="2">
        <v>1138978.075878786</v>
      </c>
      <c r="AF12" s="2">
        <f>SUM('Crecimiento_mensual'!AF122:AF133)</f>
        <v>132885798.36802061</v>
      </c>
      <c r="AG12" s="2">
        <f>SUM('Crecimiento_mensual'!AG122:AG133)</f>
        <v>132885798.36802061</v>
      </c>
      <c r="AH12" s="2">
        <v>852762385.3384216</v>
      </c>
      <c r="AI12" s="2">
        <v>66457757.82727055</v>
      </c>
      <c r="AJ12" s="2">
        <v>786304627.5111511</v>
      </c>
      <c r="AK12" s="3">
        <v>0.25</v>
      </c>
      <c r="AL12" s="3">
        <v>0</v>
      </c>
      <c r="AM12" s="2">
        <v>612839892.7980318</v>
      </c>
      <c r="AN12" s="2">
        <v>1007</v>
      </c>
      <c r="AO12" s="2">
        <v>1007</v>
      </c>
    </row>
    <row r="13" spans="1:41">
      <c r="A13" s="2">
        <v>1662</v>
      </c>
      <c r="B13" s="2">
        <v>2038</v>
      </c>
      <c r="C13" s="2">
        <f>SUM('Crecimiento_mensual'!C134:C145)</f>
        <v>1794</v>
      </c>
      <c r="D13" s="2">
        <v>484468.0124148488</v>
      </c>
      <c r="E13" s="2">
        <f>SUM('Crecimiento_mensual'!E134:E145)</f>
        <v>869135614.2722389</v>
      </c>
      <c r="F13" s="2">
        <f>SUM('Crecimiento_mensual'!F134:F145)</f>
        <v>730366062.4136461</v>
      </c>
      <c r="G13" s="2">
        <f>SUM('Crecimiento_mensual'!G134:G145)</f>
        <v>1800</v>
      </c>
      <c r="H13" s="2">
        <f>SUM('Crecimiento_mensual'!H134:H145)</f>
        <v>187476261.73717615</v>
      </c>
      <c r="I13" s="2">
        <v>103</v>
      </c>
      <c r="J13" s="2">
        <v>10725945.14662292</v>
      </c>
      <c r="K13" s="2">
        <f>SUM('Crecimiento_mensual'!K134:K145)</f>
        <v>186557341.13614154</v>
      </c>
      <c r="L13" s="2">
        <f>SUM('Crecimiento_mensual'!L134:L145)</f>
        <v>73281261.38898121</v>
      </c>
      <c r="M13" s="2">
        <f>SUM('Crecimiento_mensual'!M134:M145)</f>
        <v>181639168.5164618</v>
      </c>
      <c r="N13" s="3">
        <v>3</v>
      </c>
      <c r="O13" s="3">
        <v>5</v>
      </c>
      <c r="P13" s="2">
        <f>SUM('Crecimiento_mensual'!P134:P145)</f>
        <v>4651025.805634139</v>
      </c>
      <c r="Q13" s="2">
        <f>SUM('Crecimiento_mensual'!Q134:Q145)</f>
        <v>14551066.449055377</v>
      </c>
      <c r="R13" s="2">
        <f>SUM('Crecimiento_mensual'!R134:R145)</f>
        <v>4152701.6121733375</v>
      </c>
      <c r="S13" s="2">
        <f>SUM('Crecimiento_mensual'!S134:S145)</f>
        <v>4651025.805634139</v>
      </c>
      <c r="T13" s="2">
        <f>SUM('Crecimiento_mensual'!T134:T145)</f>
        <v>74499466.92238969</v>
      </c>
      <c r="U13" s="2">
        <f>SUM('Crecimiento_mensual'!U134:U145)</f>
        <v>284144455.11134845</v>
      </c>
      <c r="V13" s="2">
        <f>SUM('Crecimiento_mensual'!V134:V145)</f>
        <v>186383004.7771749</v>
      </c>
      <c r="W13" s="2">
        <f>SUM('Crecimiento_mensual'!W134:W145)</f>
        <v>0</v>
      </c>
      <c r="X13" s="2">
        <f>SUM('Crecimiento_mensual'!X134:X145)</f>
        <v>0</v>
      </c>
      <c r="Y13" s="2">
        <f>SUM('Crecimiento_mensual'!Y134:Y145)</f>
        <v>0</v>
      </c>
      <c r="Z13" s="2">
        <v>3.434251993894577E-09</v>
      </c>
      <c r="AA13" s="2">
        <f>SUM('Crecimiento_mensual'!AA134:AA145)</f>
        <v>0</v>
      </c>
      <c r="AB13" s="2">
        <f>SUM('Crecimiento_mensual'!AB134:AB145)</f>
        <v>46366021.04403508</v>
      </c>
      <c r="AC13" s="2">
        <f>SUM('Crecimiento_mensual'!AC134:AC145)</f>
        <v>46366021.04403508</v>
      </c>
      <c r="AD13" s="2">
        <f>SUM('Crecimiento_mensual'!AD134:AD145)</f>
        <v>34169.342276363284</v>
      </c>
      <c r="AE13" s="2">
        <v>1173147.41815515</v>
      </c>
      <c r="AF13" s="2">
        <f>SUM('Crecimiento_mensual'!AF134:AF145)</f>
        <v>139063893.78982887</v>
      </c>
      <c r="AG13" s="2">
        <f>SUM('Crecimiento_mensual'!AG134:AG145)</f>
        <v>139063893.78982887</v>
      </c>
      <c r="AH13" s="2">
        <v>991826279.1282505</v>
      </c>
      <c r="AI13" s="2">
        <v>73413452.39267811</v>
      </c>
      <c r="AJ13" s="2">
        <v>918412826.7355723</v>
      </c>
      <c r="AK13" s="3">
        <v>0.25</v>
      </c>
      <c r="AL13" s="3">
        <v>0</v>
      </c>
      <c r="AM13" s="2">
        <v>734788670.323218</v>
      </c>
      <c r="AN13" s="2">
        <v>1084</v>
      </c>
      <c r="AO13" s="2">
        <v>1084</v>
      </c>
    </row>
    <row r="14" spans="1:41">
      <c r="A14" s="2">
        <v>1806</v>
      </c>
      <c r="B14" s="2">
        <v>2039</v>
      </c>
      <c r="C14" s="2">
        <f>SUM('Crecimiento_mensual'!C146:C157)</f>
        <v>1884</v>
      </c>
      <c r="D14" s="2">
        <v>499002.0527872943</v>
      </c>
      <c r="E14" s="2">
        <f>SUM('Crecimiento_mensual'!E146:E157)</f>
        <v>940119867.4512625</v>
      </c>
      <c r="F14" s="2">
        <f>SUM('Crecimiento_mensual'!F146:F157)</f>
        <v>790016695.3371954</v>
      </c>
      <c r="G14" s="2">
        <f>SUM('Crecimiento_mensual'!G146:G157)</f>
        <v>1880</v>
      </c>
      <c r="H14" s="2">
        <f>SUM('Crecimiento_mensual'!H146:H157)</f>
        <v>201682796.23770437</v>
      </c>
      <c r="I14" s="2">
        <v>99</v>
      </c>
      <c r="J14" s="2">
        <v>10618622.75631826</v>
      </c>
      <c r="K14" s="2">
        <f>SUM('Crecimiento_mensual'!K146:K157)</f>
        <v>201790118.62800905</v>
      </c>
      <c r="L14" s="2">
        <f>SUM('Crecimiento_mensual'!L146:L157)</f>
        <v>79266003.92771307</v>
      </c>
      <c r="M14" s="2">
        <f>SUM('Crecimiento_mensual'!M146:M157)</f>
        <v>187088343.57195565</v>
      </c>
      <c r="N14" s="3">
        <v>3</v>
      </c>
      <c r="O14" s="3">
        <v>5</v>
      </c>
      <c r="P14" s="2">
        <f>SUM('Crecimiento_mensual'!P146:P157)</f>
        <v>4790556.579803162</v>
      </c>
      <c r="Q14" s="2">
        <f>SUM('Crecimiento_mensual'!Q146:Q157)</f>
        <v>15608659.884837233</v>
      </c>
      <c r="R14" s="2">
        <f>SUM('Crecimiento_mensual'!R146:R157)</f>
        <v>4277282.660538538</v>
      </c>
      <c r="S14" s="2">
        <f>SUM('Crecimiento_mensual'!S146:S157)</f>
        <v>4790556.579803162</v>
      </c>
      <c r="T14" s="2">
        <f>SUM('Crecimiento_mensual'!T146:T157)</f>
        <v>80584005.32454605</v>
      </c>
      <c r="U14" s="2">
        <f>SUM('Crecimiento_mensual'!U146:U157)</f>
        <v>297139404.6014838</v>
      </c>
      <c r="V14" s="2">
        <f>SUM('Crecimiento_mensual'!V146:V157)</f>
        <v>211821168.17998946</v>
      </c>
      <c r="W14" s="2">
        <f>SUM('Crecimiento_mensual'!W146:W157)</f>
        <v>0</v>
      </c>
      <c r="X14" s="2">
        <f>SUM('Crecimiento_mensual'!X146:X157)</f>
        <v>0</v>
      </c>
      <c r="Y14" s="2">
        <f>SUM('Crecimiento_mensual'!Y146:Y157)</f>
        <v>0</v>
      </c>
      <c r="Z14" s="2">
        <v>3.434251993894577E-09</v>
      </c>
      <c r="AA14" s="2">
        <f>SUM('Crecimiento_mensual'!AA146:AA157)</f>
        <v>2138641.330269269</v>
      </c>
      <c r="AB14" s="2">
        <f>SUM('Crecimiento_mensual'!AB146:AB157)</f>
        <v>52447462.310006216</v>
      </c>
      <c r="AC14" s="2">
        <f>SUM('Crecimiento_mensual'!AC146:AC157)</f>
        <v>52447462.310006216</v>
      </c>
      <c r="AD14" s="2">
        <f>SUM('Crecimiento_mensual'!AD146:AD157)</f>
        <v>-166195.8842386466</v>
      </c>
      <c r="AE14" s="2">
        <v>1006951.533916503</v>
      </c>
      <c r="AF14" s="2">
        <f>SUM('Crecimiento_mensual'!AF146:AF157)</f>
        <v>157508582.8142573</v>
      </c>
      <c r="AG14" s="2">
        <f>SUM('Crecimiento_mensual'!AG146:AG157)</f>
        <v>157508582.8142573</v>
      </c>
      <c r="AH14" s="2">
        <v>1149334861.942508</v>
      </c>
      <c r="AI14" s="2">
        <v>76662189.76521195</v>
      </c>
      <c r="AJ14" s="2">
        <v>1072672672.177296</v>
      </c>
      <c r="AK14" s="3">
        <v>0.25</v>
      </c>
      <c r="AL14" s="3">
        <v>0</v>
      </c>
      <c r="AM14" s="2">
        <v>868159748.0324439</v>
      </c>
      <c r="AN14" s="2">
        <v>1100</v>
      </c>
      <c r="AO14" s="2">
        <v>1100</v>
      </c>
    </row>
    <row r="15" spans="1:41">
      <c r="A15" s="2">
        <v>1950</v>
      </c>
      <c r="B15" s="2">
        <v>2040</v>
      </c>
      <c r="C15" s="2">
        <f>SUM('Crecimiento_mensual'!C158:C169)</f>
        <v>1978</v>
      </c>
      <c r="D15" s="2">
        <v>513972.1143709132</v>
      </c>
      <c r="E15" s="2">
        <f>SUM('Crecimiento_mensual'!E158:E169)</f>
        <v>1016636842.2256663</v>
      </c>
      <c r="F15" s="2">
        <f>SUM('Crecimiento_mensual'!F158:F169)</f>
        <v>854316674.1392154</v>
      </c>
      <c r="G15" s="2">
        <f>SUM('Crecimiento_mensual'!G158:G169)</f>
        <v>1990</v>
      </c>
      <c r="H15" s="2">
        <f>SUM('Crecimiento_mensual'!H158:H169)</f>
        <v>219887886.94065037</v>
      </c>
      <c r="I15" s="2">
        <v>111</v>
      </c>
      <c r="J15" s="2">
        <v>12263154.76410934</v>
      </c>
      <c r="K15" s="2">
        <f>SUM('Crecimiento_mensual'!K158:K169)</f>
        <v>218243354.9328593</v>
      </c>
      <c r="L15" s="2">
        <f>SUM('Crecimiento_mensual'!L158:L169)</f>
        <v>85719868.61715522</v>
      </c>
      <c r="M15" s="2">
        <f>SUM('Crecimiento_mensual'!M158:M169)</f>
        <v>201622336.1883326</v>
      </c>
      <c r="N15" s="3">
        <v>3</v>
      </c>
      <c r="O15" s="3">
        <v>5.5</v>
      </c>
      <c r="P15" s="2">
        <f>SUM('Crecimiento_mensual'!P158:P169)</f>
        <v>5110497.322811445</v>
      </c>
      <c r="Q15" s="2">
        <f>SUM('Crecimiento_mensual'!Q158:Q169)</f>
        <v>16748333.295172406</v>
      </c>
      <c r="R15" s="2">
        <f>SUM('Crecimiento_mensual'!R158:R169)</f>
        <v>4405601.140354695</v>
      </c>
      <c r="S15" s="2">
        <f>SUM('Crecimiento_mensual'!S158:S169)</f>
        <v>4934273.277197258</v>
      </c>
      <c r="T15" s="2">
        <f>SUM('Crecimiento_mensual'!T158:T169)</f>
        <v>87142790.55621585</v>
      </c>
      <c r="U15" s="2">
        <f>SUM('Crecimiento_mensual'!U158:U169)</f>
        <v>319963831.78008425</v>
      </c>
      <c r="V15" s="2">
        <f>SUM('Crecimiento_mensual'!V158:V169)</f>
        <v>230389618.80911654</v>
      </c>
      <c r="W15" s="2">
        <f>SUM('Crecimiento_mensual'!W158:W169)</f>
        <v>0</v>
      </c>
      <c r="X15" s="2">
        <f>SUM('Crecimiento_mensual'!X158:X169)</f>
        <v>0</v>
      </c>
      <c r="Y15" s="2">
        <f>SUM('Crecimiento_mensual'!Y158:Y169)</f>
        <v>0</v>
      </c>
      <c r="Z15" s="2">
        <v>3.434251993894577E-09</v>
      </c>
      <c r="AA15" s="2">
        <f>SUM('Crecimiento_mensual'!AA158:AA169)</f>
        <v>0</v>
      </c>
      <c r="AB15" s="2">
        <f>SUM('Crecimiento_mensual'!AB158:AB169)</f>
        <v>57186271.70033137</v>
      </c>
      <c r="AC15" s="2">
        <f>SUM('Crecimiento_mensual'!AC158:AC169)</f>
        <v>57186271.70033137</v>
      </c>
      <c r="AD15" s="2">
        <f>SUM('Crecimiento_mensual'!AD158:AD169)</f>
        <v>237640.5620042946</v>
      </c>
      <c r="AE15" s="2">
        <v>1244592.095920798</v>
      </c>
      <c r="AF15" s="2">
        <f>SUM('Crecimiento_mensual'!AF158:AF169)</f>
        <v>171321174.5389898</v>
      </c>
      <c r="AG15" s="2">
        <f>SUM('Crecimiento_mensual'!AG158:AG169)</f>
        <v>171321174.5389898</v>
      </c>
      <c r="AH15" s="2">
        <v>1320656036.481498</v>
      </c>
      <c r="AI15" s="2">
        <v>82368296.55986208</v>
      </c>
      <c r="AJ15" s="2">
        <v>1238287739.921635</v>
      </c>
      <c r="AK15" s="3">
        <v>0.25</v>
      </c>
      <c r="AL15" s="3">
        <v>0</v>
      </c>
      <c r="AM15" s="2">
        <v>1017445124.500548</v>
      </c>
      <c r="AN15" s="2">
        <v>1150</v>
      </c>
      <c r="AO15" s="2">
        <v>1150</v>
      </c>
    </row>
    <row r="16" spans="1:41">
      <c r="A16" s="2">
        <v>2094</v>
      </c>
      <c r="B16" s="2">
        <v>2041</v>
      </c>
      <c r="C16" s="2">
        <f>SUM('Crecimiento_mensual'!C170:C181)</f>
        <v>2077</v>
      </c>
      <c r="D16" s="2">
        <v>529391.2778020406</v>
      </c>
      <c r="E16" s="2">
        <f>SUM('Crecimiento_mensual'!E170:E181)</f>
        <v>1099545683.9948382</v>
      </c>
      <c r="F16" s="2">
        <f>SUM('Crecimiento_mensual'!F170:F181)</f>
        <v>923987969.7435617</v>
      </c>
      <c r="G16" s="2">
        <f>SUM('Crecimiento_mensual'!G170:G181)</f>
        <v>1970</v>
      </c>
      <c r="H16" s="2">
        <f>SUM('Crecimiento_mensual'!H170:H181)</f>
        <v>224208297.18154457</v>
      </c>
      <c r="I16" s="2">
        <v>4</v>
      </c>
      <c r="J16" s="2">
        <v>455149.2957765236</v>
      </c>
      <c r="K16" s="2">
        <f>SUM('Crecimiento_mensual'!K170:K181)</f>
        <v>236016302.6498774</v>
      </c>
      <c r="L16" s="2">
        <f>SUM('Crecimiento_mensual'!L170:L181)</f>
        <v>92708481.56287652</v>
      </c>
      <c r="M16" s="2">
        <f>SUM('Crecimiento_mensual'!M170:M181)</f>
        <v>207671006.27398258</v>
      </c>
      <c r="N16" s="3">
        <v>3</v>
      </c>
      <c r="O16" s="3">
        <v>5.5</v>
      </c>
      <c r="P16" s="2">
        <f>SUM('Crecimiento_mensual'!P170:P181)</f>
        <v>5263812.242495789</v>
      </c>
      <c r="Q16" s="2">
        <f>SUM('Crecimiento_mensual'!Q170:Q181)</f>
        <v>17975918.80812312</v>
      </c>
      <c r="R16" s="2">
        <f>SUM('Crecimiento_mensual'!R170:R181)</f>
        <v>4537769.174565336</v>
      </c>
      <c r="S16" s="2">
        <f>SUM('Crecimiento_mensual'!S170:S181)</f>
        <v>5082301.475513176</v>
      </c>
      <c r="T16" s="2">
        <f>SUM('Crecimiento_mensual'!T170:T181)</f>
        <v>94249465.75572202</v>
      </c>
      <c r="U16" s="2">
        <f>SUM('Crecimiento_mensual'!U170:U181)</f>
        <v>334780273.730402</v>
      </c>
      <c r="V16" s="2">
        <f>SUM('Crecimiento_mensual'!V170:V181)</f>
        <v>260482911.80040577</v>
      </c>
      <c r="W16" s="2">
        <f>SUM('Crecimiento_mensual'!W170:W181)</f>
        <v>0</v>
      </c>
      <c r="X16" s="2">
        <f>SUM('Crecimiento_mensual'!X170:X181)</f>
        <v>0</v>
      </c>
      <c r="Y16" s="2">
        <f>SUM('Crecimiento_mensual'!Y170:Y181)</f>
        <v>0</v>
      </c>
      <c r="Z16" s="2">
        <v>3.434251993894577E-09</v>
      </c>
      <c r="AA16" s="2">
        <f>SUM('Crecimiento_mensual'!AA170:AA181)</f>
        <v>0</v>
      </c>
      <c r="AB16" s="2">
        <f>SUM('Crecimiento_mensual'!AB170:AB181)</f>
        <v>68072729.31718466</v>
      </c>
      <c r="AC16" s="2">
        <f>SUM('Crecimiento_mensual'!AC170:AC181)</f>
        <v>68072729.31718466</v>
      </c>
      <c r="AD16" s="2">
        <f>SUM('Crecimiento_mensual'!AD170:AD181)</f>
        <v>-1244592.0959207981</v>
      </c>
      <c r="AE16" s="2">
        <v>0</v>
      </c>
      <c r="AF16" s="2">
        <f>SUM('Crecimiento_mensual'!AF170:AF181)</f>
        <v>205462780.04747474</v>
      </c>
      <c r="AG16" s="2">
        <f>SUM('Crecimiento_mensual'!AG170:AG181)</f>
        <v>205462780.04747474</v>
      </c>
      <c r="AH16" s="2">
        <v>1526118816.528972</v>
      </c>
      <c r="AI16" s="2">
        <v>86072407.04744151</v>
      </c>
      <c r="AJ16" s="2">
        <v>1440046409.481531</v>
      </c>
      <c r="AK16" s="3">
        <v>0.25</v>
      </c>
      <c r="AL16" s="3">
        <v>0</v>
      </c>
      <c r="AM16" s="2">
        <v>1186511921.424971</v>
      </c>
      <c r="AN16" s="2">
        <v>1169</v>
      </c>
      <c r="AO16" s="2">
        <v>1169</v>
      </c>
    </row>
  </sheetData>
  <autoFilter ref="A1:AO16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3" width="23.7109375" customWidth="1"/>
  </cols>
  <sheetData>
    <row r="1" spans="1:9">
      <c r="A1" s="1" t="s">
        <v>156</v>
      </c>
      <c r="B1" s="1" t="s">
        <v>157</v>
      </c>
      <c r="C1" s="1" t="s">
        <v>158</v>
      </c>
      <c r="D1" s="1" t="s">
        <v>159</v>
      </c>
      <c r="E1" s="1" t="s">
        <v>160</v>
      </c>
      <c r="F1" s="1" t="s">
        <v>161</v>
      </c>
      <c r="G1" s="1" t="s">
        <v>162</v>
      </c>
      <c r="H1" s="1" t="s">
        <v>163</v>
      </c>
      <c r="I1" s="1" t="s">
        <v>164</v>
      </c>
    </row>
    <row r="2" spans="1:9">
      <c r="A2" s="2" t="s">
        <v>165</v>
      </c>
      <c r="B2" s="2">
        <v>27700000</v>
      </c>
      <c r="C2" s="2">
        <v>607618.7756051831</v>
      </c>
      <c r="D2" s="2">
        <v>8757126.536310991</v>
      </c>
      <c r="E2" s="2">
        <v>0</v>
      </c>
      <c r="F2" s="2">
        <v>7291425.307262197</v>
      </c>
      <c r="G2" s="2">
        <v>-4525963.762529127</v>
      </c>
      <c r="H2" s="3">
        <v>0.6604812771466121</v>
      </c>
      <c r="I2" s="2">
        <v>36800000</v>
      </c>
    </row>
    <row r="3" spans="1:9">
      <c r="A3" s="2" t="s">
        <v>166</v>
      </c>
      <c r="B3" s="2">
        <v>27700000</v>
      </c>
      <c r="C3" s="2">
        <v>387653.6716136693</v>
      </c>
      <c r="D3" s="2">
        <v>18818440.59364032</v>
      </c>
      <c r="E3" s="2">
        <v>17672275.99740261</v>
      </c>
      <c r="F3" s="2">
        <v>4651844.059364032</v>
      </c>
      <c r="G3" s="2">
        <v>45209.63097224198</v>
      </c>
      <c r="H3" s="3">
        <v>1.035256091498917</v>
      </c>
      <c r="I3" s="2">
        <v>27700000</v>
      </c>
    </row>
    <row r="4" spans="1:9">
      <c r="A4" s="2" t="s">
        <v>167</v>
      </c>
      <c r="B4" s="2">
        <v>27700000</v>
      </c>
      <c r="C4" s="2">
        <v>321593.4931296263</v>
      </c>
      <c r="D4" s="2">
        <v>30186828.76333275</v>
      </c>
      <c r="E4" s="2">
        <v>22979634.68941006</v>
      </c>
      <c r="F4" s="2">
        <v>3859121.917555516</v>
      </c>
      <c r="G4" s="2">
        <v>1366413.200653099</v>
      </c>
      <c r="H4" s="3">
        <v>1.247913386009367</v>
      </c>
      <c r="I4" s="2">
        <v>25900000</v>
      </c>
    </row>
    <row r="5" spans="1:9">
      <c r="A5" s="2" t="s">
        <v>168</v>
      </c>
      <c r="B5" s="2">
        <v>27700000</v>
      </c>
      <c r="C5" s="2">
        <v>497940.2962540671</v>
      </c>
      <c r="D5" s="2">
        <v>7926417.775244024</v>
      </c>
      <c r="E5" s="2">
        <v>0</v>
      </c>
      <c r="F5" s="2">
        <v>11725283.5550488</v>
      </c>
      <c r="G5" s="2">
        <v>-7910522.861835713</v>
      </c>
      <c r="H5" s="3">
        <v>0.410723534023704</v>
      </c>
    </row>
    <row r="7" spans="1:9">
      <c r="A7" t="s">
        <v>169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38.7109375" customWidth="1"/>
    <col min="2" max="6" width="24.7109375" customWidth="1"/>
  </cols>
  <sheetData>
    <row r="1" spans="1:5">
      <c r="A1" s="1" t="s">
        <v>170</v>
      </c>
      <c r="B1" s="1" t="s">
        <v>171</v>
      </c>
      <c r="C1" s="1" t="s">
        <v>172</v>
      </c>
      <c r="D1" s="1" t="s">
        <v>162</v>
      </c>
      <c r="E1" s="1" t="s">
        <v>173</v>
      </c>
    </row>
    <row r="2" spans="1:5">
      <c r="A2" s="2" t="s">
        <v>174</v>
      </c>
      <c r="B2" s="2">
        <v>200</v>
      </c>
      <c r="C2" s="2">
        <v>5709527.899159664</v>
      </c>
      <c r="D2" s="2">
        <v>45209.63097224198</v>
      </c>
      <c r="E2" s="2">
        <v>21874877.60172168</v>
      </c>
    </row>
    <row r="3" spans="1:5">
      <c r="A3" s="2" t="s">
        <v>175</v>
      </c>
      <c r="B3" s="2">
        <v>200</v>
      </c>
      <c r="C3" s="2">
        <v>-10097194.78991596</v>
      </c>
      <c r="D3" s="2">
        <v>-28136754.71711481</v>
      </c>
      <c r="E3" s="2">
        <v>-82896525.92406398</v>
      </c>
    </row>
    <row r="4" spans="1:5">
      <c r="A4" s="2" t="s">
        <v>176</v>
      </c>
      <c r="B4" s="2">
        <v>200</v>
      </c>
      <c r="C4" s="2">
        <v>-2193833.445378149</v>
      </c>
      <c r="D4" s="2">
        <v>-12846571.3246661</v>
      </c>
      <c r="E4" s="2">
        <v>-25965375.207983</v>
      </c>
    </row>
    <row r="5" spans="1:5">
      <c r="A5" s="2" t="s">
        <v>177</v>
      </c>
      <c r="B5" s="2">
        <v>200</v>
      </c>
      <c r="C5" s="2">
        <v>2548183.361344541</v>
      </c>
      <c r="D5" s="2">
        <v>-4866910.634379685</v>
      </c>
      <c r="E5" s="2">
        <v>2610191.872395501</v>
      </c>
    </row>
    <row r="6" spans="1:5">
      <c r="A6" s="2" t="s">
        <v>178</v>
      </c>
      <c r="B6" s="2">
        <v>130</v>
      </c>
      <c r="C6" s="2">
        <v>-7502806.865546218</v>
      </c>
      <c r="D6" s="2">
        <v>-19803622.6066945</v>
      </c>
      <c r="E6" s="2">
        <v>-47949650.94746964</v>
      </c>
    </row>
    <row r="7" spans="1:5">
      <c r="A7" s="2" t="s">
        <v>179</v>
      </c>
      <c r="B7" s="2">
        <v>200</v>
      </c>
      <c r="C7" s="2">
        <v>5709527.899159664</v>
      </c>
      <c r="D7" s="2">
        <v>-1713217.048095604</v>
      </c>
      <c r="E7" s="2">
        <v>21874877.60172168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LEEME</vt:lpstr>
      <vt:lpstr>Supuestos</vt:lpstr>
      <vt:lpstr>BOM</vt:lpstr>
      <vt:lpstr>Origen y usos</vt:lpstr>
      <vt:lpstr>Base_mensual</vt:lpstr>
      <vt:lpstr>Base_anual</vt:lpstr>
      <vt:lpstr>Estres_mensual</vt:lpstr>
      <vt:lpstr>Estres_anual</vt:lpstr>
      <vt:lpstr>Crecimiento_mensual</vt:lpstr>
      <vt:lpstr>Crecimiento_anual</vt:lpstr>
      <vt:lpstr>Comparacion deuda</vt:lpstr>
      <vt:lpstr>Sensibilidades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TerraSense — modelo financiero auditable 2026-09-04</dc:title>
  <dc:creator/>
  <dc:description>Editar finanzas/supuestos.json y regenerar. No editar resultados aislados.</dc:description>
  <cp:lastModifiedBy/>
  <dcterms:created xsi:type="dcterms:W3CDTF">2026-09-05T02:48:44Z</dcterms:created>
  <dcterms:modified xsi:type="dcterms:W3CDTF">2026-09-05T02:48:44Z</dcterms:modified>
</cp:coreProperties>
</file>