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rsiones" sheetId="1" r:id="rId1"/>
    <sheet name="Estado de Resultados y Flujo" sheetId="2" r:id="rId2"/>
  </sheets>
  <calcPr calcId="124519" fullCalcOnLoad="1"/>
</workbook>
</file>

<file path=xl/sharedStrings.xml><?xml version="1.0" encoding="utf-8"?>
<sst xmlns="http://schemas.openxmlformats.org/spreadsheetml/2006/main" count="32" uniqueCount="32">
  <si>
    <t>Detalle Inversión</t>
  </si>
  <si>
    <t>Monto Total</t>
  </si>
  <si>
    <t>Capital Propio</t>
  </si>
  <si>
    <t>Financiamiento Externo</t>
  </si>
  <si>
    <t>Capital de Trabajo y Activo Nominal</t>
  </si>
  <si>
    <t>Activo Fijo</t>
  </si>
  <si>
    <t>TOTAL INVERSIÓN</t>
  </si>
  <si>
    <t>Concepto</t>
  </si>
  <si>
    <t>Año 0</t>
  </si>
  <si>
    <t>Año 1</t>
  </si>
  <si>
    <t>Año 2</t>
  </si>
  <si>
    <t>Año 3</t>
  </si>
  <si>
    <t>Año 4</t>
  </si>
  <si>
    <t>Año 5</t>
  </si>
  <si>
    <t>(+) VENTAS</t>
  </si>
  <si>
    <t>(-) Costos Variables</t>
  </si>
  <si>
    <t>(-) Gastos Fijos</t>
  </si>
  <si>
    <t>(-) Depreciación</t>
  </si>
  <si>
    <t>(-) Costo Financiero (Intereses)</t>
  </si>
  <si>
    <t>(=) UTILIDAD OPERACIONAL</t>
  </si>
  <si>
    <t>(-) Impuestos (25%)</t>
  </si>
  <si>
    <t>(=) UTILIDAD NETA</t>
  </si>
  <si>
    <t>FLUJO DE CAJA (FONDOS)</t>
  </si>
  <si>
    <t>Utilidad Neta</t>
  </si>
  <si>
    <t>(+) Depreciación</t>
  </si>
  <si>
    <t>(-) Amortización de Capital</t>
  </si>
  <si>
    <t>(-) Inversión Inicial</t>
  </si>
  <si>
    <t>(=) FLUJO DE FONDOS PROYECTADO</t>
  </si>
  <si>
    <t>Flujo Acumulado</t>
  </si>
  <si>
    <t>EVALUACIÓN (Tasa Descuento 20%)</t>
  </si>
  <si>
    <t>VAN (20%)</t>
  </si>
  <si>
    <t>TIR</t>
  </si>
</sst>
</file>

<file path=xl/styles.xml><?xml version="1.0" encoding="utf-8"?>
<styleSheet xmlns="http://schemas.openxmlformats.org/spreadsheetml/2006/main">
  <numFmts count="2">
    <numFmt numFmtId="164" formatCode="&quot;$&quot;#,##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E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1" fillId="0" borderId="0" xfId="0" applyFont="1"/>
    <xf numFmtId="164" fontId="1" fillId="3" borderId="2" xfId="0" applyNumberFormat="1" applyFont="1" applyFill="1" applyBorder="1"/>
    <xf numFmtId="165" fontId="1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0.7109375" customWidth="1"/>
    <col min="2" max="5" width="2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18990000</v>
      </c>
      <c r="C2" s="2">
        <f>8900000</f>
        <v>0</v>
      </c>
      <c r="D2" s="2">
        <f>B2-C2</f>
        <v>0</v>
      </c>
    </row>
    <row r="3" spans="1:4">
      <c r="A3" t="s">
        <v>5</v>
      </c>
      <c r="B3" s="2">
        <v>4910000</v>
      </c>
      <c r="C3" s="2">
        <v>0</v>
      </c>
      <c r="D3" s="2">
        <f>B3-C3</f>
        <v>0</v>
      </c>
    </row>
    <row r="4" spans="1:4">
      <c r="A4" s="3" t="s">
        <v>6</v>
      </c>
      <c r="B4" s="4">
        <f>SUM(B2:B3)</f>
        <v>0</v>
      </c>
      <c r="C4" s="4">
        <f>SUM(C2:C3)</f>
        <v>0</v>
      </c>
      <c r="D4" s="4">
        <f>SUM(D2:D3)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1" max="1" width="35.7109375" customWidth="1"/>
    <col min="2" max="7" width="15.7109375" customWidth="1"/>
  </cols>
  <sheetData>
    <row r="1" spans="1:7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3" t="s">
        <v>14</v>
      </c>
      <c r="B2" s="2">
        <v>0</v>
      </c>
      <c r="C2" s="2">
        <v>42015200</v>
      </c>
      <c r="D2" s="2">
        <v>73526600</v>
      </c>
      <c r="E2" s="2">
        <v>105038000</v>
      </c>
      <c r="F2" s="2">
        <v>136549400</v>
      </c>
      <c r="G2" s="2">
        <v>178564600</v>
      </c>
    </row>
    <row r="3" spans="1:7">
      <c r="A3" t="s">
        <v>15</v>
      </c>
      <c r="B3" s="2">
        <v>0</v>
      </c>
      <c r="C3" s="2">
        <v>18261800</v>
      </c>
      <c r="D3" s="2">
        <v>30999500</v>
      </c>
      <c r="E3" s="2">
        <v>42915000</v>
      </c>
      <c r="F3" s="2">
        <v>54602600</v>
      </c>
      <c r="G3" s="2">
        <v>69851300</v>
      </c>
    </row>
    <row r="4" spans="1:7">
      <c r="A4" t="s">
        <v>16</v>
      </c>
      <c r="B4" s="2">
        <v>0</v>
      </c>
      <c r="C4" s="2">
        <v>16946852</v>
      </c>
      <c r="D4" s="2">
        <v>28990000</v>
      </c>
      <c r="E4" s="2">
        <v>55440000</v>
      </c>
      <c r="F4" s="2">
        <v>66470000</v>
      </c>
      <c r="G4" s="2">
        <v>83520000</v>
      </c>
    </row>
    <row r="5" spans="1:7">
      <c r="A5" t="s">
        <v>17</v>
      </c>
      <c r="B5" s="2">
        <v>0</v>
      </c>
      <c r="C5" s="2">
        <v>811190</v>
      </c>
      <c r="D5" s="2">
        <v>811190</v>
      </c>
      <c r="E5" s="2">
        <v>811190</v>
      </c>
      <c r="F5" s="2">
        <v>811190</v>
      </c>
      <c r="G5" s="2">
        <v>811190</v>
      </c>
    </row>
    <row r="6" spans="1:7">
      <c r="A6" t="s">
        <v>18</v>
      </c>
      <c r="B6" s="2">
        <v>0</v>
      </c>
      <c r="C6" s="2">
        <v>2150000</v>
      </c>
      <c r="D6" s="2">
        <v>836188</v>
      </c>
      <c r="E6" s="2">
        <v>655995</v>
      </c>
      <c r="F6" s="2">
        <v>457782</v>
      </c>
      <c r="G6" s="2">
        <v>239749</v>
      </c>
    </row>
    <row r="7" spans="1:7">
      <c r="A7" s="3" t="s">
        <v>19</v>
      </c>
      <c r="B7" s="4">
        <f>B2-B3-B4-B5-B6</f>
        <v>0</v>
      </c>
      <c r="C7" s="4">
        <f>C2-C3-C4-C5-C6</f>
        <v>0</v>
      </c>
      <c r="D7" s="4">
        <f>D2-D3-D4-D5-D6</f>
        <v>0</v>
      </c>
      <c r="E7" s="4">
        <f>E2-E3-E4-E5-E6</f>
        <v>0</v>
      </c>
      <c r="F7" s="4">
        <f>F2-F3-F4-F5-F6</f>
        <v>0</v>
      </c>
      <c r="G7" s="4">
        <f>G2-G3-G4-G5-G6</f>
        <v>0</v>
      </c>
    </row>
    <row r="8" spans="1:7">
      <c r="A8" t="s">
        <v>20</v>
      </c>
      <c r="B8" s="2">
        <f>IF(B7&gt;0, B7*0.25, 0)</f>
        <v>0</v>
      </c>
      <c r="C8" s="2">
        <f>IF(C7&gt;0, C7*0.25, 0)</f>
        <v>0</v>
      </c>
      <c r="D8" s="2">
        <f>IF(D7&gt;0, D7*0.25, 0)</f>
        <v>0</v>
      </c>
      <c r="E8" s="2">
        <f>IF(E7&gt;0, E7*0.25, 0)</f>
        <v>0</v>
      </c>
      <c r="F8" s="2">
        <f>IF(F7&gt;0, F7*0.25, 0)</f>
        <v>0</v>
      </c>
      <c r="G8" s="2">
        <f>IF(G7&gt;0, G7*0.25, 0)</f>
        <v>0</v>
      </c>
    </row>
    <row r="9" spans="1:7">
      <c r="A9" s="3" t="s">
        <v>21</v>
      </c>
      <c r="B9" s="4">
        <f>B7-B8</f>
        <v>0</v>
      </c>
      <c r="C9" s="4">
        <f>C7-C8</f>
        <v>0</v>
      </c>
      <c r="D9" s="4">
        <f>D7-D8</f>
        <v>0</v>
      </c>
      <c r="E9" s="4">
        <f>E7-E8</f>
        <v>0</v>
      </c>
      <c r="F9" s="4">
        <f>F7-F8</f>
        <v>0</v>
      </c>
      <c r="G9" s="4">
        <f>G7-G8</f>
        <v>0</v>
      </c>
    </row>
    <row r="11" spans="1:7">
      <c r="A11" s="3" t="s">
        <v>22</v>
      </c>
    </row>
    <row r="12" spans="1:7">
      <c r="A12" t="s">
        <v>23</v>
      </c>
      <c r="B12" s="2">
        <f>B9</f>
        <v>0</v>
      </c>
      <c r="C12" s="2">
        <f>C9</f>
        <v>0</v>
      </c>
      <c r="D12" s="2">
        <f>D9</f>
        <v>0</v>
      </c>
      <c r="E12" s="2">
        <f>E9</f>
        <v>0</v>
      </c>
      <c r="F12" s="2">
        <f>F9</f>
        <v>0</v>
      </c>
      <c r="G12" s="2">
        <f>G9</f>
        <v>0</v>
      </c>
    </row>
    <row r="13" spans="1:7">
      <c r="A13" t="s">
        <v>24</v>
      </c>
      <c r="B13" s="2">
        <f>B5</f>
        <v>0</v>
      </c>
      <c r="C13" s="2">
        <f>C5</f>
        <v>0</v>
      </c>
      <c r="D13" s="2">
        <f>D5</f>
        <v>0</v>
      </c>
      <c r="E13" s="2">
        <f>E5</f>
        <v>0</v>
      </c>
      <c r="F13" s="2">
        <f>F5</f>
        <v>0</v>
      </c>
      <c r="G13" s="2">
        <f>G5</f>
        <v>0</v>
      </c>
    </row>
    <row r="14" spans="1:7">
      <c r="A14" t="s">
        <v>25</v>
      </c>
      <c r="B14" s="2">
        <v>0</v>
      </c>
      <c r="C14" s="2">
        <v>6638120</v>
      </c>
      <c r="D14" s="2">
        <v>1801932</v>
      </c>
      <c r="E14" s="2">
        <v>1982125</v>
      </c>
      <c r="F14" s="2">
        <v>2180338</v>
      </c>
      <c r="G14" s="2">
        <v>2398371</v>
      </c>
    </row>
    <row r="15" spans="1:7">
      <c r="A15" t="s">
        <v>26</v>
      </c>
      <c r="B15" s="2">
        <v>23900000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</row>
    <row r="16" spans="1:7">
      <c r="A16" s="3" t="s">
        <v>27</v>
      </c>
      <c r="B16" s="4">
        <f>B12+B13-B14-B15</f>
        <v>0</v>
      </c>
      <c r="C16" s="4">
        <f>C12+C13-C14-C15</f>
        <v>0</v>
      </c>
      <c r="D16" s="4">
        <f>D12+D13-D14-D15</f>
        <v>0</v>
      </c>
      <c r="E16" s="4">
        <f>E12+E13-E14-E15</f>
        <v>0</v>
      </c>
      <c r="F16" s="4">
        <f>F12+F13-F14-F15</f>
        <v>0</v>
      </c>
      <c r="G16" s="4">
        <f>G12+G13-G14-G15</f>
        <v>0</v>
      </c>
    </row>
    <row r="17" spans="1:7">
      <c r="A17" t="s">
        <v>28</v>
      </c>
      <c r="B17" s="2">
        <f>B16</f>
        <v>0</v>
      </c>
      <c r="C17" s="2">
        <f>B17+C16</f>
        <v>0</v>
      </c>
      <c r="D17" s="2">
        <f>C17+D16</f>
        <v>0</v>
      </c>
      <c r="E17" s="2">
        <f>D17+E16</f>
        <v>0</v>
      </c>
      <c r="F17" s="2">
        <f>E17+F16</f>
        <v>0</v>
      </c>
      <c r="G17" s="2">
        <f>F17+G16</f>
        <v>0</v>
      </c>
    </row>
    <row r="19" spans="1:7">
      <c r="A19" s="3" t="s">
        <v>29</v>
      </c>
    </row>
    <row r="20" spans="1:7">
      <c r="A20" t="s">
        <v>30</v>
      </c>
      <c r="B20" s="4">
        <f>NPV(0.20, C16:G16) + B16</f>
        <v>0</v>
      </c>
    </row>
    <row r="21" spans="1:7">
      <c r="A21" t="s">
        <v>31</v>
      </c>
      <c r="B21" s="5">
        <f>IRR(B16:G16)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Inversiones</vt:lpstr>
      <vt:lpstr>Estado de Resultados y Flujo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2026-08-30T17:06:41Z</dcterms:created>
  <dcterms:modified xsi:type="dcterms:W3CDTF">2026-08-30T17:06:41Z</dcterms:modified>
</cp:coreProperties>
</file>