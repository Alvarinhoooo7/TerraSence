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ente de Financiamiento" sheetId="1" r:id="rId1"/>
    <sheet name="Amortización Préstamos" sheetId="2" r:id="rId2"/>
    <sheet name="Depreciación" sheetId="3" r:id="rId3"/>
  </sheets>
  <calcPr calcId="124519" fullCalcOnLoad="1"/>
</workbook>
</file>

<file path=xl/sharedStrings.xml><?xml version="1.0" encoding="utf-8"?>
<sst xmlns="http://schemas.openxmlformats.org/spreadsheetml/2006/main" count="32" uniqueCount="24">
  <si>
    <t>Ítem de Financiamiento</t>
  </si>
  <si>
    <t>Porcentaje (%)</t>
  </si>
  <si>
    <t>Monto ($)</t>
  </si>
  <si>
    <t>Pie de los socios (Capital Propio)</t>
  </si>
  <si>
    <t>Préstamo Bancario (Largo Plazo)</t>
  </si>
  <si>
    <t>Línea de Corto Plazo</t>
  </si>
  <si>
    <t>TOTAL INVERSIÓN INICIAL</t>
  </si>
  <si>
    <t>PRÉSTAMO LARGO PLAZO (Sistema Francés, 5 Años, 10% Anual)</t>
  </si>
  <si>
    <t>Préstamo:</t>
  </si>
  <si>
    <t>Tasa:</t>
  </si>
  <si>
    <t>Año</t>
  </si>
  <si>
    <t>Saldo Inicial</t>
  </si>
  <si>
    <t>Amortización de Capital</t>
  </si>
  <si>
    <t>Interés</t>
  </si>
  <si>
    <t>Cuota Total</t>
  </si>
  <si>
    <t>Saldo Final</t>
  </si>
  <si>
    <t>PRÉSTAMO CORTO PLAZO (1 Año, 23% Anual)</t>
  </si>
  <si>
    <t>Activo Fijo</t>
  </si>
  <si>
    <t>Valor de Adquisición</t>
  </si>
  <si>
    <t>Vida Útil (Años)</t>
  </si>
  <si>
    <t>Depreciación Anual</t>
  </si>
  <si>
    <t>Equipamiento Técnico e Informático</t>
  </si>
  <si>
    <t>Mobiliario de Taller</t>
  </si>
  <si>
    <t>TOTAL</t>
  </si>
</sst>
</file>

<file path=xl/styles.xml><?xml version="1.0" encoding="utf-8"?>
<styleSheet xmlns="http://schemas.openxmlformats.org/spreadsheetml/2006/main">
  <numFmts count="2">
    <numFmt numFmtId="164" formatCode="0%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5.7109375" customWidth="1"/>
    <col min="2" max="2" width="15.7109375" customWidth="1"/>
    <col min="3" max="3" width="2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0.37</v>
      </c>
      <c r="C2" s="3">
        <v>8900000</v>
      </c>
    </row>
    <row r="3" spans="1:3">
      <c r="A3" t="s">
        <v>4</v>
      </c>
      <c r="B3" s="2">
        <v>0.42</v>
      </c>
      <c r="C3" s="3">
        <v>10000000</v>
      </c>
    </row>
    <row r="4" spans="1:3">
      <c r="A4" t="s">
        <v>5</v>
      </c>
      <c r="B4" s="2">
        <v>0.21</v>
      </c>
      <c r="C4" s="3">
        <v>5000000</v>
      </c>
    </row>
    <row r="5" spans="1:3">
      <c r="A5" s="4" t="s">
        <v>6</v>
      </c>
      <c r="B5" s="2">
        <f>SUM(B2:B4)</f>
        <v>0</v>
      </c>
      <c r="C5" s="3">
        <f>SUM(C2:C4)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FormatPr defaultRowHeight="15"/>
  <cols>
    <col min="1" max="6" width="20.7109375" customWidth="1"/>
  </cols>
  <sheetData>
    <row r="1" spans="1:6">
      <c r="A1" s="4" t="s">
        <v>7</v>
      </c>
    </row>
    <row r="2" spans="1:6">
      <c r="A2" s="4" t="s">
        <v>8</v>
      </c>
      <c r="B2" s="3">
        <v>10000000</v>
      </c>
    </row>
    <row r="3" spans="1:6">
      <c r="A3" s="4" t="s">
        <v>9</v>
      </c>
      <c r="B3" s="2">
        <v>0.1</v>
      </c>
    </row>
    <row r="5" spans="1:6">
      <c r="A5" s="1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</row>
    <row r="6" spans="1:6">
      <c r="A6">
        <v>1</v>
      </c>
      <c r="B6" s="3">
        <f>B2</f>
        <v>0</v>
      </c>
      <c r="C6" s="3">
        <f>E6-D6</f>
        <v>0</v>
      </c>
      <c r="D6" s="3">
        <f>B6*$B$3</f>
        <v>0</v>
      </c>
      <c r="E6" s="3">
        <f>-PMT($B$3, 5, $B$2)</f>
        <v>0</v>
      </c>
      <c r="F6" s="3">
        <f>B6-C6</f>
        <v>0</v>
      </c>
    </row>
    <row r="7" spans="1:6">
      <c r="A7">
        <v>2</v>
      </c>
      <c r="B7" s="3">
        <f>F6</f>
        <v>0</v>
      </c>
      <c r="C7" s="3">
        <f>E7-D7</f>
        <v>0</v>
      </c>
      <c r="D7" s="3">
        <f>B7*$B$3</f>
        <v>0</v>
      </c>
      <c r="E7" s="3">
        <f>-PMT($B$3, 5, $B$2)</f>
        <v>0</v>
      </c>
      <c r="F7" s="3">
        <f>B7-C7</f>
        <v>0</v>
      </c>
    </row>
    <row r="8" spans="1:6">
      <c r="A8">
        <v>3</v>
      </c>
      <c r="B8" s="3">
        <f>F7</f>
        <v>0</v>
      </c>
      <c r="C8" s="3">
        <f>E8-D8</f>
        <v>0</v>
      </c>
      <c r="D8" s="3">
        <f>B8*$B$3</f>
        <v>0</v>
      </c>
      <c r="E8" s="3">
        <f>-PMT($B$3, 5, $B$2)</f>
        <v>0</v>
      </c>
      <c r="F8" s="3">
        <f>B8-C8</f>
        <v>0</v>
      </c>
    </row>
    <row r="9" spans="1:6">
      <c r="A9">
        <v>4</v>
      </c>
      <c r="B9" s="3">
        <f>F8</f>
        <v>0</v>
      </c>
      <c r="C9" s="3">
        <f>E9-D9</f>
        <v>0</v>
      </c>
      <c r="D9" s="3">
        <f>B9*$B$3</f>
        <v>0</v>
      </c>
      <c r="E9" s="3">
        <f>-PMT($B$3, 5, $B$2)</f>
        <v>0</v>
      </c>
      <c r="F9" s="3">
        <f>B9-C9</f>
        <v>0</v>
      </c>
    </row>
    <row r="10" spans="1:6">
      <c r="A10">
        <v>5</v>
      </c>
      <c r="B10" s="3">
        <f>F9</f>
        <v>0</v>
      </c>
      <c r="C10" s="3">
        <f>E10-D10</f>
        <v>0</v>
      </c>
      <c r="D10" s="3">
        <f>B10*$B$3</f>
        <v>0</v>
      </c>
      <c r="E10" s="3">
        <f>-PMT($B$3, 5, $B$2)</f>
        <v>0</v>
      </c>
      <c r="F10" s="3">
        <f>B10-C10</f>
        <v>0</v>
      </c>
    </row>
    <row r="12" spans="1:6">
      <c r="A12" s="4" t="s">
        <v>16</v>
      </c>
    </row>
    <row r="13" spans="1:6">
      <c r="A13" s="4" t="s">
        <v>8</v>
      </c>
      <c r="B13" s="3">
        <v>5000000</v>
      </c>
    </row>
    <row r="14" spans="1:6">
      <c r="A14" s="4" t="s">
        <v>9</v>
      </c>
      <c r="B14" s="2">
        <v>0.23</v>
      </c>
    </row>
    <row r="16" spans="1:6">
      <c r="A16" s="1" t="s">
        <v>10</v>
      </c>
      <c r="B16" s="1" t="s">
        <v>11</v>
      </c>
      <c r="C16" s="1" t="s">
        <v>12</v>
      </c>
      <c r="D16" s="1" t="s">
        <v>13</v>
      </c>
      <c r="E16" s="1" t="s">
        <v>14</v>
      </c>
      <c r="F16" s="1" t="s">
        <v>15</v>
      </c>
    </row>
    <row r="17" spans="1:6">
      <c r="A17">
        <v>1</v>
      </c>
      <c r="B17" s="3">
        <f>B13</f>
        <v>0</v>
      </c>
      <c r="C17" s="3">
        <f>B13</f>
        <v>0</v>
      </c>
      <c r="D17" s="3">
        <f>B17*$B$14</f>
        <v>0</v>
      </c>
      <c r="E17" s="3">
        <f>C17+D17</f>
        <v>0</v>
      </c>
      <c r="F17" s="3">
        <f>B17-C17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5" width="25.7109375" customWidth="1"/>
  </cols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t="s">
        <v>21</v>
      </c>
      <c r="B2" s="3">
        <v>4610000</v>
      </c>
      <c r="C2">
        <v>6</v>
      </c>
      <c r="D2" s="3">
        <f>B2/C2</f>
        <v>0</v>
      </c>
    </row>
    <row r="3" spans="1:4">
      <c r="A3" t="s">
        <v>22</v>
      </c>
      <c r="B3" s="3">
        <v>300000</v>
      </c>
      <c r="C3">
        <v>7</v>
      </c>
      <c r="D3" s="3">
        <f>B3/C3</f>
        <v>0</v>
      </c>
    </row>
    <row r="4" spans="1:4">
      <c r="A4" s="4" t="s">
        <v>23</v>
      </c>
      <c r="B4" s="3">
        <f>SUM(B2:B3)</f>
        <v>0</v>
      </c>
      <c r="D4" s="3">
        <f>SUM(D2:D3)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Fuente de Financiamiento</vt:lpstr>
      <vt:lpstr>Amortización Préstamos</vt:lpstr>
      <vt:lpstr>Depreciación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2026-08-30T17:06:41Z</dcterms:created>
  <dcterms:modified xsi:type="dcterms:W3CDTF">2026-08-30T17:06:41Z</dcterms:modified>
</cp:coreProperties>
</file>