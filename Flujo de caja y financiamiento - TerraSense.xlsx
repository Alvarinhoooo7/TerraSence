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TADA" sheetId="1" state="visible" r:id="rId1"/>
    <sheet name="PARÁMETROS" sheetId="2" state="visible" r:id="rId2"/>
    <sheet name="COSTOS UNITARIOS" sheetId="3" state="visible" r:id="rId3"/>
    <sheet name="INVERSIONES" sheetId="4" state="visible" r:id="rId4"/>
    <sheet name="FINANCIAMIENTO" sheetId="5" state="visible" r:id="rId5"/>
    <sheet name="AMORTIZACIÓN" sheetId="6" state="visible" r:id="rId6"/>
    <sheet name="DEPRECIACIÓN" sheetId="7" state="visible" r:id="rId7"/>
    <sheet name="ESTADO DE RESULTADOS" sheetId="8" state="visible" r:id="rId8"/>
    <sheet name="GASTOS FIJOS 5 AÑOS" sheetId="9" state="visible" r:id="rId9"/>
    <sheet name="PROYECCIÓN" sheetId="10" state="visible" r:id="rId10"/>
    <sheet name="SENSIBILIDAD" sheetId="11" state="visible" r:id="rId11"/>
    <sheet name="TOMA DE DECISIONES" sheetId="12" state="visible" r:id="rId12"/>
    <sheet name="RÚBRICA" sheetId="13" state="visible" r:id="rId13"/>
  </sheets>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0.0000"/>
  </numFmts>
  <fonts count="24">
    <font>
      <name val="Calibri"/>
      <family val="2"/>
      <color theme="1"/>
      <sz val="11"/>
      <scheme val="minor"/>
    </font>
    <font>
      <b val="1"/>
      <color rgb="00FFFFFF"/>
      <sz val="14"/>
    </font>
    <font>
      <i val="1"/>
      <color rgb="002D6A4F"/>
      <sz val="10"/>
    </font>
    <font>
      <b val="1"/>
      <color rgb="002D6A4F"/>
    </font>
    <font>
      <b val="1"/>
      <color rgb="00FFFFFF"/>
      <sz val="11"/>
    </font>
    <font>
      <b val="1"/>
      <color rgb="001B4332"/>
      <sz val="10"/>
    </font>
    <font>
      <b val="1"/>
      <color rgb="002D6A4F"/>
      <sz val="10"/>
    </font>
    <font>
      <sz val="9"/>
    </font>
    <font>
      <b val="1"/>
      <sz val="10"/>
    </font>
    <font>
      <i val="1"/>
      <sz val="9"/>
    </font>
    <font>
      <sz val="10"/>
    </font>
    <font>
      <b val="1"/>
      <color rgb="001B4332"/>
    </font>
    <font>
      <b val="1"/>
      <color rgb="001B4332"/>
      <sz val="9"/>
    </font>
    <font>
      <i val="1"/>
      <color rgb="007F7F7F"/>
      <sz val="9"/>
    </font>
    <font>
      <b val="1"/>
      <i val="1"/>
      <sz val="10"/>
    </font>
    <font>
      <b val="1"/>
      <i val="1"/>
    </font>
    <font>
      <sz val="11"/>
    </font>
    <font>
      <i val="1"/>
      <sz val="10"/>
    </font>
    <font>
      <i val="1"/>
    </font>
    <font>
      <b val="1"/>
      <color rgb="00FFFFFF"/>
    </font>
    <font>
      <b val="1"/>
      <color rgb="001B4332"/>
      <sz val="11"/>
    </font>
    <font>
      <b val="1"/>
      <sz val="9"/>
    </font>
    <font>
      <b val="1"/>
    </font>
    <font>
      <i val="1"/>
      <color rgb="002D6A4F"/>
      <sz val="9"/>
    </font>
  </fonts>
  <fills count="10">
    <fill>
      <patternFill/>
    </fill>
    <fill>
      <patternFill patternType="gray125"/>
    </fill>
    <fill>
      <patternFill patternType="solid">
        <fgColor rgb="001B4332"/>
      </patternFill>
    </fill>
    <fill>
      <patternFill patternType="solid">
        <fgColor rgb="0040916C"/>
      </patternFill>
    </fill>
    <fill>
      <patternFill patternType="solid">
        <fgColor rgb="00D8F3DC"/>
      </patternFill>
    </fill>
    <fill>
      <patternFill patternType="solid">
        <fgColor rgb="00FFF3CD"/>
      </patternFill>
    </fill>
    <fill>
      <patternFill patternType="solid">
        <fgColor rgb="00F8D7DA"/>
      </patternFill>
    </fill>
    <fill>
      <patternFill patternType="solid">
        <fgColor rgb="00D6E4F0"/>
      </patternFill>
    </fill>
    <fill>
      <patternFill patternType="solid">
        <fgColor rgb="00F2F2F2"/>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0" borderId="0" pivotButton="0" quotePrefix="0" xfId="0"/>
    <xf numFmtId="0" fontId="4" fillId="3" borderId="0" applyAlignment="1" pivotButton="0" quotePrefix="0" xfId="0">
      <alignment horizontal="left" vertical="center" indent="1"/>
    </xf>
    <xf numFmtId="0" fontId="5" fillId="4" borderId="1" applyAlignment="1" pivotButton="0" quotePrefix="0" xfId="0">
      <alignment horizontal="center" vertical="center" wrapText="1"/>
    </xf>
    <xf numFmtId="0" fontId="6" fillId="0" borderId="1" pivotButton="0" quotePrefix="0" xfId="0"/>
    <xf numFmtId="0" fontId="7" fillId="0" borderId="1" applyAlignment="1" pivotButton="0" quotePrefix="0" xfId="0">
      <alignment vertical="center" wrapText="1"/>
    </xf>
    <xf numFmtId="0" fontId="7" fillId="0" borderId="1" applyAlignment="1" pivotButton="0" quotePrefix="0" xfId="0">
      <alignment horizontal="center" vertical="center" wrapText="1"/>
    </xf>
    <xf numFmtId="0" fontId="8" fillId="0" borderId="1" pivotButton="0" quotePrefix="0" xfId="0"/>
    <xf numFmtId="164" fontId="3" fillId="0" borderId="1" applyAlignment="1" pivotButton="0" quotePrefix="0" xfId="0">
      <alignment horizontal="right" vertical="center"/>
    </xf>
    <xf numFmtId="0" fontId="7" fillId="0" borderId="1" applyAlignment="1" pivotButton="0" quotePrefix="0" xfId="0">
      <alignment horizontal="center" vertical="center"/>
    </xf>
    <xf numFmtId="165" fontId="3" fillId="0" borderId="1" applyAlignment="1" pivotButton="0" quotePrefix="0" xfId="0">
      <alignment horizontal="right" vertical="center"/>
    </xf>
    <xf numFmtId="4" fontId="3" fillId="0" borderId="1" applyAlignment="1" pivotButton="0" quotePrefix="0" xfId="0">
      <alignment horizontal="right" vertical="center"/>
    </xf>
    <xf numFmtId="3" fontId="3" fillId="0" borderId="1" applyAlignment="1" pivotButton="0" quotePrefix="0" xfId="0">
      <alignment horizontal="right" vertical="center"/>
    </xf>
    <xf numFmtId="0" fontId="3" fillId="0" borderId="1" applyAlignment="1" pivotButton="0" quotePrefix="0" xfId="0">
      <alignment horizontal="right" vertical="center"/>
    </xf>
    <xf numFmtId="0" fontId="9" fillId="5" borderId="0" applyAlignment="1" pivotButton="0" quotePrefix="0" xfId="0">
      <alignment horizontal="left" vertical="center" wrapText="1" indent="1"/>
    </xf>
    <xf numFmtId="0" fontId="9" fillId="6" borderId="0" applyAlignment="1" pivotButton="0" quotePrefix="0" xfId="0">
      <alignment horizontal="left" vertical="center" wrapText="1" indent="1"/>
    </xf>
    <xf numFmtId="0" fontId="10" fillId="0" borderId="1" pivotButton="0" quotePrefix="0" xfId="0"/>
    <xf numFmtId="3" fontId="3" fillId="0" borderId="1" applyAlignment="1" pivotButton="0" quotePrefix="0" xfId="0">
      <alignment horizontal="center" vertical="center"/>
    </xf>
    <xf numFmtId="0" fontId="9" fillId="0" borderId="1" pivotButton="0" quotePrefix="0" xfId="0"/>
    <xf numFmtId="9" fontId="3" fillId="0" borderId="1" applyAlignment="1" pivotButton="0" quotePrefix="0" xfId="0">
      <alignment horizontal="center" vertical="center"/>
    </xf>
    <xf numFmtId="164" fontId="3" fillId="0" borderId="1" applyAlignment="1" pivotButton="0" quotePrefix="0" xfId="0">
      <alignment horizontal="center" vertical="center"/>
    </xf>
    <xf numFmtId="166" fontId="3" fillId="0" borderId="1" applyAlignment="1" pivotButton="0" quotePrefix="0" xfId="0">
      <alignment horizontal="center" vertical="center"/>
    </xf>
    <xf numFmtId="2" fontId="0" fillId="0" borderId="1" applyAlignment="1" pivotButton="0" quotePrefix="0" xfId="0">
      <alignment horizontal="center" vertical="center"/>
    </xf>
    <xf numFmtId="0" fontId="3" fillId="0" borderId="1" applyAlignment="1" pivotButton="0" quotePrefix="0" xfId="0">
      <alignment horizontal="center" vertical="center"/>
    </xf>
    <xf numFmtId="0" fontId="10" fillId="0" borderId="1" applyAlignment="1" pivotButton="0" quotePrefix="0" xfId="0">
      <alignment vertical="center" wrapText="1"/>
    </xf>
    <xf numFmtId="164" fontId="0" fillId="0" borderId="1" applyAlignment="1" pivotButton="0" quotePrefix="0" xfId="0">
      <alignment horizontal="right" vertical="center"/>
    </xf>
    <xf numFmtId="0" fontId="11" fillId="4" borderId="1" pivotButton="0" quotePrefix="0" xfId="0"/>
    <xf numFmtId="164" fontId="11" fillId="4" borderId="1" applyAlignment="1" pivotButton="0" quotePrefix="0" xfId="0">
      <alignment horizontal="right" vertical="center"/>
    </xf>
    <xf numFmtId="0" fontId="8" fillId="0" borderId="1" applyAlignment="1" pivotButton="0" quotePrefix="0" xfId="0">
      <alignment horizontal="center" vertical="center"/>
    </xf>
    <xf numFmtId="3" fontId="0" fillId="0" borderId="1" applyAlignment="1" pivotButton="0" quotePrefix="0" xfId="0">
      <alignment horizontal="center" vertical="center"/>
    </xf>
    <xf numFmtId="0" fontId="4" fillId="3" borderId="0" applyAlignment="1" pivotButton="0" quotePrefix="0" xfId="0">
      <alignment horizontal="center" vertical="center"/>
    </xf>
    <xf numFmtId="0" fontId="12" fillId="4" borderId="1" applyAlignment="1" pivotButton="0" quotePrefix="0" xfId="0">
      <alignment horizontal="center" vertical="center" wrapText="1"/>
    </xf>
    <xf numFmtId="0" fontId="12" fillId="4" borderId="1" applyAlignment="1" pivotButton="0" quotePrefix="0" xfId="0">
      <alignment horizontal="center" vertical="center"/>
    </xf>
    <xf numFmtId="0" fontId="5" fillId="4" borderId="1" applyAlignment="1" pivotButton="0" quotePrefix="0" xfId="0">
      <alignment horizontal="left" vertical="center" wrapText="1"/>
    </xf>
    <xf numFmtId="0" fontId="13" fillId="0" borderId="0" pivotButton="0" quotePrefix="0" xfId="0"/>
    <xf numFmtId="0" fontId="14" fillId="0" borderId="1" pivotButton="0" quotePrefix="0" xfId="0"/>
    <xf numFmtId="164" fontId="15" fillId="0" borderId="1" applyAlignment="1" pivotButton="0" quotePrefix="0" xfId="0">
      <alignment horizontal="right" vertical="center"/>
    </xf>
    <xf numFmtId="0" fontId="13" fillId="0" borderId="1" applyAlignment="1" pivotButton="0" quotePrefix="0" xfId="0">
      <alignment horizontal="center" vertical="center"/>
    </xf>
    <xf numFmtId="0" fontId="4" fillId="2" borderId="1" pivotButton="0" quotePrefix="0" xfId="0"/>
    <xf numFmtId="164" fontId="4" fillId="2" borderId="1" applyAlignment="1" pivotButton="0" quotePrefix="0" xfId="0">
      <alignment horizontal="right" vertical="center"/>
    </xf>
    <xf numFmtId="9" fontId="13" fillId="0" borderId="0" applyAlignment="1" pivotButton="0" quotePrefix="0" xfId="0">
      <alignment horizontal="right" vertical="center"/>
    </xf>
    <xf numFmtId="0" fontId="6" fillId="0" borderId="0" pivotButton="0" quotePrefix="0" xfId="0"/>
    <xf numFmtId="9" fontId="0" fillId="0" borderId="1" applyAlignment="1" pivotButton="0" quotePrefix="0" xfId="0">
      <alignment horizontal="center" vertical="center"/>
    </xf>
    <xf numFmtId="0" fontId="9" fillId="0" borderId="1" applyAlignment="1" pivotButton="0" quotePrefix="0" xfId="0">
      <alignment vertical="center" wrapText="1"/>
    </xf>
    <xf numFmtId="9" fontId="11" fillId="4" borderId="1" applyAlignment="1" pivotButton="0" quotePrefix="0" xfId="0">
      <alignment horizontal="center" vertical="center"/>
    </xf>
    <xf numFmtId="0" fontId="17" fillId="0" borderId="1" pivotButton="0" quotePrefix="0" xfId="0"/>
    <xf numFmtId="164" fontId="18" fillId="0" borderId="1" applyAlignment="1" pivotButton="0" quotePrefix="0" xfId="0">
      <alignment horizontal="right" vertical="center"/>
    </xf>
    <xf numFmtId="0" fontId="10" fillId="0" borderId="1" applyAlignment="1" pivotButton="0" quotePrefix="0" xfId="0">
      <alignment horizontal="center" vertical="center" wrapText="1"/>
    </xf>
    <xf numFmtId="164" fontId="10" fillId="0" borderId="1" applyAlignment="1" pivotButton="0" quotePrefix="0" xfId="0">
      <alignment horizontal="center" vertical="center" wrapText="1"/>
    </xf>
    <xf numFmtId="9" fontId="10" fillId="0" borderId="1" applyAlignment="1" pivotButton="0" quotePrefix="0" xfId="0">
      <alignment horizontal="center" vertical="center" wrapText="1"/>
    </xf>
    <xf numFmtId="3" fontId="10" fillId="0" borderId="1" applyAlignment="1" pivotButton="0" quotePrefix="0" xfId="0">
      <alignment horizontal="center" vertical="center" wrapText="1"/>
    </xf>
    <xf numFmtId="9" fontId="3" fillId="0" borderId="1" applyAlignment="1" pivotButton="0" quotePrefix="0" xfId="0">
      <alignment horizontal="right" vertical="center"/>
    </xf>
    <xf numFmtId="0" fontId="9" fillId="0" borderId="1" applyAlignment="1" pivotButton="0" quotePrefix="0" xfId="0">
      <alignment horizontal="center" vertical="center"/>
    </xf>
    <xf numFmtId="0" fontId="19" fillId="2" borderId="1" pivotButton="0" quotePrefix="0" xfId="0"/>
    <xf numFmtId="164" fontId="19" fillId="2" borderId="1" applyAlignment="1" pivotButton="0" quotePrefix="0" xfId="0">
      <alignment horizontal="right" vertical="center"/>
    </xf>
    <xf numFmtId="0" fontId="20" fillId="0" borderId="0" pivotButton="0" quotePrefix="0" xfId="0"/>
    <xf numFmtId="0" fontId="21" fillId="7" borderId="1" applyAlignment="1" pivotButton="0" quotePrefix="0" xfId="0">
      <alignment horizontal="center" vertical="center"/>
    </xf>
    <xf numFmtId="166" fontId="0" fillId="0" borderId="1" applyAlignment="1" pivotButton="0" quotePrefix="0" xfId="0">
      <alignment horizontal="right" vertical="center"/>
    </xf>
    <xf numFmtId="3" fontId="0" fillId="0" borderId="1" applyAlignment="1" pivotButton="0" quotePrefix="0" xfId="0">
      <alignment horizontal="right" vertical="center"/>
    </xf>
    <xf numFmtId="0" fontId="11" fillId="4" borderId="1" applyAlignment="1" pivotButton="0" quotePrefix="0" xfId="0">
      <alignment horizontal="center" vertical="center"/>
    </xf>
    <xf numFmtId="0" fontId="11" fillId="8" borderId="1" pivotButton="0" quotePrefix="0" xfId="0"/>
    <xf numFmtId="164" fontId="11" fillId="8" borderId="1" applyAlignment="1" pivotButton="0" quotePrefix="0" xfId="0">
      <alignment horizontal="right" vertical="center"/>
    </xf>
    <xf numFmtId="0" fontId="4" fillId="2" borderId="1" applyAlignment="1" pivotButton="0" quotePrefix="0" xfId="0">
      <alignment horizontal="center" vertical="center"/>
    </xf>
    <xf numFmtId="165" fontId="18" fillId="0" borderId="1" applyAlignment="1" pivotButton="0" quotePrefix="0" xfId="0">
      <alignment horizontal="right" vertical="center"/>
    </xf>
    <xf numFmtId="0" fontId="13" fillId="0" borderId="1" applyAlignment="1" pivotButton="0" quotePrefix="0" xfId="0">
      <alignment vertical="center" indent="2"/>
    </xf>
    <xf numFmtId="164" fontId="13" fillId="0" borderId="1" applyAlignment="1" pivotButton="0" quotePrefix="0" xfId="0">
      <alignment horizontal="right" vertical="center"/>
    </xf>
    <xf numFmtId="0" fontId="13" fillId="0" borderId="0" applyAlignment="1" pivotButton="0" quotePrefix="0" xfId="0">
      <alignment horizontal="center" vertical="center"/>
    </xf>
    <xf numFmtId="3" fontId="18" fillId="0" borderId="1" applyAlignment="1" pivotButton="0" quotePrefix="0" xfId="0">
      <alignment horizontal="right" vertical="center"/>
    </xf>
    <xf numFmtId="164" fontId="22" fillId="0" borderId="1" applyAlignment="1" pivotButton="0" quotePrefix="0" xfId="0">
      <alignment horizontal="right" vertical="center"/>
    </xf>
    <xf numFmtId="167" fontId="0" fillId="0" borderId="1" applyAlignment="1" pivotButton="0" quotePrefix="0" xfId="0">
      <alignment horizontal="right" vertical="center"/>
    </xf>
    <xf numFmtId="164" fontId="9" fillId="0" borderId="1" applyAlignment="1" pivotButton="0" quotePrefix="0" xfId="0">
      <alignment horizontal="right" vertical="center"/>
    </xf>
    <xf numFmtId="165" fontId="11" fillId="4" borderId="1" applyAlignment="1" pivotButton="0" quotePrefix="0" xfId="0">
      <alignment horizontal="center" vertical="center"/>
    </xf>
    <xf numFmtId="0" fontId="23" fillId="0" borderId="0" pivotButton="0" quotePrefix="0" xfId="0"/>
    <xf numFmtId="4" fontId="4" fillId="2" borderId="1" applyAlignment="1" pivotButton="0" quotePrefix="0" xfId="0">
      <alignment horizontal="center" vertical="center"/>
    </xf>
    <xf numFmtId="0" fontId="2" fillId="0" borderId="0" pivotButton="0" quotePrefix="0" xfId="0"/>
    <xf numFmtId="0" fontId="7" fillId="0" borderId="1" pivotButton="0" quotePrefix="0" xfId="0"/>
    <xf numFmtId="0" fontId="7" fillId="0" borderId="1" applyAlignment="1" pivotButton="0" quotePrefix="0" xfId="0">
      <alignment horizontal="left" vertical="center"/>
    </xf>
    <xf numFmtId="0" fontId="10" fillId="0" borderId="1" applyAlignment="1" pivotButton="0" quotePrefix="0" xfId="0">
      <alignment horizontal="center" vertical="center"/>
    </xf>
    <xf numFmtId="165" fontId="22" fillId="0" borderId="1" applyAlignment="1" pivotButton="0" quotePrefix="0" xfId="0">
      <alignment horizontal="center" vertical="center"/>
    </xf>
    <xf numFmtId="165" fontId="3" fillId="0" borderId="1" applyAlignment="1" pivotButton="0" quotePrefix="0" xfId="0">
      <alignment horizontal="center" vertical="center"/>
    </xf>
    <xf numFmtId="0" fontId="10" fillId="9" borderId="1" applyAlignment="1" pivotButton="0" quotePrefix="0" xfId="0">
      <alignment horizontal="justify" vertical="top" wrapText="1" indent="1"/>
    </xf>
    <xf numFmtId="0" fontId="21" fillId="8" borderId="1" applyAlignment="1" pivotButton="0" quotePrefix="0" xfId="0">
      <alignment horizontal="center" vertical="center"/>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332"/>
    <outlinePr summaryBelow="1" summaryRight="1"/>
    <pageSetUpPr fitToPage="1"/>
  </sheetPr>
  <dimension ref="B2:E37"/>
  <sheetViews>
    <sheetView showGridLines="0" workbookViewId="0">
      <selection activeCell="A1" sqref="A1"/>
    </sheetView>
  </sheetViews>
  <sheetFormatPr baseColWidth="8" defaultRowHeight="15"/>
  <cols>
    <col width="2" customWidth="1" min="1" max="1"/>
    <col width="36" customWidth="1" min="2" max="2"/>
    <col width="62" customWidth="1" min="3" max="3"/>
    <col width="26" customWidth="1" min="4" max="4"/>
    <col width="26" customWidth="1" min="5" max="5"/>
  </cols>
  <sheetData>
    <row r="2" ht="26" customHeight="1">
      <c r="B2" s="1" t="inlineStr">
        <is>
          <t>TERRASENSE — EVALUACIÓN ECONÓMICA DEL PROYECTO</t>
        </is>
      </c>
    </row>
    <row r="3">
      <c r="B3" s="2" t="inlineStr">
        <is>
          <t>Inversiones, financiamiento, depreciación, amortización, estado de resultados, flujo de caja, VAN, TIR y Pay Back</t>
        </is>
      </c>
    </row>
    <row r="5">
      <c r="B5" s="3" t="inlineStr">
        <is>
          <t>NOMBRE ESTUDIANTES:</t>
        </is>
      </c>
      <c r="C5" t="inlineStr">
        <is>
          <t>Álvaro Villena</t>
        </is>
      </c>
    </row>
    <row r="6">
      <c r="B6" s="3" t="inlineStr">
        <is>
          <t>PROYECTO:</t>
        </is>
      </c>
      <c r="C6" t="inlineStr">
        <is>
          <t>TerraSense — Sistema IoT de diagnóstico agronómico prescriptivo</t>
        </is>
      </c>
    </row>
    <row r="7">
      <c r="B7" s="3" t="inlineStr">
        <is>
          <t>CARRERA:</t>
        </is>
      </c>
      <c r="C7" t="inlineStr">
        <is>
          <t>Ingeniería en Electrónica y Sistemas Inteligentes, INACAP</t>
        </is>
      </c>
    </row>
    <row r="8">
      <c r="B8" s="3" t="inlineStr">
        <is>
          <t>FUENTE DE LOS DATOS:</t>
        </is>
      </c>
      <c r="C8" t="inlineStr">
        <is>
          <t>README.md del proyecto, Sección XII (versión 3.0)</t>
        </is>
      </c>
    </row>
    <row r="9">
      <c r="B9" s="3" t="inlineStr">
        <is>
          <t>MONEDA:</t>
        </is>
      </c>
      <c r="C9" t="inlineStr">
        <is>
          <t>Pesos chilenos (CLP), valores netos sin IVA</t>
        </is>
      </c>
    </row>
    <row r="10">
      <c r="B10" s="3" t="inlineStr">
        <is>
          <t>HORIZONTE DE EVALUACIÓN:</t>
        </is>
      </c>
      <c r="C10" t="inlineStr">
        <is>
          <t>5 años, tasa de rentabilidad exigida 20 % anual</t>
        </is>
      </c>
    </row>
    <row r="12" ht="19" customHeight="1">
      <c r="B12" s="4" t="inlineStr">
        <is>
          <t>ÍNDICE DE LA PLANILLA</t>
        </is>
      </c>
    </row>
    <row r="13" ht="30" customHeight="1">
      <c r="B13" s="5" t="inlineStr">
        <is>
          <t>Hoja</t>
        </is>
      </c>
      <c r="C13" s="5" t="inlineStr">
        <is>
          <t>Contenido</t>
        </is>
      </c>
      <c r="D13" s="5" t="inlineStr">
        <is>
          <t>Cuadro de la planilla</t>
        </is>
      </c>
    </row>
    <row r="14" ht="24" customHeight="1">
      <c r="B14" s="6" t="inlineStr">
        <is>
          <t>PARÁMETROS</t>
        </is>
      </c>
      <c r="C14" s="7" t="inlineStr">
        <is>
          <t>Tabla maestra de supuestos: macro, precio, volumen, financiamiento y vidas útiles</t>
        </is>
      </c>
      <c r="D14" s="8" t="inlineStr">
        <is>
          <t>Base del modelo</t>
        </is>
      </c>
    </row>
    <row r="15" ht="24" customHeight="1">
      <c r="B15" s="6" t="inlineStr">
        <is>
          <t>COSTOS UNITARIOS</t>
        </is>
      </c>
      <c r="C15" s="7" t="inlineStr">
        <is>
          <t>BOM unitario, costo variable entregado y curva de costo por escala</t>
        </is>
      </c>
      <c r="D15" s="8" t="inlineStr">
        <is>
          <t>Insumo del Cuadro N° 2</t>
        </is>
      </c>
    </row>
    <row r="16" ht="24" customHeight="1">
      <c r="B16" s="6" t="inlineStr">
        <is>
          <t>INVERSIONES</t>
        </is>
      </c>
      <c r="C16" s="7" t="inlineStr">
        <is>
          <t>Inversión en capital de trabajo, activo nominal y activo fijo, con sus fuentes</t>
        </is>
      </c>
      <c r="D16" s="8" t="inlineStr">
        <is>
          <t>CUADRO N° 1</t>
        </is>
      </c>
    </row>
    <row r="17" ht="24" customHeight="1">
      <c r="B17" s="6" t="inlineStr">
        <is>
          <t>FINANCIAMIENTO</t>
        </is>
      </c>
      <c r="C17" s="7" t="inlineStr">
        <is>
          <t>Fuentes de financiamiento y condiciones del crédito (FOGAPE y corto plazo)</t>
        </is>
      </c>
      <c r="D17" s="8" t="inlineStr">
        <is>
          <t>CUADRO N° 1</t>
        </is>
      </c>
    </row>
    <row r="18" ht="24" customHeight="1">
      <c r="B18" s="6" t="inlineStr">
        <is>
          <t>AMORTIZACIÓN</t>
        </is>
      </c>
      <c r="C18" s="7" t="inlineStr">
        <is>
          <t>Amortización de ambos préstamos, sistema francés, y consolidado anual</t>
        </is>
      </c>
      <c r="D18" s="8" t="inlineStr">
        <is>
          <t>CUADRO N° 1</t>
        </is>
      </c>
    </row>
    <row r="19" ht="24" customHeight="1">
      <c r="B19" s="6" t="inlineStr">
        <is>
          <t>DEPRECIACIÓN</t>
        </is>
      </c>
      <c r="C19" s="7" t="inlineStr">
        <is>
          <t>Depreciación anual del activo fijo, ítem por ítem y por grupo</t>
        </is>
      </c>
      <c r="D19" s="8" t="inlineStr">
        <is>
          <t>CUADRO N° 1</t>
        </is>
      </c>
    </row>
    <row r="20" ht="24" customHeight="1">
      <c r="B20" s="6" t="inlineStr">
        <is>
          <t>ESTADO DE RESULTADOS</t>
        </is>
      </c>
      <c r="C20" s="7" t="inlineStr">
        <is>
          <t>Ingresos, costos y gastos operacionales del Año 1 (valor mes y valor año)</t>
        </is>
      </c>
      <c r="D20" s="8" t="inlineStr">
        <is>
          <t>CUADRO N° 2</t>
        </is>
      </c>
    </row>
    <row r="21" ht="24" customHeight="1">
      <c r="B21" s="6" t="inlineStr">
        <is>
          <t>GASTOS FIJOS 5 AÑOS</t>
        </is>
      </c>
      <c r="C21" s="7" t="inlineStr">
        <is>
          <t>Escalamiento de los gastos fijos a 5 años y punto de equilibrio por año</t>
        </is>
      </c>
      <c r="D21" s="8" t="inlineStr">
        <is>
          <t>Apoyo al Cuadro N° 3</t>
        </is>
      </c>
    </row>
    <row r="22" ht="24" customHeight="1">
      <c r="B22" s="6" t="inlineStr">
        <is>
          <t>PROYECCIÓN</t>
        </is>
      </c>
      <c r="C22" s="7" t="inlineStr">
        <is>
          <t>Estado de resultados proyectado, flujo de fondos, VAN, TIR y Pay Back</t>
        </is>
      </c>
      <c r="D22" s="8" t="inlineStr">
        <is>
          <t>CUADRO N° 3</t>
        </is>
      </c>
    </row>
    <row r="23" ht="24" customHeight="1">
      <c r="B23" s="6" t="inlineStr">
        <is>
          <t>SENSIBILIDAD</t>
        </is>
      </c>
      <c r="C23" s="7" t="inlineStr">
        <is>
          <t>Sensibilidad, punto de quiebre y VAN frente a la tasa de descuento</t>
        </is>
      </c>
      <c r="D23" s="8" t="inlineStr">
        <is>
          <t>Complemento</t>
        </is>
      </c>
    </row>
    <row r="24" ht="24" customHeight="1">
      <c r="B24" s="6" t="inlineStr">
        <is>
          <t>TOMA DE DECISIONES</t>
        </is>
      </c>
      <c r="C24" s="7" t="inlineStr">
        <is>
          <t>Toma de decisiones en base al VAN/TIR y en base al Pay Back</t>
        </is>
      </c>
      <c r="D24" s="8" t="inlineStr">
        <is>
          <t>Toma de decisiones</t>
        </is>
      </c>
    </row>
    <row r="25" ht="24" customHeight="1">
      <c r="B25" s="6" t="inlineStr">
        <is>
          <t>RÚBRICA</t>
        </is>
      </c>
      <c r="C25" s="7" t="inlineStr">
        <is>
          <t>Rúbrica de evaluación e instrucciones de entrega</t>
        </is>
      </c>
      <c r="D25" s="8" t="inlineStr">
        <is>
          <t>Referencia</t>
        </is>
      </c>
    </row>
    <row r="27" ht="19" customHeight="1">
      <c r="B27" s="4" t="inlineStr">
        <is>
          <t>RESULTADO DE LA EVALUACIÓN (todo calculado en la hoja PROYECCIÓN)</t>
        </is>
      </c>
    </row>
    <row r="28" ht="30" customHeight="1">
      <c r="B28" s="5" t="inlineStr">
        <is>
          <t>Indicador</t>
        </is>
      </c>
      <c r="C28" s="5" t="inlineStr">
        <is>
          <t>Valor</t>
        </is>
      </c>
      <c r="D28" s="5" t="inlineStr">
        <is>
          <t>Criterio</t>
        </is>
      </c>
      <c r="E28" s="5" t="inlineStr">
        <is>
          <t>Veredicto</t>
        </is>
      </c>
    </row>
    <row r="29">
      <c r="B29" s="9" t="inlineStr">
        <is>
          <t>Inversión inicial total</t>
        </is>
      </c>
      <c r="C29" s="10">
        <f>'INVERSIONES'!C37</f>
        <v/>
      </c>
      <c r="D29" s="11" t="inlineStr">
        <is>
          <t>—</t>
        </is>
      </c>
      <c r="E29" s="8" t="inlineStr">
        <is>
          <t>Financiada 37 % socios / 63 % banca</t>
        </is>
      </c>
    </row>
    <row r="30">
      <c r="B30" s="9" t="inlineStr">
        <is>
          <t>VAN (tasa exigida 20 %)</t>
        </is>
      </c>
      <c r="C30" s="10">
        <f>'PROYECCIÓN'!C35</f>
        <v/>
      </c>
      <c r="D30" s="11" t="inlineStr">
        <is>
          <t>VAN &gt; 0</t>
        </is>
      </c>
      <c r="E30" s="8">
        <f>IF('PROYECCIÓN'!C35&gt;0,"✔ Cumple","✘ No cumple a 5 años")</f>
        <v/>
      </c>
    </row>
    <row r="31">
      <c r="B31" s="9" t="inlineStr">
        <is>
          <t>TIR</t>
        </is>
      </c>
      <c r="C31" s="12">
        <f>'PROYECCIÓN'!C37</f>
        <v/>
      </c>
      <c r="D31" s="11" t="inlineStr">
        <is>
          <t>TIR &gt; 20 %</t>
        </is>
      </c>
      <c r="E31" s="8">
        <f>IF('PROYECCIÓN'!C37&gt;'PROYECCIÓN'!C30,"✔ Cumple","✘ No cumple, pero es positiva")</f>
        <v/>
      </c>
    </row>
    <row r="32">
      <c r="B32" s="9" t="inlineStr">
        <is>
          <t>Pay Back</t>
        </is>
      </c>
      <c r="C32" s="13">
        <f>'PROYECCIÓN'!C41</f>
        <v/>
      </c>
      <c r="D32" s="11" t="inlineStr">
        <is>
          <t>≤ 5 años</t>
        </is>
      </c>
      <c r="E32" s="8">
        <f>IF('PROYECCIÓN'!C41&lt;=5,"✔ Cumple, sin holgura","✘ No cumple")</f>
        <v/>
      </c>
    </row>
    <row r="33">
      <c r="B33" s="9" t="inlineStr">
        <is>
          <t>Punto de equilibrio Año 1 (unidades)</t>
        </is>
      </c>
      <c r="C33" s="14">
        <f>'GASTOS FIJOS 5 AÑOS'!C29</f>
        <v/>
      </c>
      <c r="D33" s="11" t="inlineStr">
        <is>
          <t>&lt; 200 u planificadas</t>
        </is>
      </c>
      <c r="E33" s="8">
        <f>IF('GASTOS FIJOS 5 AÑOS'!C29&lt;'GASTOS FIJOS 5 AÑOS'!C23,"✔ Holgura del "&amp;TEXT('GASTOS FIJOS 5 AÑOS'!C30,"0%"),"✘ No cumple")</f>
        <v/>
      </c>
    </row>
    <row r="34">
      <c r="B34" s="9" t="inlineStr">
        <is>
          <t>Utilidad neta de todos los años</t>
        </is>
      </c>
      <c r="C34" s="15">
        <f>IF(MIN('PROYECCIÓN'!D17:H17)&gt;0,"Positiva desde el Año 1","Hay años con pérdida")</f>
        <v/>
      </c>
      <c r="D34" s="11" t="inlineStr">
        <is>
          <t>Sin años de pérdida</t>
        </is>
      </c>
      <c r="E34" s="8">
        <f>IF(MIN('PROYECCIÓN'!D17:H17)&gt;0,"✔ Cumple","✘ No cumple")</f>
        <v/>
      </c>
    </row>
    <row r="36" ht="24" customHeight="1">
      <c r="B36" s="16" t="inlineStr">
        <is>
          <t>Planilla íntegramente formulada. Los únicos valores digitados están en PARÁMETROS, COSTOS UNITARIOS, INVERSIONES y GASTOS FIJOS 5 AÑOS; el resto se encadena hasta el VAN. Cambiar un supuesto en PARÁMETROS recalcula toda la evaluación.</t>
        </is>
      </c>
    </row>
    <row r="37" ht="24" customHeight="1">
      <c r="B37" s="17" t="inlineStr">
        <is>
          <t>Se declara sin maquillarlo, igual que en el informe: a 5 años y 20 % el VAN es negativo. El proyecto se acepta bajo el horizonte de 8 a 10 años que los propios socios declararon aceptable, no bajo el criterio estándar de la planilla.</t>
        </is>
      </c>
    </row>
  </sheetData>
  <mergeCells count="6">
    <mergeCell ref="B27:E27"/>
    <mergeCell ref="B12:E12"/>
    <mergeCell ref="B3:E3"/>
    <mergeCell ref="B2:E2"/>
    <mergeCell ref="B37:E37"/>
    <mergeCell ref="B36:E36"/>
  </mergeCells>
  <pageMargins left="0.75" right="0.75" top="1" bottom="1" header="0.5" footer="0.5"/>
  <pageSetup orientation="landscape" fitToHeight="0" fitToWidth="1"/>
  <headerFooter>
    <oddHeader>&amp;LTerraSense — Evaluación económica del proyecto</oddHeader>
    <oddFooter>&amp;RPágina &amp;P de &amp;N</oddFooter>
    <evenHeader/>
    <evenFooter/>
    <firstHeader/>
    <firstFooter/>
  </headerFooter>
</worksheet>
</file>

<file path=xl/worksheets/sheet2.xml><?xml version="1.0" encoding="utf-8"?>
<worksheet xmlns="http://schemas.openxmlformats.org/spreadsheetml/2006/main">
  <sheetPr>
    <tabColor rgb="0074C69D"/>
    <outlinePr summaryBelow="1" summaryRight="1"/>
    <pageSetUpPr fitToPage="1"/>
  </sheetPr>
  <dimension ref="B2:H50"/>
  <sheetViews>
    <sheetView showGridLines="0" workbookViewId="0">
      <selection activeCell="A1" sqref="A1"/>
    </sheetView>
  </sheetViews>
  <sheetFormatPr baseColWidth="8" defaultRowHeight="15"/>
  <cols>
    <col width="2" customWidth="1" min="1" max="1"/>
    <col width="58" customWidth="1" min="2" max="2"/>
    <col width="18" customWidth="1" min="3" max="3"/>
    <col width="16" customWidth="1" min="4" max="4"/>
    <col width="16" customWidth="1" min="5" max="5"/>
    <col width="16" customWidth="1" min="6" max="6"/>
    <col width="16" customWidth="1" min="7" max="7"/>
    <col width="52" customWidth="1" min="8" max="8"/>
  </cols>
  <sheetData>
    <row r="2" ht="26" customHeight="1">
      <c r="B2" s="1" t="inlineStr">
        <is>
          <t>TABLA MAESTRA DE PARÁMETROS DEL MODELO</t>
        </is>
      </c>
    </row>
    <row r="3">
      <c r="B3" s="2" t="inlineStr">
        <is>
          <t>README XII.1 · Modificar un valor de esta hoja propaga el cambio a toda la planilla</t>
        </is>
      </c>
    </row>
    <row r="4" ht="19" customHeight="1">
      <c r="B4" s="4" t="inlineStr">
        <is>
          <t>1. SUPUESTOS MACROECONÓMICOS Y TRIBUTARIOS</t>
        </is>
      </c>
    </row>
    <row r="5" ht="30" customHeight="1">
      <c r="B5" s="5" t="inlineStr">
        <is>
          <t>Parámetro</t>
        </is>
      </c>
      <c r="C5" s="5" t="inlineStr">
        <is>
          <t>Valor adoptado</t>
        </is>
      </c>
      <c r="H5" s="5" t="inlineStr">
        <is>
          <t>Origen</t>
        </is>
      </c>
    </row>
    <row r="6">
      <c r="B6" s="18" t="inlineStr">
        <is>
          <t>Tipo de cambio (CLP/USD)</t>
        </is>
      </c>
      <c r="C6" s="19" t="n">
        <v>915</v>
      </c>
      <c r="H6" s="20" t="inlineStr">
        <is>
          <t>Dólar observado, Banco Central de Chile [35]</t>
        </is>
      </c>
    </row>
    <row r="7">
      <c r="B7" s="18" t="inlineStr">
        <is>
          <t>IVA</t>
        </is>
      </c>
      <c r="C7" s="21" t="n">
        <v>0.19</v>
      </c>
      <c r="H7" s="20" t="inlineStr">
        <is>
          <t>SII [34]</t>
        </is>
      </c>
    </row>
    <row r="8">
      <c r="B8" s="18" t="inlineStr">
        <is>
          <t>Impuesto de primera categoría (Régimen Pro Pyme General)</t>
        </is>
      </c>
      <c r="C8" s="21" t="n">
        <v>0.25</v>
      </c>
      <c r="H8" s="20" t="inlineStr">
        <is>
          <t>SII [57]</t>
        </is>
      </c>
    </row>
    <row r="9">
      <c r="B9" s="18" t="inlineStr">
        <is>
          <t>Arancel de importación sobre valor FOB</t>
        </is>
      </c>
      <c r="C9" s="21" t="n">
        <v>0.06</v>
      </c>
      <c r="H9" s="20" t="inlineStr">
        <is>
          <t>Aduanas [32]</t>
        </is>
      </c>
    </row>
    <row r="10">
      <c r="B10" s="18" t="inlineStr">
        <is>
          <t>Tasa de rentabilidad exigida / de descuento (r)</t>
        </is>
      </c>
      <c r="C10" s="21" t="n">
        <v>0.2</v>
      </c>
      <c r="H10" s="20" t="inlineStr">
        <is>
          <t>Tasa exigida por la planilla de evaluación</t>
        </is>
      </c>
    </row>
    <row r="11">
      <c r="B11" s="18" t="inlineStr">
        <is>
          <t>Margen mínimo exigido sobre costo total</t>
        </is>
      </c>
      <c r="C11" s="21" t="n">
        <v>0.3</v>
      </c>
      <c r="H11" s="20" t="inlineStr">
        <is>
          <t>Restricción de negocio del proyecto</t>
        </is>
      </c>
    </row>
    <row r="12">
      <c r="B12" s="18" t="inlineStr">
        <is>
          <t>Horizonte de evaluación (años)</t>
        </is>
      </c>
      <c r="C12" s="19" t="n">
        <v>5</v>
      </c>
      <c r="H12" s="20" t="inlineStr">
        <is>
          <t>Planilla de evaluación económica</t>
        </is>
      </c>
    </row>
    <row r="14" ht="19" customHeight="1">
      <c r="B14" s="4" t="inlineStr">
        <is>
          <t>2. PRODUCTO, PRECIO Y COSTOS UNITARIOS DE REFERENCIA</t>
        </is>
      </c>
    </row>
    <row r="15" ht="30" customHeight="1">
      <c r="B15" s="5" t="inlineStr">
        <is>
          <t>Parámetro</t>
        </is>
      </c>
      <c r="C15" s="5" t="inlineStr">
        <is>
          <t>Valor adoptado</t>
        </is>
      </c>
      <c r="H15" s="5" t="inlineStr">
        <is>
          <t>Origen</t>
        </is>
      </c>
    </row>
    <row r="16">
      <c r="B16" s="18" t="inlineStr">
        <is>
          <t>Precio de venta con IVA (techo declarado del negocio)</t>
        </is>
      </c>
      <c r="C16" s="22" t="n">
        <v>249990</v>
      </c>
      <c r="H16" s="20" t="inlineStr">
        <is>
          <t>Decisión de negocio, verificada contra la competencia (XI.3)</t>
        </is>
      </c>
    </row>
    <row r="17">
      <c r="B17" s="18" t="inlineStr">
        <is>
          <t>Precio de venta NETO (sin IVA)</t>
        </is>
      </c>
      <c r="C17" s="22">
        <f>ROUND(C16/(1+C7),0)</f>
        <v/>
      </c>
      <c r="H17" s="20" t="inlineStr">
        <is>
          <t>precio con IVA ÷ (1 + IVA)</t>
        </is>
      </c>
    </row>
    <row r="18">
      <c r="B18" s="18" t="inlineStr">
        <is>
          <t>Merma y scrap</t>
        </is>
      </c>
      <c r="C18" s="21" t="n">
        <v>0.03</v>
      </c>
      <c r="H18" s="20" t="inlineStr">
        <is>
          <t>Estimación propia</t>
        </is>
      </c>
    </row>
    <row r="19">
      <c r="B19" s="18" t="inlineStr">
        <is>
          <t>Provisión de garantía legal, 6 meses</t>
        </is>
      </c>
      <c r="C19" s="21" t="n">
        <v>0.05</v>
      </c>
      <c r="H19" s="20" t="inlineStr">
        <is>
          <t>Ley 21.398 [24]</t>
        </is>
      </c>
    </row>
    <row r="20">
      <c r="B20" s="18" t="inlineStr">
        <is>
          <t>Mano de obra directa: horas de ensamblaje y QA por unidad</t>
        </is>
      </c>
      <c r="C20" s="23" t="n">
        <v>1.5</v>
      </c>
      <c r="H20" s="20" t="inlineStr">
        <is>
          <t>XI.6 — subió desde 1,2 h por la sonda de mayor costo y el sellado adicional</t>
        </is>
      </c>
    </row>
    <row r="21">
      <c r="B21" s="18" t="inlineStr">
        <is>
          <t>Valor hora de mano de obra directa</t>
        </is>
      </c>
      <c r="C21" s="22" t="n">
        <v>6000</v>
      </c>
      <c r="H21" s="20" t="inlineStr">
        <is>
          <t>Estimación propia</t>
        </is>
      </c>
    </row>
    <row r="22">
      <c r="B22" s="18" t="inlineStr">
        <is>
          <t>Flete nacional al cliente, por unidad (Bluexpress)</t>
        </is>
      </c>
      <c r="C22" s="22" t="n">
        <v>6000</v>
      </c>
      <c r="H22" s="20" t="inlineStr">
        <is>
          <t>Tarifa referencial ~$4.500 + IVA por kg</t>
        </is>
      </c>
    </row>
    <row r="24" ht="19" customHeight="1">
      <c r="B24" s="4" t="inlineStr">
        <is>
          <t>3. VOLUMEN PROYECTADO Y CURVA DE ESCALA</t>
        </is>
      </c>
    </row>
    <row r="25" ht="30" customHeight="1">
      <c r="B25" s="5" t="inlineStr">
        <is>
          <t>Parámetro</t>
        </is>
      </c>
      <c r="C25" s="5" t="inlineStr">
        <is>
          <t>Año 1</t>
        </is>
      </c>
      <c r="D25" s="5" t="inlineStr">
        <is>
          <t>Año 2</t>
        </is>
      </c>
      <c r="E25" s="5" t="inlineStr">
        <is>
          <t>Año 3</t>
        </is>
      </c>
      <c r="F25" s="5" t="inlineStr">
        <is>
          <t>Año 4</t>
        </is>
      </c>
      <c r="G25" s="5" t="inlineStr">
        <is>
          <t>Año 5</t>
        </is>
      </c>
      <c r="H25" s="5" t="inlineStr">
        <is>
          <t>Origen</t>
        </is>
      </c>
    </row>
    <row r="26">
      <c r="B26" s="9" t="inlineStr">
        <is>
          <t>Unidades planificadas</t>
        </is>
      </c>
      <c r="C26" s="19" t="n">
        <v>200</v>
      </c>
      <c r="D26" s="19" t="n">
        <v>350</v>
      </c>
      <c r="E26" s="19" t="n">
        <v>500</v>
      </c>
      <c r="F26" s="19" t="n">
        <v>650</v>
      </c>
      <c r="G26" s="19" t="n">
        <v>850</v>
      </c>
      <c r="H26" s="20" t="inlineStr">
        <is>
          <t>XI.1 — 200 u equivalen al 0,17 % del mercado servible</t>
        </is>
      </c>
    </row>
    <row r="27">
      <c r="B27" s="18" t="inlineStr">
        <is>
          <t>Factor de costo variable por escala</t>
        </is>
      </c>
      <c r="C27" s="24" t="n">
        <v>1</v>
      </c>
      <c r="D27" s="24" t="n">
        <v>0.97</v>
      </c>
      <c r="E27" s="24" t="n">
        <v>0.9399999999999999</v>
      </c>
      <c r="F27" s="24" t="n">
        <v>0.92</v>
      </c>
      <c r="G27" s="24" t="n">
        <v>0.9</v>
      </c>
      <c r="H27" s="20" t="inlineStr">
        <is>
          <t>XII.2.3 — NRE prorrateado, quiebres de precio y flete consolidado</t>
        </is>
      </c>
    </row>
    <row r="29" ht="19" customHeight="1">
      <c r="B29" s="4" t="inlineStr">
        <is>
          <t>4. FINANCIAMIENTO</t>
        </is>
      </c>
    </row>
    <row r="30" ht="30" customHeight="1">
      <c r="B30" s="5" t="inlineStr">
        <is>
          <t>Parámetro</t>
        </is>
      </c>
      <c r="C30" s="5" t="inlineStr">
        <is>
          <t>Valor adoptado</t>
        </is>
      </c>
      <c r="H30" s="5" t="inlineStr">
        <is>
          <t>Naturaleza</t>
        </is>
      </c>
    </row>
    <row r="31">
      <c r="B31" s="18" t="inlineStr">
        <is>
          <t>Inversión inicial total del proyecto</t>
        </is>
      </c>
      <c r="C31" s="22">
        <f>'INVERSIONES'!C37</f>
        <v/>
      </c>
      <c r="H31" s="20" t="inlineStr">
        <is>
          <t>Calculada en la hoja INVERSIONES</t>
        </is>
      </c>
    </row>
    <row r="32">
      <c r="B32" s="18" t="inlineStr">
        <is>
          <t>Pie de los socios (2 × $4.450.000, aporte propio)</t>
        </is>
      </c>
      <c r="C32" s="22" t="n">
        <v>8900000</v>
      </c>
      <c r="H32" s="20" t="inlineStr">
        <is>
          <t>Compromiso de capital que el banco exige ver antes de aprobar</t>
        </is>
      </c>
    </row>
    <row r="33">
      <c r="B33" s="18" t="inlineStr">
        <is>
          <t>Crédito bancario de largo plazo</t>
        </is>
      </c>
      <c r="C33" s="22" t="n">
        <v>10000000</v>
      </c>
      <c r="H33" s="20" t="inlineStr">
        <is>
          <t>Crédito PYME con garantía estatal FOGAPE</t>
        </is>
      </c>
    </row>
    <row r="34">
      <c r="B34" s="18" t="inlineStr">
        <is>
          <t xml:space="preserve">     Tasa de interés anual, largo plazo</t>
        </is>
      </c>
      <c r="C34" s="21" t="n">
        <v>0.1</v>
      </c>
      <c r="H34" s="20" t="inlineStr">
        <is>
          <t>Crédito PYME con garantía FOGAPE</t>
        </is>
      </c>
    </row>
    <row r="35">
      <c r="B35" s="18" t="inlineStr">
        <is>
          <t xml:space="preserve">     Plazo del crédito de largo plazo (años)</t>
        </is>
      </c>
      <c r="C35" s="19" t="n">
        <v>5</v>
      </c>
      <c r="H35" s="20" t="inlineStr">
        <is>
          <t>5 años</t>
        </is>
      </c>
    </row>
    <row r="36">
      <c r="B36" s="18" t="inlineStr">
        <is>
          <t>Línea de crédito de corto plazo</t>
        </is>
      </c>
      <c r="C36" s="22" t="n">
        <v>5000000</v>
      </c>
      <c r="H36" s="20" t="inlineStr">
        <is>
          <t>Cubre el desfase de caja del primer lote</t>
        </is>
      </c>
    </row>
    <row r="37">
      <c r="B37" s="18" t="inlineStr">
        <is>
          <t xml:space="preserve">     Tasa de interés anual, corto plazo</t>
        </is>
      </c>
      <c r="C37" s="21" t="n">
        <v>0.23</v>
      </c>
      <c r="H37" s="20" t="inlineStr">
        <is>
          <t>Línea de capital de trabajo</t>
        </is>
      </c>
    </row>
    <row r="38">
      <c r="B38" s="18" t="inlineStr">
        <is>
          <t xml:space="preserve">     Plazo de la línea de corto plazo (años)</t>
        </is>
      </c>
      <c r="C38" s="19" t="n">
        <v>1</v>
      </c>
      <c r="H38" s="20" t="inlineStr">
        <is>
          <t>Se paga íntegra dentro del Año 1</t>
        </is>
      </c>
    </row>
    <row r="39">
      <c r="B39" s="18" t="inlineStr">
        <is>
          <t>Sistema de amortización</t>
        </is>
      </c>
      <c r="C39" s="25" t="inlineStr">
        <is>
          <t>Francés (cuota total constante)</t>
        </is>
      </c>
      <c r="H39" s="20" t="inlineStr">
        <is>
          <t>XII.3.4</t>
        </is>
      </c>
    </row>
    <row r="40">
      <c r="B40" s="18" t="inlineStr">
        <is>
          <t>Financiamiento del Estado (subsidio no reembolsable)</t>
        </is>
      </c>
      <c r="C40" s="22" t="n">
        <v>0</v>
      </c>
      <c r="H40" s="20" t="inlineStr">
        <is>
          <t>Por decisión explícita: el proyecto no depende de un fondo CORFO</t>
        </is>
      </c>
    </row>
    <row r="42" ht="19" customHeight="1">
      <c r="B42" s="4" t="inlineStr">
        <is>
          <t>5. ACTIVO FIJO, DEPRECIACIÓN Y REMUNERACIONES</t>
        </is>
      </c>
    </row>
    <row r="43" ht="30" customHeight="1">
      <c r="B43" s="5" t="inlineStr">
        <is>
          <t>Parámetro</t>
        </is>
      </c>
      <c r="C43" s="5" t="inlineStr">
        <is>
          <t>Valor adoptado</t>
        </is>
      </c>
      <c r="H43" s="5" t="inlineStr">
        <is>
          <t>Origen</t>
        </is>
      </c>
    </row>
    <row r="44">
      <c r="B44" s="18" t="inlineStr">
        <is>
          <t>Vida útil — equipamiento técnico e informático (años)</t>
        </is>
      </c>
      <c r="C44" s="19" t="n">
        <v>6</v>
      </c>
      <c r="H44" s="20" t="inlineStr">
        <is>
          <t>Tabla de vida útil de bienes físicos del SII [59]</t>
        </is>
      </c>
    </row>
    <row r="45">
      <c r="B45" s="18" t="inlineStr">
        <is>
          <t>Vida útil — mobiliario de taller y almacenamiento (años)</t>
        </is>
      </c>
      <c r="C45" s="19" t="n">
        <v>7</v>
      </c>
      <c r="H45" s="20" t="inlineStr">
        <is>
          <t>Tabla de vida útil de bienes físicos del SII [59]</t>
        </is>
      </c>
    </row>
    <row r="46">
      <c r="B46" s="18" t="inlineStr">
        <is>
          <t>Valor residual del activo fijo</t>
        </is>
      </c>
      <c r="C46" s="22" t="n">
        <v>0</v>
      </c>
      <c r="H46" s="20" t="inlineStr">
        <is>
          <t>Supuesto del modelo</t>
        </is>
      </c>
    </row>
    <row r="47">
      <c r="B47" s="18" t="inlineStr">
        <is>
          <t>Sueldo empresarial por socio, Año 1 (IMM bruto mensual)</t>
        </is>
      </c>
      <c r="C47" s="22" t="n">
        <v>553553</v>
      </c>
      <c r="H47" s="20" t="inlineStr">
        <is>
          <t>Ingreso Mínimo Mensual vigente desde mayo de 2026</t>
        </is>
      </c>
    </row>
    <row r="48">
      <c r="B48" s="18" t="inlineStr">
        <is>
          <t>Socios fundadores con sueldo desde el mes 1</t>
        </is>
      </c>
      <c r="C48" s="19" t="n">
        <v>2</v>
      </c>
      <c r="H48" s="20" t="inlineStr">
        <is>
          <t>Condición impuesta: ningún año sin retiro</t>
        </is>
      </c>
    </row>
    <row r="50" ht="24" customHeight="1">
      <c r="B50" s="16" t="inlineStr">
        <is>
          <t>Los tres supuestos que reconstruyeron este modelo (XII.1): la sonda de suelo cuesta $48.000 y no $16.500; los dos socios se pagan el IMM desde el mes 1; y el financiamiento es pie de los socios más crédito bancario, sin subsidio estatal.</t>
        </is>
      </c>
    </row>
  </sheetData>
  <mergeCells count="8">
    <mergeCell ref="B14:H14"/>
    <mergeCell ref="B50:H50"/>
    <mergeCell ref="B4:H4"/>
    <mergeCell ref="B24:H24"/>
    <mergeCell ref="B2:H2"/>
    <mergeCell ref="B29:H29"/>
    <mergeCell ref="B42:H42"/>
    <mergeCell ref="B3:H3"/>
  </mergeCells>
  <pageMargins left="0.75" right="0.75" top="1" bottom="1" header="0.5" footer="0.5"/>
  <pageSetup orientation="landscape" fitToHeight="0" fitToWidth="1"/>
  <headerFooter>
    <oddHeader>&amp;LTerraSense — Evaluación económica del proyecto</oddHeader>
    <oddFooter>&amp;RPágina &amp;P de &amp;N</oddFooter>
    <evenHeader/>
    <evenFooter/>
    <firstHeader/>
    <firstFooter/>
  </headerFooter>
</worksheet>
</file>

<file path=xl/worksheets/sheet3.xml><?xml version="1.0" encoding="utf-8"?>
<worksheet xmlns="http://schemas.openxmlformats.org/spreadsheetml/2006/main">
  <sheetPr>
    <tabColor rgb="0074C69D"/>
    <outlinePr summaryBelow="1" summaryRight="1"/>
    <pageSetUpPr fitToPage="1"/>
  </sheetPr>
  <dimension ref="B2:F40"/>
  <sheetViews>
    <sheetView showGridLines="0" workbookViewId="0">
      <selection activeCell="A1" sqref="A1"/>
    </sheetView>
  </sheetViews>
  <sheetFormatPr baseColWidth="8" defaultRowHeight="15"/>
  <cols>
    <col width="2" customWidth="1" min="1" max="1"/>
    <col width="60" customWidth="1" min="2" max="2"/>
    <col width="46" customWidth="1" min="3" max="3"/>
    <col width="18" customWidth="1" min="4" max="4"/>
    <col width="18" customWidth="1" min="5" max="5"/>
    <col width="46" customWidth="1" min="6" max="6"/>
  </cols>
  <sheetData>
    <row r="2" ht="26" customHeight="1">
      <c r="B2" s="1" t="inlineStr">
        <is>
          <t>ESTRUCTURA DE COSTOS UNITARIOS</t>
        </is>
      </c>
    </row>
    <row r="3">
      <c r="B3" s="2" t="inlineStr">
        <is>
          <t>README XII.2 · 100 % SMD, componentes cotizados en LCSC y PCBA en JLCPCB</t>
        </is>
      </c>
    </row>
    <row r="4" ht="19" customHeight="1">
      <c r="B4" s="4" t="inlineStr">
        <is>
          <t>1. LISTA DE MATERIALES (BOM) UNITARIA</t>
        </is>
      </c>
    </row>
    <row r="5" ht="30" customHeight="1">
      <c r="B5" s="5" t="inlineStr">
        <is>
          <t>Componente</t>
        </is>
      </c>
      <c r="C5" s="5" t="inlineStr">
        <is>
          <t>Fuente / detalle</t>
        </is>
      </c>
      <c r="D5" s="5" t="inlineStr">
        <is>
          <t>Costo unitario $</t>
        </is>
      </c>
    </row>
    <row r="6">
      <c r="B6" s="26" t="inlineStr">
        <is>
          <t>ESP32-WROOM-32E-N4, BME280, SP3485, TP4056, MT3608, Si2301 + pasivos</t>
        </is>
      </c>
      <c r="C6" s="20" t="inlineStr">
        <is>
          <t>LCSC, precio unitario a pieza suelta</t>
        </is>
      </c>
      <c r="D6" s="27" t="n">
        <v>6711</v>
      </c>
    </row>
    <row r="7">
      <c r="B7" s="26" t="inlineStr">
        <is>
          <t>PCB de 2 capas + ensamblaje SMT + NRE prorrateado</t>
        </is>
      </c>
      <c r="C7" s="20" t="inlineStr">
        <is>
          <t>JLCPCB turnkey</t>
        </is>
      </c>
      <c r="D7" s="27" t="n">
        <v>2229</v>
      </c>
    </row>
    <row r="8">
      <c r="B8" s="26" t="inlineStr">
        <is>
          <t>Flete internacional + arancel del 6 %</t>
        </is>
      </c>
      <c r="C8" s="20" t="inlineStr">
        <is>
          <t>Courier consolidado sobre el lote electrónico</t>
        </is>
      </c>
      <c r="D8" s="27" t="n">
        <v>1183</v>
      </c>
    </row>
    <row r="9">
      <c r="B9" s="26" t="inlineStr">
        <is>
          <t>2× celda 18650 de 3.000 mAh + portacelda + fusible</t>
        </is>
      </c>
      <c r="C9" s="20" t="inlineStr">
        <is>
          <t>Cotización de mercado</t>
        </is>
      </c>
      <c r="D9" s="27" t="n">
        <v>4510</v>
      </c>
    </row>
    <row r="10">
      <c r="B10" s="26" t="inlineStr">
        <is>
          <t>USB-C sellado, rocker, pulsador PAIR, prensaestopas M12, O-ring, insertos M3</t>
        </is>
      </c>
      <c r="C10" s="20" t="inlineStr">
        <is>
          <t>Cotización de mercado</t>
        </is>
      </c>
      <c r="D10" s="27" t="n">
        <v>3250</v>
      </c>
    </row>
    <row r="11">
      <c r="B11" s="26" t="inlineStr">
        <is>
          <t>Filamento PETG (118 g) + energía de impresión</t>
        </is>
      </c>
      <c r="C11" s="20" t="inlineStr">
        <is>
          <t>Inversión y consumo propios (estimación)</t>
        </is>
      </c>
      <c r="D11" s="27" t="n">
        <v>2273</v>
      </c>
    </row>
    <row r="12">
      <c r="B12" s="26" t="inlineStr">
        <is>
          <t>Empaque: caja, manual, espuma y desecante</t>
        </is>
      </c>
      <c r="C12" s="20" t="inlineStr">
        <is>
          <t>Estimación propia</t>
        </is>
      </c>
      <c r="D12" s="27" t="n">
        <v>2500</v>
      </c>
    </row>
    <row r="13">
      <c r="B13" s="26" t="inlineStr">
        <is>
          <t>Sonda de suelo 7-en-1 RS-485, acero inoxidable 316L</t>
        </is>
      </c>
      <c r="C13" s="20" t="inlineStr">
        <is>
          <t>Cotización real de mercado</t>
        </is>
      </c>
      <c r="D13" s="27" t="n">
        <v>48000</v>
      </c>
    </row>
    <row r="14">
      <c r="B14" s="28" t="inlineStr">
        <is>
          <t>BOM TOTAL</t>
        </is>
      </c>
      <c r="C14" s="28" t="n"/>
      <c r="D14" s="29">
        <f>SUM(D6:D13)</f>
        <v/>
      </c>
    </row>
    <row r="15" ht="36" customHeight="1">
      <c r="B15" s="16" t="inlineStr">
        <is>
          <t>El BOM subió de $43.773 a $70.656 (+61 %) casi enteramente por la sonda ($16.500 → $48.000, la cifra real de mercado). La electrónica en sí bajó al pasar todo a componentes SMD cotizados directo en LCSC en vez de módulos premontados.</t>
        </is>
      </c>
    </row>
    <row r="17" ht="19" customHeight="1">
      <c r="B17" s="4" t="inlineStr">
        <is>
          <t>2. DEL BOM AL COSTO VARIABLE UNITARIO ENTREGADO (AÑO 1)</t>
        </is>
      </c>
    </row>
    <row r="18" ht="30" customHeight="1">
      <c r="B18" s="5" t="inlineStr">
        <is>
          <t>Concepto</t>
        </is>
      </c>
      <c r="C18" s="5" t="inlineStr">
        <is>
          <t>Cálculo</t>
        </is>
      </c>
      <c r="D18" s="5" t="inlineStr">
        <is>
          <t>Monto $</t>
        </is>
      </c>
    </row>
    <row r="19">
      <c r="B19" s="18" t="inlineStr">
        <is>
          <t>BOM</t>
        </is>
      </c>
      <c r="C19" s="20" t="inlineStr">
        <is>
          <t>Total del cuadro 1</t>
        </is>
      </c>
      <c r="D19" s="27">
        <f>D14</f>
        <v/>
      </c>
    </row>
    <row r="20">
      <c r="B20" s="18" t="inlineStr">
        <is>
          <t>(+) Flete nacional al cliente (Bluexpress)</t>
        </is>
      </c>
      <c r="C20" s="20" t="inlineStr">
        <is>
          <t>Parámetro</t>
        </is>
      </c>
      <c r="D20" s="27">
        <f>'PARÁMETROS'!C22</f>
        <v/>
      </c>
    </row>
    <row r="21">
      <c r="B21" s="18" t="inlineStr">
        <is>
          <t>(+) Merma y scrap (3 %)</t>
        </is>
      </c>
      <c r="C21" s="20" t="inlineStr">
        <is>
          <t>BOM × 3 %</t>
        </is>
      </c>
      <c r="D21" s="27">
        <f>ROUND(D19*'PARÁMETROS'!C18,0)</f>
        <v/>
      </c>
    </row>
    <row r="22">
      <c r="B22" s="18" t="inlineStr">
        <is>
          <t>(+) Provisión de garantía legal, 6 meses (5 %)</t>
        </is>
      </c>
      <c r="C22" s="20" t="inlineStr">
        <is>
          <t>BOM × 5 %</t>
        </is>
      </c>
      <c r="D22" s="27">
        <f>ROUND(D19*'PARÁMETROS'!C19,0)</f>
        <v/>
      </c>
    </row>
    <row r="23">
      <c r="B23" s="18" t="inlineStr">
        <is>
          <t>(+) Mano de obra directa: ensamblaje, QA y calibración</t>
        </is>
      </c>
      <c r="C23" s="20" t="inlineStr">
        <is>
          <t>1,5 h × $6.000 por hora</t>
        </is>
      </c>
      <c r="D23" s="27">
        <f>'PARÁMETROS'!C20*'PARÁMETROS'!C21</f>
        <v/>
      </c>
    </row>
    <row r="24">
      <c r="B24" s="28" t="inlineStr">
        <is>
          <t>(=) COSTO VARIABLE UNITARIO — AÑO 1</t>
        </is>
      </c>
      <c r="C24" s="28" t="n"/>
      <c r="D24" s="29">
        <f>SUM(D19:D23)</f>
        <v/>
      </c>
    </row>
    <row r="25" ht="24" customHeight="1">
      <c r="B25" s="16" t="inlineStr">
        <is>
          <t>El IVA de importación no es un costo: se compensa como crédito fiscal contra el IVA débito de las ventas. Todo el modelo trabaja en valores netos, sin IVA, tanto en ingresos como en costos.</t>
        </is>
      </c>
    </row>
    <row r="27" ht="19" customHeight="1">
      <c r="B27" s="4" t="inlineStr">
        <is>
          <t>3. CURVA DE COSTO VARIABLE UNITARIO POR ESCALA</t>
        </is>
      </c>
    </row>
    <row r="28" ht="30" customHeight="1">
      <c r="B28" s="5" t="inlineStr">
        <is>
          <t>Año</t>
        </is>
      </c>
      <c r="C28" s="5" t="inlineStr">
        <is>
          <t>Unidades planificadas</t>
        </is>
      </c>
      <c r="D28" s="5" t="inlineStr">
        <is>
          <t>Factor</t>
        </is>
      </c>
      <c r="E28" s="5" t="inlineStr">
        <is>
          <t>Costo variable unitario $</t>
        </is>
      </c>
      <c r="F28" s="5" t="inlineStr">
        <is>
          <t>Origen de la reducción</t>
        </is>
      </c>
    </row>
    <row r="29">
      <c r="B29" s="30" t="inlineStr">
        <is>
          <t>Año 1</t>
        </is>
      </c>
      <c r="C29" s="31">
        <f>'PARÁMETROS'!C26</f>
        <v/>
      </c>
      <c r="D29" s="24">
        <f>'PARÁMETROS'!C27</f>
        <v/>
      </c>
      <c r="E29" s="10">
        <f>ROUND($D$24*D29,0)</f>
        <v/>
      </c>
      <c r="F29" s="20" t="inlineStr">
        <is>
          <t>Sin reducción — es el costo base del Año 1</t>
        </is>
      </c>
    </row>
    <row r="30">
      <c r="B30" s="30" t="inlineStr">
        <is>
          <t>Año 2</t>
        </is>
      </c>
      <c r="C30" s="31">
        <f>'PARÁMETROS'!D26</f>
        <v/>
      </c>
      <c r="D30" s="24">
        <f>'PARÁMETROS'!D27</f>
        <v/>
      </c>
      <c r="E30" s="10">
        <f>ROUND($D$24*D30,0)</f>
        <v/>
      </c>
      <c r="F30" s="20" t="inlineStr">
        <is>
          <t>NRE de PCB amortizado en un lote mayor</t>
        </is>
      </c>
    </row>
    <row r="31">
      <c r="B31" s="30" t="inlineStr">
        <is>
          <t>Año 3</t>
        </is>
      </c>
      <c r="C31" s="31">
        <f>'PARÁMETROS'!E26</f>
        <v/>
      </c>
      <c r="D31" s="24">
        <f>'PARÁMETROS'!E27</f>
        <v/>
      </c>
      <c r="E31" s="10">
        <f>ROUND($D$24*D31,0)</f>
        <v/>
      </c>
      <c r="F31" s="20" t="inlineStr">
        <is>
          <t>Quiebres de precio por volumen en componentes LCSC</t>
        </is>
      </c>
    </row>
    <row r="32">
      <c r="B32" s="30" t="inlineStr">
        <is>
          <t>Año 4</t>
        </is>
      </c>
      <c r="C32" s="31">
        <f>'PARÁMETROS'!F26</f>
        <v/>
      </c>
      <c r="D32" s="24">
        <f>'PARÁMETROS'!F27</f>
        <v/>
      </c>
      <c r="E32" s="10">
        <f>ROUND($D$24*D32,0)</f>
        <v/>
      </c>
      <c r="F32" s="20" t="inlineStr">
        <is>
          <t>Consolidación de flete en lotes mayores</t>
        </is>
      </c>
    </row>
    <row r="33">
      <c r="B33" s="30" t="inlineStr">
        <is>
          <t>Año 5</t>
        </is>
      </c>
      <c r="C33" s="31">
        <f>'PARÁMETROS'!G26</f>
        <v/>
      </c>
      <c r="D33" s="24">
        <f>'PARÁMETROS'!G27</f>
        <v/>
      </c>
      <c r="E33" s="10">
        <f>ROUND($D$24*D33,0)</f>
        <v/>
      </c>
      <c r="F33" s="20" t="inlineStr">
        <is>
          <t>Negociación directa con el proveedor de la sonda</t>
        </is>
      </c>
    </row>
    <row r="35" ht="19" customHeight="1">
      <c r="B35" s="4" t="inlineStr">
        <is>
          <t>4. DESGLOSE DEL COSTO VARIABLE UNITARIO PARA EL CUADRO N° 2</t>
        </is>
      </c>
    </row>
    <row r="36" ht="30" customHeight="1">
      <c r="B36" s="5" t="inlineStr">
        <is>
          <t>Componente del costo variable</t>
        </is>
      </c>
      <c r="C36" s="5" t="inlineStr">
        <is>
          <t>Clasificación en el Cuadro N° 2</t>
        </is>
      </c>
      <c r="D36" s="5" t="inlineStr">
        <is>
          <t>Monto unitario $</t>
        </is>
      </c>
    </row>
    <row r="37">
      <c r="B37" s="18" t="inlineStr">
        <is>
          <t>Materiales directos (BOM)</t>
        </is>
      </c>
      <c r="C37" s="20" t="inlineStr">
        <is>
          <t>Costo operacional — materiales directos</t>
        </is>
      </c>
      <c r="D37" s="27">
        <f>D14</f>
        <v/>
      </c>
    </row>
    <row r="38">
      <c r="B38" s="18" t="inlineStr">
        <is>
          <t>Flete nacional, merma y provisión de garantía legal</t>
        </is>
      </c>
      <c r="C38" s="20" t="inlineStr">
        <is>
          <t>Costo operacional — otros costos variables</t>
        </is>
      </c>
      <c r="D38" s="27">
        <f>D20+D21+D22</f>
        <v/>
      </c>
    </row>
    <row r="39">
      <c r="B39" s="18" t="inlineStr">
        <is>
          <t>Mano de obra directa (ensamblaje, QA y calibración)</t>
        </is>
      </c>
      <c r="C39" s="20" t="inlineStr">
        <is>
          <t>Costo operacional — mano de obra directa</t>
        </is>
      </c>
      <c r="D39" s="27">
        <f>D23</f>
        <v/>
      </c>
    </row>
    <row r="40">
      <c r="B40" s="28" t="inlineStr">
        <is>
          <t>TOTAL COSTO VARIABLE UNITARIO</t>
        </is>
      </c>
      <c r="C40" s="28" t="n"/>
      <c r="D40" s="29">
        <f>SUM(D37:D39)</f>
        <v/>
      </c>
    </row>
  </sheetData>
  <mergeCells count="8">
    <mergeCell ref="B4:F4"/>
    <mergeCell ref="B2:F2"/>
    <mergeCell ref="B3:F3"/>
    <mergeCell ref="B15:D15"/>
    <mergeCell ref="B25:D25"/>
    <mergeCell ref="B17:F17"/>
    <mergeCell ref="B27:F27"/>
    <mergeCell ref="B35:F35"/>
  </mergeCells>
  <pageMargins left="0.75" right="0.75" top="1" bottom="1" header="0.5" footer="0.5"/>
  <pageSetup orientation="landscape" fitToHeight="0" fitToWidth="1"/>
  <headerFooter>
    <oddHeader>&amp;LTerraSense — Evaluación económica del proyecto</oddHeader>
    <oddFooter>&amp;RPágina &amp;P de &amp;N</oddFooter>
    <evenHeader/>
    <evenFooter/>
    <firstHeader/>
    <firstFooter/>
  </headerFooter>
</worksheet>
</file>

<file path=xl/worksheets/sheet4.xml><?xml version="1.0" encoding="utf-8"?>
<worksheet xmlns="http://schemas.openxmlformats.org/spreadsheetml/2006/main">
  <sheetPr>
    <tabColor rgb="002D6A4F"/>
    <outlinePr summaryBelow="1" summaryRight="1"/>
    <pageSetUpPr fitToPage="1"/>
  </sheetPr>
  <dimension ref="B2:H48"/>
  <sheetViews>
    <sheetView showGridLines="0" workbookViewId="0">
      <selection activeCell="A1" sqref="A1"/>
    </sheetView>
  </sheetViews>
  <sheetFormatPr baseColWidth="8" defaultRowHeight="15"/>
  <cols>
    <col width="2" customWidth="1" min="1" max="1"/>
    <col width="66" customWidth="1" min="2" max="2"/>
    <col width="17" customWidth="1" min="3" max="3"/>
    <col width="15" customWidth="1" min="4" max="4"/>
    <col width="15" customWidth="1" min="5" max="5"/>
    <col width="15" customWidth="1" min="6" max="6"/>
    <col width="15" customWidth="1" min="7" max="7"/>
    <col width="17" customWidth="1" min="8" max="8"/>
  </cols>
  <sheetData>
    <row r="2" ht="26" customHeight="1">
      <c r="B2" s="1" t="inlineStr">
        <is>
          <t>CUADRO N° 1 — INVERSIONES DEL PROYECTO</t>
        </is>
      </c>
    </row>
    <row r="3">
      <c r="B3" s="2" t="inlineStr">
        <is>
          <t>Álvaro Villena · Inversión inicial clasificada y sus fuentes de financiamiento (README XII.3)</t>
        </is>
      </c>
    </row>
    <row r="5">
      <c r="D5" s="32" t="inlineStr">
        <is>
          <t>FUENTES DE FINANCIAMIENTO</t>
        </is>
      </c>
    </row>
    <row r="6" ht="30" customHeight="1">
      <c r="D6" s="33" t="inlineStr">
        <is>
          <t>FINANCIAMIENTO DEL ESTADO</t>
        </is>
      </c>
      <c r="E6" s="34" t="inlineStr">
        <is>
          <t>CAPITAL</t>
        </is>
      </c>
      <c r="F6" s="33" t="inlineStr">
        <is>
          <t>FINANCIAMIENTO EXTERNO — INSTITUCIONES FINANCIERAS</t>
        </is>
      </c>
      <c r="H6" s="34" t="inlineStr">
        <is>
          <t>TOTAL</t>
        </is>
      </c>
    </row>
    <row r="7" ht="30" customHeight="1">
      <c r="B7" s="35" t="inlineStr">
        <is>
          <t>INVERSIÓN INICIAL EN:</t>
        </is>
      </c>
      <c r="C7" s="5" t="inlineStr">
        <is>
          <t>MONTO $</t>
        </is>
      </c>
      <c r="D7" s="5" t="inlineStr">
        <is>
          <t>(no aplica)</t>
        </is>
      </c>
      <c r="E7" s="5" t="inlineStr">
        <is>
          <t>PROPIO — PIE DE LOS 2 SOCIOS</t>
        </is>
      </c>
      <c r="F7" s="5" t="inlineStr">
        <is>
          <t>CORTO PLAZO</t>
        </is>
      </c>
      <c r="G7" s="5" t="inlineStr">
        <is>
          <t>LARGO PLAZO</t>
        </is>
      </c>
      <c r="H7" s="5" t="inlineStr">
        <is>
          <t>FINANCIAMIENTO $</t>
        </is>
      </c>
    </row>
    <row r="9" ht="19" customHeight="1">
      <c r="B9" s="4" t="inlineStr">
        <is>
          <t>(A) INVERSIÓN INICIAL EN CAPITAL DE TRABAJO Y ACTIVO NOMINAL</t>
        </is>
      </c>
    </row>
    <row r="10">
      <c r="B10" s="36" t="inlineStr">
        <is>
          <t>Dinero para cubrir la puesta en marcha: constitución de la empresa, ensayos, patentes, marca y primer lote</t>
        </is>
      </c>
    </row>
    <row r="11">
      <c r="B11" s="18" t="inlineStr">
        <is>
          <t>Constitución de la SpA (2 socios, vía Empresa en un Día) + firma electrónica + certificado SII</t>
        </is>
      </c>
      <c r="C11" s="27" t="n">
        <v>150000</v>
      </c>
    </row>
    <row r="12">
      <c r="B12" s="18" t="inlineStr">
        <is>
          <t>Ensayos de contraste agronómico en laboratorio (30 muestras)</t>
        </is>
      </c>
      <c r="C12" s="27" t="n">
        <v>900000</v>
      </c>
    </row>
    <row r="13">
      <c r="B13" s="18" t="inlineStr">
        <is>
          <t>Ensayos externos de estanqueidad IP67 y compatibilidad electromagnética</t>
        </is>
      </c>
      <c r="C13" s="27" t="n">
        <v>1500000</v>
      </c>
    </row>
    <row r="14">
      <c r="B14" s="18" t="inlineStr">
        <is>
          <t>Sitio web, identidad de marca y material comercial</t>
        </is>
      </c>
      <c r="C14" s="27" t="n">
        <v>450000</v>
      </c>
    </row>
    <row r="15">
      <c r="B15" s="18" t="inlineStr">
        <is>
          <t>Patrones de calibración (buffers de pH y EC 1.413 µS/cm)</t>
        </is>
      </c>
      <c r="C15" s="27" t="n">
        <v>120000</v>
      </c>
    </row>
    <row r="16">
      <c r="B16" s="18" t="inlineStr">
        <is>
          <t>Herramienta menor, tornillería, insertos y consumibles</t>
        </is>
      </c>
      <c r="C16" s="27" t="n">
        <v>150000</v>
      </c>
    </row>
    <row r="17">
      <c r="B17" s="18" t="inlineStr">
        <is>
          <t>Lote piloto de validación (10 unidades preserie × costo variable unitario)</t>
        </is>
      </c>
      <c r="C17" s="27">
        <f>10*'COSTOS UNITARIOS'!$D$24</f>
        <v/>
      </c>
    </row>
    <row r="18">
      <c r="B18" s="37" t="inlineStr">
        <is>
          <t>Subtotal activo nominal</t>
        </is>
      </c>
      <c r="C18" s="38">
        <f>SUM(C11:C17)</f>
        <v/>
      </c>
    </row>
    <row r="19" ht="26" customHeight="1">
      <c r="B19" s="26" t="inlineStr">
        <is>
          <t>Capital de trabajo (≈3 meses de gasto fijo pleno + primer lote de 100 unidades pagado por adelantado)</t>
        </is>
      </c>
      <c r="C19" s="27" t="n">
        <v>14806910</v>
      </c>
    </row>
    <row r="20">
      <c r="B20" s="28" t="inlineStr">
        <is>
          <t>TOTAL CAPITAL DE TRABAJO Y ACTIVO NOMINAL   (A)</t>
        </is>
      </c>
      <c r="C20" s="29">
        <f>C18+C19</f>
        <v/>
      </c>
      <c r="D20" s="29">
        <f>'PARÁMETROS'!C40</f>
        <v/>
      </c>
      <c r="E20" s="29">
        <f>'PARÁMETROS'!C32</f>
        <v/>
      </c>
      <c r="F20" s="29">
        <f>'PARÁMETROS'!C36</f>
        <v/>
      </c>
      <c r="G20" s="29">
        <f>'PARÁMETROS'!C33-G35</f>
        <v/>
      </c>
      <c r="H20" s="29">
        <f>SUM(D20:G20)</f>
        <v/>
      </c>
    </row>
    <row r="22" ht="19" customHeight="1">
      <c r="B22" s="4" t="inlineStr">
        <is>
          <t>(B) INVERSIÓN INICIAL EN ACTIVO FIJO</t>
        </is>
      </c>
    </row>
    <row r="23">
      <c r="B23" s="36" t="inlineStr">
        <is>
          <t>No hay terrenos, construcciones ni vehículos: la producción cabe en la casa de los dos socios y la logística se resuelve por Bluexpress</t>
        </is>
      </c>
    </row>
    <row r="24">
      <c r="B24" s="18" t="inlineStr">
        <is>
          <t>Impresora 3D FDM principal, cámara cerrada</t>
        </is>
      </c>
      <c r="C24" s="27" t="n">
        <v>900000</v>
      </c>
      <c r="D24" s="39" t="inlineStr">
        <is>
          <t>Equipamiento</t>
        </is>
      </c>
    </row>
    <row r="25">
      <c r="B25" s="18" t="inlineStr">
        <is>
          <t>Impresora 3D FDM secundaria (redundancia operacional)</t>
        </is>
      </c>
      <c r="C25" s="27" t="n">
        <v>450000</v>
      </c>
      <c r="D25" s="39" t="inlineStr">
        <is>
          <t>Equipamiento</t>
        </is>
      </c>
    </row>
    <row r="26">
      <c r="B26" s="18" t="inlineStr">
        <is>
          <t>Secador de filamento y almacenamiento estanco</t>
        </is>
      </c>
      <c r="C26" s="27" t="n">
        <v>80000</v>
      </c>
      <c r="D26" s="39" t="inlineStr">
        <is>
          <t>Equipamiento</t>
        </is>
      </c>
    </row>
    <row r="27">
      <c r="B27" s="18" t="inlineStr">
        <is>
          <t>Estación de soldadura, aire caliente y microscopio USB</t>
        </is>
      </c>
      <c r="C27" s="27" t="n">
        <v>240000</v>
      </c>
      <c r="D27" s="39" t="inlineStr">
        <is>
          <t>Equipamiento</t>
        </is>
      </c>
    </row>
    <row r="28">
      <c r="B28" s="18" t="inlineStr">
        <is>
          <t>Fuente de poder programable y multímetro de banco</t>
        </is>
      </c>
      <c r="C28" s="27" t="n">
        <v>250000</v>
      </c>
      <c r="D28" s="39" t="inlineStr">
        <is>
          <t>Equipamiento</t>
        </is>
      </c>
    </row>
    <row r="29">
      <c r="B29" s="18" t="inlineStr">
        <is>
          <t>Osciloscopio de 100 MHz, 2 canales</t>
        </is>
      </c>
      <c r="C29" s="27" t="n">
        <v>400000</v>
      </c>
      <c r="D29" s="39" t="inlineStr">
        <is>
          <t>Equipamiento</t>
        </is>
      </c>
    </row>
    <row r="30">
      <c r="B30" s="18" t="inlineStr">
        <is>
          <t>Analizador lógico, programador y sonda de corriente de µA</t>
        </is>
      </c>
      <c r="C30" s="27" t="n">
        <v>160000</v>
      </c>
      <c r="D30" s="39" t="inlineStr">
        <is>
          <t>Equipamiento</t>
        </is>
      </c>
    </row>
    <row r="31">
      <c r="B31" s="18" t="inlineStr">
        <is>
          <t>Banco de ensayo IP67 (columna de 1 m + cámara de polvo)</t>
        </is>
      </c>
      <c r="C31" s="27" t="n">
        <v>180000</v>
      </c>
      <c r="D31" s="39" t="inlineStr">
        <is>
          <t>Equipamiento</t>
        </is>
      </c>
    </row>
    <row r="32">
      <c r="B32" s="18" t="inlineStr">
        <is>
          <t>Instrumento patrón de laboratorio (pH/EC)</t>
        </is>
      </c>
      <c r="C32" s="27" t="n">
        <v>350000</v>
      </c>
      <c r="D32" s="39" t="inlineStr">
        <is>
          <t>Equipamiento</t>
        </is>
      </c>
    </row>
    <row r="33">
      <c r="B33" s="18" t="inlineStr">
        <is>
          <t>2× notebook y puesto de desarrollo (uno por socio)</t>
        </is>
      </c>
      <c r="C33" s="27" t="n">
        <v>1600000</v>
      </c>
      <c r="D33" s="39" t="inlineStr">
        <is>
          <t>Equipamiento</t>
        </is>
      </c>
    </row>
    <row r="34">
      <c r="B34" s="18" t="inlineStr">
        <is>
          <t>Mobiliario de taller y almacenamiento (casa de ambos socios)</t>
        </is>
      </c>
      <c r="C34" s="27" t="n">
        <v>300000</v>
      </c>
      <c r="D34" s="39" t="inlineStr">
        <is>
          <t>Mobiliario</t>
        </is>
      </c>
    </row>
    <row r="35">
      <c r="B35" s="28" t="inlineStr">
        <is>
          <t>TOTAL ACTIVO FIJO   (B)</t>
        </is>
      </c>
      <c r="C35" s="29">
        <f>SUM(C24:C34)</f>
        <v/>
      </c>
      <c r="D35" s="28" t="n"/>
      <c r="E35" s="28" t="n"/>
      <c r="F35" s="28" t="n"/>
      <c r="G35" s="29">
        <f>C35</f>
        <v/>
      </c>
      <c r="H35" s="29">
        <f>SUM(D35:G35)</f>
        <v/>
      </c>
    </row>
    <row r="37" ht="22" customHeight="1">
      <c r="B37" s="40" t="inlineStr">
        <is>
          <t>TOTAL INVERSIÓN INICIAL   (A) + (B)</t>
        </is>
      </c>
      <c r="C37" s="41">
        <f>C20+C35</f>
        <v/>
      </c>
      <c r="D37" s="41">
        <f>D20+D35</f>
        <v/>
      </c>
      <c r="E37" s="41">
        <f>E20+E35</f>
        <v/>
      </c>
      <c r="F37" s="41">
        <f>F20+F35</f>
        <v/>
      </c>
      <c r="G37" s="41">
        <f>G20+G35</f>
        <v/>
      </c>
      <c r="H37" s="41">
        <f>H20+H35</f>
        <v/>
      </c>
    </row>
    <row r="38">
      <c r="B38" s="36" t="inlineStr">
        <is>
          <t>Participación de cada fuente en el financiamiento</t>
        </is>
      </c>
      <c r="D38" s="42">
        <f>D37/$C$37</f>
        <v/>
      </c>
      <c r="E38" s="42">
        <f>E37/$C$37</f>
        <v/>
      </c>
      <c r="F38" s="42">
        <f>F37/$C$37</f>
        <v/>
      </c>
      <c r="G38" s="42">
        <f>G37/$C$37</f>
        <v/>
      </c>
      <c r="H38" s="42">
        <f>H37/$C$37</f>
        <v/>
      </c>
    </row>
    <row r="39">
      <c r="B39" s="43">
        <f>IF(H37=C37,"✔ VERIFICACIÓN: el financiamiento cubre exactamente la inversión inicial ("&amp;TEXT(C37,"$#,##0")&amp;")","✘ DESCUADRE entre inversión y financiamiento")</f>
        <v/>
      </c>
    </row>
    <row r="41" ht="19" customHeight="1">
      <c r="B41" s="4" t="inlineStr">
        <is>
          <t>MEMORIA DE CÁLCULO — RESUMEN (el detalle está en las hojas FINANCIAMIENTO, AMORTIZACIÓN y DEPRECIACIÓN)</t>
        </is>
      </c>
    </row>
    <row r="42" ht="30" customHeight="1">
      <c r="B42" s="5" t="inlineStr">
        <is>
          <t>Concepto</t>
        </is>
      </c>
      <c r="C42" s="5" t="inlineStr">
        <is>
          <t>Año 1</t>
        </is>
      </c>
      <c r="D42" s="5" t="inlineStr">
        <is>
          <t>Año 2</t>
        </is>
      </c>
      <c r="E42" s="5" t="inlineStr">
        <is>
          <t>Año 3</t>
        </is>
      </c>
      <c r="F42" s="5" t="inlineStr">
        <is>
          <t>Año 4</t>
        </is>
      </c>
      <c r="G42" s="5" t="inlineStr">
        <is>
          <t>Año 5</t>
        </is>
      </c>
      <c r="H42" s="5" t="inlineStr">
        <is>
          <t>Total 5 años</t>
        </is>
      </c>
    </row>
    <row r="43">
      <c r="B43" s="18" t="inlineStr">
        <is>
          <t>Amortización de intereses (costo financiero)</t>
        </is>
      </c>
      <c r="C43" s="27">
        <f>'AMORTIZACIÓN'!C30</f>
        <v/>
      </c>
      <c r="D43" s="27">
        <f>'AMORTIZACIÓN'!D30</f>
        <v/>
      </c>
      <c r="E43" s="27">
        <f>'AMORTIZACIÓN'!E30</f>
        <v/>
      </c>
      <c r="F43" s="27">
        <f>'AMORTIZACIÓN'!F30</f>
        <v/>
      </c>
      <c r="G43" s="27">
        <f>'AMORTIZACIÓN'!G30</f>
        <v/>
      </c>
      <c r="H43" s="10">
        <f>SUM(C43:G43)</f>
        <v/>
      </c>
    </row>
    <row r="44">
      <c r="B44" s="18" t="inlineStr">
        <is>
          <t>Amortización de la cuota de capital</t>
        </is>
      </c>
      <c r="C44" s="27">
        <f>'AMORTIZACIÓN'!C31</f>
        <v/>
      </c>
      <c r="D44" s="27">
        <f>'AMORTIZACIÓN'!D31</f>
        <v/>
      </c>
      <c r="E44" s="27">
        <f>'AMORTIZACIÓN'!E31</f>
        <v/>
      </c>
      <c r="F44" s="27">
        <f>'AMORTIZACIÓN'!F31</f>
        <v/>
      </c>
      <c r="G44" s="27">
        <f>'AMORTIZACIÓN'!G31</f>
        <v/>
      </c>
      <c r="H44" s="10">
        <f>SUM(C44:G44)</f>
        <v/>
      </c>
    </row>
    <row r="45">
      <c r="B45" s="18" t="inlineStr">
        <is>
          <t>Cuota total pagada al banco (salida de caja)</t>
        </is>
      </c>
      <c r="C45" s="27">
        <f>'AMORTIZACIÓN'!C32</f>
        <v/>
      </c>
      <c r="D45" s="27">
        <f>'AMORTIZACIÓN'!D32</f>
        <v/>
      </c>
      <c r="E45" s="27">
        <f>'AMORTIZACIÓN'!E32</f>
        <v/>
      </c>
      <c r="F45" s="27">
        <f>'AMORTIZACIÓN'!F32</f>
        <v/>
      </c>
      <c r="G45" s="27">
        <f>'AMORTIZACIÓN'!G32</f>
        <v/>
      </c>
      <c r="H45" s="10">
        <f>SUM(C45:G45)</f>
        <v/>
      </c>
    </row>
    <row r="46">
      <c r="B46" s="18" t="inlineStr">
        <is>
          <t>Cuota de depreciación anual del activo fijo</t>
        </is>
      </c>
      <c r="C46" s="27">
        <f>'DEPRECIACIÓN'!$E$23</f>
        <v/>
      </c>
      <c r="D46" s="27">
        <f>'DEPRECIACIÓN'!$E$23</f>
        <v/>
      </c>
      <c r="E46" s="27">
        <f>'DEPRECIACIÓN'!$E$23</f>
        <v/>
      </c>
      <c r="F46" s="27">
        <f>'DEPRECIACIÓN'!$E$23</f>
        <v/>
      </c>
      <c r="G46" s="27">
        <f>'DEPRECIACIÓN'!$E$23</f>
        <v/>
      </c>
      <c r="H46" s="10">
        <f>SUM(C46:G46)</f>
        <v/>
      </c>
    </row>
    <row r="48" ht="24" customHeight="1">
      <c r="B48" s="16" t="inlineStr">
        <is>
          <t>El Año 1 concentra una carga de deuda pesada porque la línea de corto plazo se paga entera ese año: es la contrapartida directa de financiar el 21 % de la inversión con deuda cara, y la razón por la que el capital de trabajo se dimensionó con holgura.</t>
        </is>
      </c>
    </row>
  </sheetData>
  <mergeCells count="8">
    <mergeCell ref="B22:H22"/>
    <mergeCell ref="B9:H9"/>
    <mergeCell ref="B41:H41"/>
    <mergeCell ref="D5:H5"/>
    <mergeCell ref="B2:H2"/>
    <mergeCell ref="F6:G6"/>
    <mergeCell ref="B48:H48"/>
    <mergeCell ref="B3:H3"/>
  </mergeCells>
  <pageMargins left="0.75" right="0.75" top="1" bottom="1" header="0.5" footer="0.5"/>
  <pageSetup orientation="landscape" fitToHeight="0" fitToWidth="1"/>
  <headerFooter>
    <oddHeader>&amp;LTerraSense — Evaluación económica del proyecto</oddHeader>
    <oddFooter>&amp;RPágina &amp;P de &amp;N</oddFooter>
    <evenHeader/>
    <evenFooter/>
    <firstHeader/>
    <firstFooter/>
  </headerFooter>
</worksheet>
</file>

<file path=xl/worksheets/sheet5.xml><?xml version="1.0" encoding="utf-8"?>
<worksheet xmlns="http://schemas.openxmlformats.org/spreadsheetml/2006/main">
  <sheetPr>
    <tabColor rgb="002D6A4F"/>
    <outlinePr summaryBelow="1" summaryRight="1"/>
    <pageSetUpPr fitToPage="1"/>
  </sheetPr>
  <dimension ref="B2:F29"/>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8" customWidth="1" min="5" max="5"/>
    <col width="60" customWidth="1" min="6" max="6"/>
  </cols>
  <sheetData>
    <row r="2" ht="26" customHeight="1">
      <c r="B2" s="1" t="inlineStr">
        <is>
          <t>FUENTES DE FINANCIAMIENTO Y CONDICIONES DEL CRÉDITO</t>
        </is>
      </c>
    </row>
    <row r="3">
      <c r="B3" s="2" t="inlineStr">
        <is>
          <t>README XII.3.3 · Pie de los dos socios + crédito bancario, sin subsidio estatal</t>
        </is>
      </c>
    </row>
    <row r="4" ht="19" customHeight="1">
      <c r="B4" s="4" t="inlineStr">
        <is>
          <t>1. FUENTES DE FINANCIAMIENTO</t>
        </is>
      </c>
    </row>
    <row r="5" ht="30" customHeight="1">
      <c r="B5" s="5" t="inlineStr">
        <is>
          <t>Fuente</t>
        </is>
      </c>
      <c r="C5" s="5" t="inlineStr">
        <is>
          <t>Monto $</t>
        </is>
      </c>
      <c r="D5" s="5" t="inlineStr">
        <is>
          <t>% del total</t>
        </is>
      </c>
      <c r="F5" s="5" t="inlineStr">
        <is>
          <t>Naturaleza</t>
        </is>
      </c>
    </row>
    <row r="6" ht="26" customHeight="1">
      <c r="B6" s="18" t="inlineStr">
        <is>
          <t>Pie de los socios (2 × $4.450.000, aporte propio)</t>
        </is>
      </c>
      <c r="C6" s="27">
        <f>'PARÁMETROS'!C32</f>
        <v/>
      </c>
      <c r="D6" s="44">
        <f>C6/$C$10</f>
        <v/>
      </c>
      <c r="F6" s="45" t="inlineStr">
        <is>
          <t>Compromiso de capital que el banco exige ver antes de aprobar el crédito</t>
        </is>
      </c>
    </row>
    <row r="7" ht="26" customHeight="1">
      <c r="B7" s="18" t="inlineStr">
        <is>
          <t>Crédito bancario de largo plazo — 5 años, 10 % anual</t>
        </is>
      </c>
      <c r="C7" s="27">
        <f>'PARÁMETROS'!C33</f>
        <v/>
      </c>
      <c r="D7" s="44">
        <f>C7/$C$10</f>
        <v/>
      </c>
      <c r="F7" s="45" t="inlineStr">
        <is>
          <t>Con garantía estatal FOGAPE, que cubre entre el 60 % y el 80 % del riesgo del banco, más comisión del 1 % anual sobre el saldo garantizado</t>
        </is>
      </c>
    </row>
    <row r="8" ht="26" customHeight="1">
      <c r="B8" s="18" t="inlineStr">
        <is>
          <t>Línea de corto plazo — 1 año, 23 % anual</t>
        </is>
      </c>
      <c r="C8" s="27">
        <f>'PARÁMETROS'!C36</f>
        <v/>
      </c>
      <c r="D8" s="44">
        <f>C8/$C$10</f>
        <v/>
      </c>
      <c r="F8" s="45" t="inlineStr">
        <is>
          <t>Cubre el desfase de caja mientras se paga el primer lote de sondas y electrónica, antes de que las primeras ventas generen ingreso</t>
        </is>
      </c>
    </row>
    <row r="9" ht="26" customHeight="1">
      <c r="B9" s="18" t="inlineStr">
        <is>
          <t>Financiamiento del Estado (subsidio no reembolsable)</t>
        </is>
      </c>
      <c r="C9" s="27">
        <f>'PARÁMETROS'!C40</f>
        <v/>
      </c>
      <c r="D9" s="44">
        <f>C9/$C$10</f>
        <v/>
      </c>
      <c r="F9" s="45" t="inlineStr">
        <is>
          <t>Cero por decisión explícita: postular a CORFO sigue abierto, pero el proyecto debe poder sostenerse sin él</t>
        </is>
      </c>
    </row>
    <row r="10">
      <c r="B10" s="28" t="inlineStr">
        <is>
          <t>TOTAL FINANCIAMIENTO</t>
        </is>
      </c>
      <c r="C10" s="29">
        <f>SUM(C6:C9)</f>
        <v/>
      </c>
      <c r="D10" s="46">
        <f>SUM(D6:D9)</f>
        <v/>
      </c>
    </row>
    <row r="11">
      <c r="B11" s="47" t="inlineStr">
        <is>
          <t>Inversión inicial a financiar (hoja INVERSIONES)</t>
        </is>
      </c>
      <c r="C11" s="48">
        <f>'INVERSIONES'!C37</f>
        <v/>
      </c>
    </row>
    <row r="12">
      <c r="B12" s="43">
        <f>IF(C10=C11,"✔ VERIFICACIÓN: el financiamiento cubre exactamente la inversión inicial","✘ DESCUADRE entre financiamiento e inversión")</f>
        <v/>
      </c>
    </row>
    <row r="13" ht="24" customHeight="1">
      <c r="B13" s="16" t="inlineStr">
        <is>
          <t>Ningún banco chileno presta el 100 % de la inversión a una empresa recién constituida, aunque tenga garantía FOGAPE: la garantía cubre el riesgo del banco, no reemplaza el compromiso de capital propio. El 37 % de aporte de los socios es lo que hace aprobable el crédito.</t>
        </is>
      </c>
    </row>
    <row r="15" ht="19" customHeight="1">
      <c r="B15" s="4" t="inlineStr">
        <is>
          <t>2. CONDICIONES DE CADA CRÉDITO</t>
        </is>
      </c>
    </row>
    <row r="16" ht="30" customHeight="1">
      <c r="B16" s="5" t="inlineStr">
        <is>
          <t>Concepto</t>
        </is>
      </c>
      <c r="C16" s="5" t="inlineStr">
        <is>
          <t>Largo plazo</t>
        </is>
      </c>
      <c r="D16" s="5" t="inlineStr">
        <is>
          <t>Corto plazo</t>
        </is>
      </c>
      <c r="F16" s="5" t="inlineStr">
        <is>
          <t>Comentario</t>
        </is>
      </c>
    </row>
    <row r="17">
      <c r="B17" s="18" t="inlineStr">
        <is>
          <t>Tipo de fuente</t>
        </is>
      </c>
      <c r="C17" s="49" t="inlineStr">
        <is>
          <t>Crédito bancario PYME con garantía FOGAPE</t>
        </is>
      </c>
      <c r="D17" s="49" t="inlineStr">
        <is>
          <t>Línea de capital de trabajo</t>
        </is>
      </c>
      <c r="F17" s="20" t="inlineStr">
        <is>
          <t>Ambas de instituciones financieras</t>
        </is>
      </c>
    </row>
    <row r="18">
      <c r="B18" s="18" t="inlineStr">
        <is>
          <t>Sistema de amortización</t>
        </is>
      </c>
      <c r="C18" s="49" t="inlineStr">
        <is>
          <t>Francés (cuota total constante)</t>
        </is>
      </c>
      <c r="D18" s="49" t="inlineStr">
        <is>
          <t>Pago único al vencimiento</t>
        </is>
      </c>
      <c r="F18" s="20" t="inlineStr">
        <is>
          <t>XII.3.4</t>
        </is>
      </c>
    </row>
    <row r="19">
      <c r="B19" s="18" t="inlineStr">
        <is>
          <t>Monto del préstamo (capital / VA)</t>
        </is>
      </c>
      <c r="C19" s="50">
        <f>'PARÁMETROS'!C33</f>
        <v/>
      </c>
      <c r="D19" s="50">
        <f>'PARÁMETROS'!C36</f>
        <v/>
      </c>
      <c r="F19" s="20" t="inlineStr">
        <is>
          <t>Suman el 63 % de la inversión</t>
        </is>
      </c>
    </row>
    <row r="20">
      <c r="B20" s="18" t="inlineStr">
        <is>
          <t>Tasa de interés anual</t>
        </is>
      </c>
      <c r="C20" s="51">
        <f>'PARÁMETROS'!C34</f>
        <v/>
      </c>
      <c r="D20" s="51">
        <f>'PARÁMETROS'!C37</f>
        <v/>
      </c>
      <c r="F20" s="20" t="inlineStr">
        <is>
          <t>La línea corta es deuda cara: se paga primero</t>
        </is>
      </c>
    </row>
    <row r="21">
      <c r="B21" s="18" t="inlineStr">
        <is>
          <t>Plazo (años)</t>
        </is>
      </c>
      <c r="C21" s="52">
        <f>'PARÁMETROS'!C35</f>
        <v/>
      </c>
      <c r="D21" s="52">
        <f>'PARÁMETROS'!C38</f>
        <v/>
      </c>
      <c r="F21" s="20" t="inlineStr">
        <is>
          <t>El corto plazo se extingue dentro del Año 1</t>
        </is>
      </c>
    </row>
    <row r="23" ht="19" customHeight="1">
      <c r="B23" s="4" t="inlineStr">
        <is>
          <t>3. RESULTADO DEL CRÉDITO</t>
        </is>
      </c>
    </row>
    <row r="24" ht="30" customHeight="1">
      <c r="B24" s="5" t="inlineStr">
        <is>
          <t>Concepto</t>
        </is>
      </c>
      <c r="C24" s="5" t="inlineStr">
        <is>
          <t>Largo plazo</t>
        </is>
      </c>
      <c r="D24" s="5" t="inlineStr">
        <is>
          <t>Corto plazo</t>
        </is>
      </c>
      <c r="F24" s="5" t="inlineStr">
        <is>
          <t>Fórmula</t>
        </is>
      </c>
    </row>
    <row r="25">
      <c r="B25" s="18" t="inlineStr">
        <is>
          <t>Cuota anual constante (sistema francés)</t>
        </is>
      </c>
      <c r="C25" s="10">
        <f>-PMT(C20,C21,C19)</f>
        <v/>
      </c>
      <c r="D25" s="10">
        <f>-PMT(D20,D21,D19)</f>
        <v/>
      </c>
      <c r="F25" s="20" t="inlineStr">
        <is>
          <t>PMT(tasa; plazo; capital)</t>
        </is>
      </c>
    </row>
    <row r="26">
      <c r="B26" s="18" t="inlineStr">
        <is>
          <t>Total de intereses pagados</t>
        </is>
      </c>
      <c r="C26" s="10">
        <f>C25*C21-C19</f>
        <v/>
      </c>
      <c r="D26" s="10">
        <f>D25*D21-D19</f>
        <v/>
      </c>
      <c r="F26" s="20" t="inlineStr">
        <is>
          <t>Cuota × plazo − capital</t>
        </is>
      </c>
    </row>
    <row r="27">
      <c r="B27" s="18" t="inlineStr">
        <is>
          <t>Total pagado al banco</t>
        </is>
      </c>
      <c r="C27" s="10">
        <f>C25*C21</f>
        <v/>
      </c>
      <c r="D27" s="10">
        <f>D25*D21</f>
        <v/>
      </c>
      <c r="F27" s="20" t="inlineStr">
        <is>
          <t>Capital + intereses</t>
        </is>
      </c>
    </row>
    <row r="28">
      <c r="B28" s="28" t="inlineStr">
        <is>
          <t>COSTO FINANCIERO TOTAL DEL PROYECTO (LP + CP)</t>
        </is>
      </c>
      <c r="C28" s="29">
        <f>C26+D26</f>
        <v/>
      </c>
      <c r="D28" s="28" t="n"/>
    </row>
    <row r="29" ht="24" customHeight="1">
      <c r="B29" s="16" t="inlineStr">
        <is>
          <t>Sin subsidio estatal, por decisión explícita: a diferencia de versiones anteriores del estudio, este modelo no depende de que se adjudique un fondo CORFO no reembolsable. Se financia enteramente con el aporte de los dos socios y crédito bancario.</t>
        </is>
      </c>
    </row>
  </sheetData>
  <mergeCells count="7">
    <mergeCell ref="B4:F4"/>
    <mergeCell ref="B29:F29"/>
    <mergeCell ref="B2:F2"/>
    <mergeCell ref="B15:F15"/>
    <mergeCell ref="B3:F3"/>
    <mergeCell ref="B23:F23"/>
    <mergeCell ref="B13:F13"/>
  </mergeCells>
  <pageMargins left="0.75" right="0.75" top="1" bottom="1" header="0.5" footer="0.5"/>
  <pageSetup orientation="landscape" fitToHeight="0" fitToWidth="1"/>
  <headerFooter>
    <oddHeader>&amp;LTerraSense — Evaluación económica del proyecto</oddHeader>
    <oddFooter>&amp;RPágina &amp;P de &amp;N</oddFooter>
    <evenHeader/>
    <evenFooter/>
    <firstHeader/>
    <firstFooter/>
  </headerFooter>
</worksheet>
</file>

<file path=xl/worksheets/sheet6.xml><?xml version="1.0" encoding="utf-8"?>
<worksheet xmlns="http://schemas.openxmlformats.org/spreadsheetml/2006/main">
  <sheetPr>
    <tabColor rgb="002D6A4F"/>
    <outlinePr summaryBelow="1" summaryRight="1"/>
    <pageSetUpPr fitToPage="1"/>
  </sheetPr>
  <dimension ref="B2:G35"/>
  <sheetViews>
    <sheetView showGridLines="0" workbookViewId="0">
      <selection activeCell="A1" sqref="A1"/>
    </sheetView>
  </sheetViews>
  <sheetFormatPr baseColWidth="8" defaultRowHeight="15"/>
  <cols>
    <col width="2" customWidth="1" min="1" max="1"/>
    <col width="40" customWidth="1" min="2" max="2"/>
    <col width="20" customWidth="1" min="3" max="3"/>
    <col width="20" customWidth="1" min="4" max="4"/>
    <col width="20" customWidth="1" min="5" max="5"/>
    <col width="20" customWidth="1" min="6" max="6"/>
    <col width="20" customWidth="1" min="7" max="7"/>
  </cols>
  <sheetData>
    <row r="2" ht="26" customHeight="1">
      <c r="B2" s="1" t="inlineStr">
        <is>
          <t>CÁLCULO DE LA AMORTIZACIÓN DE LOS PRÉSTAMOS Y LOS INTERESES</t>
        </is>
      </c>
    </row>
    <row r="3">
      <c r="B3" s="2" t="inlineStr">
        <is>
          <t>README XII.3.4 · Sistema francés: la cuota total es constante y la composición capital/interés cambia cada año</t>
        </is>
      </c>
    </row>
    <row r="4" ht="19" customHeight="1">
      <c r="B4" s="4" t="inlineStr">
        <is>
          <t>1. FINANCIAMIENTO A LARGO PLAZO — CRÉDITO BANCARIO CON GARANTÍA FOGAPE</t>
        </is>
      </c>
    </row>
    <row r="5">
      <c r="B5" s="18" t="inlineStr">
        <is>
          <t>Monto del préstamo (capital)</t>
        </is>
      </c>
      <c r="C5" s="10">
        <f>'PARÁMETROS'!C33</f>
        <v/>
      </c>
    </row>
    <row r="6">
      <c r="B6" s="18" t="inlineStr">
        <is>
          <t>Tasa de interés anual</t>
        </is>
      </c>
      <c r="C6" s="53">
        <f>'PARÁMETROS'!C34</f>
        <v/>
      </c>
    </row>
    <row r="7">
      <c r="B7" s="18" t="inlineStr">
        <is>
          <t>Plazo (años)</t>
        </is>
      </c>
      <c r="C7" s="14">
        <f>'PARÁMETROS'!C35</f>
        <v/>
      </c>
    </row>
    <row r="8">
      <c r="B8" s="9" t="inlineStr">
        <is>
          <t>Cuota anual constante</t>
        </is>
      </c>
      <c r="C8" s="10">
        <f>-PMT(C6,C7,C5)</f>
        <v/>
      </c>
    </row>
    <row r="10" ht="30" customHeight="1">
      <c r="B10" s="5" t="inlineStr">
        <is>
          <t>Período (año)</t>
        </is>
      </c>
      <c r="C10" s="5" t="inlineStr">
        <is>
          <t>Saldo insoluto $</t>
        </is>
      </c>
      <c r="D10" s="5" t="inlineStr">
        <is>
          <t>Cuota total $</t>
        </is>
      </c>
      <c r="E10" s="5" t="inlineStr">
        <is>
          <t>Amortización interés $</t>
        </is>
      </c>
      <c r="F10" s="5" t="inlineStr">
        <is>
          <t>Amortización cuota capital $</t>
        </is>
      </c>
      <c r="G10" s="5" t="inlineStr">
        <is>
          <t>Saldo final $</t>
        </is>
      </c>
    </row>
    <row r="11">
      <c r="B11" s="30" t="n">
        <v>1</v>
      </c>
      <c r="C11" s="27">
        <f>$C$5</f>
        <v/>
      </c>
      <c r="D11" s="27">
        <f>$C$8</f>
        <v/>
      </c>
      <c r="E11" s="27">
        <f>C11*$C$6</f>
        <v/>
      </c>
      <c r="F11" s="27">
        <f>D11-E11</f>
        <v/>
      </c>
      <c r="G11" s="27">
        <f>C11-F11</f>
        <v/>
      </c>
    </row>
    <row r="12">
      <c r="B12" s="30" t="n">
        <v>2</v>
      </c>
      <c r="C12" s="27">
        <f>G11</f>
        <v/>
      </c>
      <c r="D12" s="27">
        <f>$C$8</f>
        <v/>
      </c>
      <c r="E12" s="27">
        <f>C12*$C$6</f>
        <v/>
      </c>
      <c r="F12" s="27">
        <f>D12-E12</f>
        <v/>
      </c>
      <c r="G12" s="27">
        <f>C12-F12</f>
        <v/>
      </c>
    </row>
    <row r="13">
      <c r="B13" s="30" t="n">
        <v>3</v>
      </c>
      <c r="C13" s="27">
        <f>G12</f>
        <v/>
      </c>
      <c r="D13" s="27">
        <f>$C$8</f>
        <v/>
      </c>
      <c r="E13" s="27">
        <f>C13*$C$6</f>
        <v/>
      </c>
      <c r="F13" s="27">
        <f>D13-E13</f>
        <v/>
      </c>
      <c r="G13" s="27">
        <f>C13-F13</f>
        <v/>
      </c>
    </row>
    <row r="14">
      <c r="B14" s="30" t="n">
        <v>4</v>
      </c>
      <c r="C14" s="27">
        <f>G13</f>
        <v/>
      </c>
      <c r="D14" s="27">
        <f>$C$8</f>
        <v/>
      </c>
      <c r="E14" s="27">
        <f>C14*$C$6</f>
        <v/>
      </c>
      <c r="F14" s="27">
        <f>D14-E14</f>
        <v/>
      </c>
      <c r="G14" s="27">
        <f>C14-F14</f>
        <v/>
      </c>
    </row>
    <row r="15">
      <c r="B15" s="30" t="n">
        <v>5</v>
      </c>
      <c r="C15" s="27">
        <f>G14</f>
        <v/>
      </c>
      <c r="D15" s="27">
        <f>$C$8</f>
        <v/>
      </c>
      <c r="E15" s="27">
        <f>C15*$C$6</f>
        <v/>
      </c>
      <c r="F15" s="27">
        <f>D15-E15</f>
        <v/>
      </c>
      <c r="G15" s="27">
        <f>C15-F15</f>
        <v/>
      </c>
    </row>
    <row r="16">
      <c r="B16" s="28" t="inlineStr">
        <is>
          <t>TOTALES</t>
        </is>
      </c>
      <c r="C16" s="28" t="n"/>
      <c r="D16" s="29">
        <f>SUM(D11:D15)</f>
        <v/>
      </c>
      <c r="E16" s="29">
        <f>SUM(E11:E15)</f>
        <v/>
      </c>
      <c r="F16" s="29">
        <f>SUM(F11:F15)</f>
        <v/>
      </c>
      <c r="G16" s="28" t="n"/>
    </row>
    <row r="18" ht="19" customHeight="1">
      <c r="B18" s="4" t="inlineStr">
        <is>
          <t>2. FINANCIAMIENTO A CORTO PLAZO — LÍNEA DE CAPITAL DE TRABAJO</t>
        </is>
      </c>
    </row>
    <row r="19">
      <c r="B19" s="18" t="inlineStr">
        <is>
          <t>Monto del préstamo (capital)</t>
        </is>
      </c>
      <c r="C19" s="10">
        <f>'PARÁMETROS'!C36</f>
        <v/>
      </c>
    </row>
    <row r="20">
      <c r="B20" s="18" t="inlineStr">
        <is>
          <t>Tasa de interés anual</t>
        </is>
      </c>
      <c r="C20" s="53">
        <f>'PARÁMETROS'!C37</f>
        <v/>
      </c>
    </row>
    <row r="21">
      <c r="B21" s="18" t="inlineStr">
        <is>
          <t>Plazo (años)</t>
        </is>
      </c>
      <c r="C21" s="14">
        <f>'PARÁMETROS'!C38</f>
        <v/>
      </c>
    </row>
    <row r="22">
      <c r="B22" s="9" t="inlineStr">
        <is>
          <t>Cuota anual constante</t>
        </is>
      </c>
      <c r="C22" s="10">
        <f>-PMT(C20,C21,C19)</f>
        <v/>
      </c>
    </row>
    <row r="24" ht="30" customHeight="1">
      <c r="B24" s="5" t="inlineStr">
        <is>
          <t>Período (año)</t>
        </is>
      </c>
      <c r="C24" s="5" t="inlineStr">
        <is>
          <t>Saldo insoluto $</t>
        </is>
      </c>
      <c r="D24" s="5" t="inlineStr">
        <is>
          <t>Cuota total $</t>
        </is>
      </c>
      <c r="E24" s="5" t="inlineStr">
        <is>
          <t>Amortización interés $</t>
        </is>
      </c>
      <c r="F24" s="5" t="inlineStr">
        <is>
          <t>Amortización cuota capital $</t>
        </is>
      </c>
      <c r="G24" s="5" t="inlineStr">
        <is>
          <t>Saldo final $</t>
        </is>
      </c>
    </row>
    <row r="25">
      <c r="B25" s="30" t="n">
        <v>1</v>
      </c>
      <c r="C25" s="27">
        <f>$C$19</f>
        <v/>
      </c>
      <c r="D25" s="27">
        <f>$C$22</f>
        <v/>
      </c>
      <c r="E25" s="27">
        <f>C25*$C$20</f>
        <v/>
      </c>
      <c r="F25" s="27">
        <f>D25-E25</f>
        <v/>
      </c>
      <c r="G25" s="27">
        <f>C25-F25</f>
        <v/>
      </c>
    </row>
    <row r="26">
      <c r="B26" s="28" t="inlineStr">
        <is>
          <t>TOTALES</t>
        </is>
      </c>
      <c r="C26" s="28" t="n"/>
      <c r="D26" s="29">
        <f>D25</f>
        <v/>
      </c>
      <c r="E26" s="29">
        <f>E25</f>
        <v/>
      </c>
      <c r="F26" s="29">
        <f>F25</f>
        <v/>
      </c>
      <c r="G26" s="28" t="n"/>
    </row>
    <row r="28" ht="19" customHeight="1">
      <c r="B28" s="4" t="inlineStr">
        <is>
          <t>3. COSTO FINANCIERO Y AMORTIZACIÓN DE CAPITAL CONSOLIDADOS (LO QUE USA EL CUADRO N° 3)</t>
        </is>
      </c>
    </row>
    <row r="29" ht="30" customHeight="1">
      <c r="B29" s="5" t="inlineStr">
        <is>
          <t>Concepto</t>
        </is>
      </c>
      <c r="C29" s="5" t="inlineStr">
        <is>
          <t>Año 1</t>
        </is>
      </c>
      <c r="D29" s="5" t="inlineStr">
        <is>
          <t>Año 2</t>
        </is>
      </c>
      <c r="E29" s="5" t="inlineStr">
        <is>
          <t>Año 3</t>
        </is>
      </c>
      <c r="F29" s="5" t="inlineStr">
        <is>
          <t>Año 4</t>
        </is>
      </c>
      <c r="G29" s="5" t="inlineStr">
        <is>
          <t>Año 5</t>
        </is>
      </c>
    </row>
    <row r="30">
      <c r="B30" s="9" t="inlineStr">
        <is>
          <t>Interés — costo financiero del ejercicio</t>
        </is>
      </c>
      <c r="C30" s="27">
        <f>E11+E25</f>
        <v/>
      </c>
      <c r="D30" s="27">
        <f>E12</f>
        <v/>
      </c>
      <c r="E30" s="27">
        <f>E13</f>
        <v/>
      </c>
      <c r="F30" s="27">
        <f>E14</f>
        <v/>
      </c>
      <c r="G30" s="27">
        <f>E15</f>
        <v/>
      </c>
    </row>
    <row r="31">
      <c r="B31" s="9" t="inlineStr">
        <is>
          <t>Amortización de la cuota de capital</t>
        </is>
      </c>
      <c r="C31" s="27">
        <f>F11+F25</f>
        <v/>
      </c>
      <c r="D31" s="27">
        <f>F12</f>
        <v/>
      </c>
      <c r="E31" s="27">
        <f>F13</f>
        <v/>
      </c>
      <c r="F31" s="27">
        <f>F14</f>
        <v/>
      </c>
      <c r="G31" s="27">
        <f>F15</f>
        <v/>
      </c>
    </row>
    <row r="32">
      <c r="B32" s="18" t="inlineStr">
        <is>
          <t>Cuota total pagada al banco (salida de caja)</t>
        </is>
      </c>
      <c r="C32" s="27">
        <f>C30+C31</f>
        <v/>
      </c>
      <c r="D32" s="27">
        <f>D30+D31</f>
        <v/>
      </c>
      <c r="E32" s="27">
        <f>E30+E31</f>
        <v/>
      </c>
      <c r="F32" s="27">
        <f>F30+F31</f>
        <v/>
      </c>
      <c r="G32" s="27">
        <f>G30+G31</f>
        <v/>
      </c>
    </row>
    <row r="33">
      <c r="B33" s="47" t="inlineStr">
        <is>
          <t>Saldo insoluto al cierre del ejercicio</t>
        </is>
      </c>
      <c r="C33" s="48">
        <f>G11+G25</f>
        <v/>
      </c>
      <c r="D33" s="48">
        <f>G12</f>
        <v/>
      </c>
      <c r="E33" s="48">
        <f>G13</f>
        <v/>
      </c>
      <c r="F33" s="48">
        <f>G14</f>
        <v/>
      </c>
      <c r="G33" s="48">
        <f>G15</f>
        <v/>
      </c>
    </row>
    <row r="35" ht="24" customHeight="1">
      <c r="B35" s="16" t="inlineStr">
        <is>
          <t>El Año 1 acumula el interés de ambos préstamos y la devolución íntegra de la línea de corto plazo: es el año de mayor carga financiera de todo el quinquenio, y el único con flujo de fondos negativo.</t>
        </is>
      </c>
    </row>
  </sheetData>
  <mergeCells count="6">
    <mergeCell ref="B3:G3"/>
    <mergeCell ref="B2:G2"/>
    <mergeCell ref="B28:G28"/>
    <mergeCell ref="B35:G35"/>
    <mergeCell ref="B4:G4"/>
    <mergeCell ref="B18:G18"/>
  </mergeCells>
  <pageMargins left="0.75" right="0.75" top="1" bottom="1" header="0.5" footer="0.5"/>
  <pageSetup orientation="landscape" fitToHeight="0" fitToWidth="1"/>
  <headerFooter>
    <oddHeader>&amp;LTerraSense — Evaluación económica del proyecto</oddHeader>
    <oddFooter>&amp;RPágina &amp;P de &amp;N</oddFooter>
    <evenHeader/>
    <evenFooter/>
    <firstHeader/>
    <firstFooter/>
  </headerFooter>
</worksheet>
</file>

<file path=xl/worksheets/sheet7.xml><?xml version="1.0" encoding="utf-8"?>
<worksheet xmlns="http://schemas.openxmlformats.org/spreadsheetml/2006/main">
  <sheetPr>
    <tabColor rgb="002D6A4F"/>
    <outlinePr summaryBelow="1" summaryRight="1"/>
    <pageSetUpPr fitToPage="1"/>
  </sheetPr>
  <dimension ref="B2:H25"/>
  <sheetViews>
    <sheetView showGridLines="0" workbookViewId="0">
      <selection activeCell="A1" sqref="A1"/>
    </sheetView>
  </sheetViews>
  <sheetFormatPr baseColWidth="8" defaultRowHeight="15"/>
  <cols>
    <col width="2" customWidth="1" min="1" max="1"/>
    <col width="58" customWidth="1" min="2" max="2"/>
    <col width="18" customWidth="1" min="3" max="3"/>
    <col width="18" customWidth="1" min="4" max="4"/>
    <col width="16" customWidth="1" min="5" max="5"/>
    <col width="18" customWidth="1" min="6" max="6"/>
    <col width="20" customWidth="1" min="7" max="7"/>
    <col width="18" customWidth="1" min="8" max="8"/>
  </cols>
  <sheetData>
    <row r="2" ht="26" customHeight="1">
      <c r="B2" s="1" t="inlineStr">
        <is>
          <t>CÁLCULO DE LA CUOTA DE DEPRECIACIÓN ANUAL</t>
        </is>
      </c>
    </row>
    <row r="3">
      <c r="B3" s="2" t="inlineStr">
        <is>
          <t>README XII.3.5 · Depreciación lineal, valor residual cero, vidas útiles según la tabla del SII [59]</t>
        </is>
      </c>
    </row>
    <row r="4" ht="19" customHeight="1">
      <c r="B4" s="4" t="inlineStr">
        <is>
          <t>1. DETALLE DEL ACTIVO FIJO Y SU DEPRECIACIÓN</t>
        </is>
      </c>
    </row>
    <row r="5" ht="30" customHeight="1">
      <c r="B5" s="5" t="inlineStr">
        <is>
          <t>Componente del activo fijo</t>
        </is>
      </c>
      <c r="C5" s="5" t="inlineStr">
        <is>
          <t>Grupo</t>
        </is>
      </c>
      <c r="D5" s="5" t="inlineStr">
        <is>
          <t>Valor de adquisición $</t>
        </is>
      </c>
      <c r="E5" s="5" t="inlineStr">
        <is>
          <t>Vida útil (años)</t>
        </is>
      </c>
      <c r="F5" s="5" t="inlineStr">
        <is>
          <t>Depreciación anual $</t>
        </is>
      </c>
      <c r="G5" s="5" t="inlineStr">
        <is>
          <t>Depreciación acumulada a 5 años $</t>
        </is>
      </c>
      <c r="H5" s="5" t="inlineStr">
        <is>
          <t>Valor libro al Año 5 $</t>
        </is>
      </c>
    </row>
    <row r="6">
      <c r="B6" s="18">
        <f>'INVERSIONES'!B24</f>
        <v/>
      </c>
      <c r="C6" s="54">
        <f>'INVERSIONES'!D24</f>
        <v/>
      </c>
      <c r="D6" s="27">
        <f>'INVERSIONES'!C24</f>
        <v/>
      </c>
      <c r="E6" s="31">
        <f>IF(C6="Mobiliario",'PARÁMETROS'!$C$45,'PARÁMETROS'!$C$44)</f>
        <v/>
      </c>
      <c r="F6" s="27">
        <f>D6/E6</f>
        <v/>
      </c>
      <c r="G6" s="27">
        <f>F6*5</f>
        <v/>
      </c>
      <c r="H6" s="27">
        <f>D6-G6</f>
        <v/>
      </c>
    </row>
    <row r="7">
      <c r="B7" s="18">
        <f>'INVERSIONES'!B25</f>
        <v/>
      </c>
      <c r="C7" s="54">
        <f>'INVERSIONES'!D25</f>
        <v/>
      </c>
      <c r="D7" s="27">
        <f>'INVERSIONES'!C25</f>
        <v/>
      </c>
      <c r="E7" s="31">
        <f>IF(C7="Mobiliario",'PARÁMETROS'!$C$45,'PARÁMETROS'!$C$44)</f>
        <v/>
      </c>
      <c r="F7" s="27">
        <f>D7/E7</f>
        <v/>
      </c>
      <c r="G7" s="27">
        <f>F7*5</f>
        <v/>
      </c>
      <c r="H7" s="27">
        <f>D7-G7</f>
        <v/>
      </c>
    </row>
    <row r="8">
      <c r="B8" s="18">
        <f>'INVERSIONES'!B26</f>
        <v/>
      </c>
      <c r="C8" s="54">
        <f>'INVERSIONES'!D26</f>
        <v/>
      </c>
      <c r="D8" s="27">
        <f>'INVERSIONES'!C26</f>
        <v/>
      </c>
      <c r="E8" s="31">
        <f>IF(C8="Mobiliario",'PARÁMETROS'!$C$45,'PARÁMETROS'!$C$44)</f>
        <v/>
      </c>
      <c r="F8" s="27">
        <f>D8/E8</f>
        <v/>
      </c>
      <c r="G8" s="27">
        <f>F8*5</f>
        <v/>
      </c>
      <c r="H8" s="27">
        <f>D8-G8</f>
        <v/>
      </c>
    </row>
    <row r="9">
      <c r="B9" s="18">
        <f>'INVERSIONES'!B27</f>
        <v/>
      </c>
      <c r="C9" s="54">
        <f>'INVERSIONES'!D27</f>
        <v/>
      </c>
      <c r="D9" s="27">
        <f>'INVERSIONES'!C27</f>
        <v/>
      </c>
      <c r="E9" s="31">
        <f>IF(C9="Mobiliario",'PARÁMETROS'!$C$45,'PARÁMETROS'!$C$44)</f>
        <v/>
      </c>
      <c r="F9" s="27">
        <f>D9/E9</f>
        <v/>
      </c>
      <c r="G9" s="27">
        <f>F9*5</f>
        <v/>
      </c>
      <c r="H9" s="27">
        <f>D9-G9</f>
        <v/>
      </c>
    </row>
    <row r="10">
      <c r="B10" s="18">
        <f>'INVERSIONES'!B28</f>
        <v/>
      </c>
      <c r="C10" s="54">
        <f>'INVERSIONES'!D28</f>
        <v/>
      </c>
      <c r="D10" s="27">
        <f>'INVERSIONES'!C28</f>
        <v/>
      </c>
      <c r="E10" s="31">
        <f>IF(C10="Mobiliario",'PARÁMETROS'!$C$45,'PARÁMETROS'!$C$44)</f>
        <v/>
      </c>
      <c r="F10" s="27">
        <f>D10/E10</f>
        <v/>
      </c>
      <c r="G10" s="27">
        <f>F10*5</f>
        <v/>
      </c>
      <c r="H10" s="27">
        <f>D10-G10</f>
        <v/>
      </c>
    </row>
    <row r="11">
      <c r="B11" s="18">
        <f>'INVERSIONES'!B29</f>
        <v/>
      </c>
      <c r="C11" s="54">
        <f>'INVERSIONES'!D29</f>
        <v/>
      </c>
      <c r="D11" s="27">
        <f>'INVERSIONES'!C29</f>
        <v/>
      </c>
      <c r="E11" s="31">
        <f>IF(C11="Mobiliario",'PARÁMETROS'!$C$45,'PARÁMETROS'!$C$44)</f>
        <v/>
      </c>
      <c r="F11" s="27">
        <f>D11/E11</f>
        <v/>
      </c>
      <c r="G11" s="27">
        <f>F11*5</f>
        <v/>
      </c>
      <c r="H11" s="27">
        <f>D11-G11</f>
        <v/>
      </c>
    </row>
    <row r="12">
      <c r="B12" s="18">
        <f>'INVERSIONES'!B30</f>
        <v/>
      </c>
      <c r="C12" s="54">
        <f>'INVERSIONES'!D30</f>
        <v/>
      </c>
      <c r="D12" s="27">
        <f>'INVERSIONES'!C30</f>
        <v/>
      </c>
      <c r="E12" s="31">
        <f>IF(C12="Mobiliario",'PARÁMETROS'!$C$45,'PARÁMETROS'!$C$44)</f>
        <v/>
      </c>
      <c r="F12" s="27">
        <f>D12/E12</f>
        <v/>
      </c>
      <c r="G12" s="27">
        <f>F12*5</f>
        <v/>
      </c>
      <c r="H12" s="27">
        <f>D12-G12</f>
        <v/>
      </c>
    </row>
    <row r="13">
      <c r="B13" s="18">
        <f>'INVERSIONES'!B31</f>
        <v/>
      </c>
      <c r="C13" s="54">
        <f>'INVERSIONES'!D31</f>
        <v/>
      </c>
      <c r="D13" s="27">
        <f>'INVERSIONES'!C31</f>
        <v/>
      </c>
      <c r="E13" s="31">
        <f>IF(C13="Mobiliario",'PARÁMETROS'!$C$45,'PARÁMETROS'!$C$44)</f>
        <v/>
      </c>
      <c r="F13" s="27">
        <f>D13/E13</f>
        <v/>
      </c>
      <c r="G13" s="27">
        <f>F13*5</f>
        <v/>
      </c>
      <c r="H13" s="27">
        <f>D13-G13</f>
        <v/>
      </c>
    </row>
    <row r="14">
      <c r="B14" s="18">
        <f>'INVERSIONES'!B32</f>
        <v/>
      </c>
      <c r="C14" s="54">
        <f>'INVERSIONES'!D32</f>
        <v/>
      </c>
      <c r="D14" s="27">
        <f>'INVERSIONES'!C32</f>
        <v/>
      </c>
      <c r="E14" s="31">
        <f>IF(C14="Mobiliario",'PARÁMETROS'!$C$45,'PARÁMETROS'!$C$44)</f>
        <v/>
      </c>
      <c r="F14" s="27">
        <f>D14/E14</f>
        <v/>
      </c>
      <c r="G14" s="27">
        <f>F14*5</f>
        <v/>
      </c>
      <c r="H14" s="27">
        <f>D14-G14</f>
        <v/>
      </c>
    </row>
    <row r="15">
      <c r="B15" s="18">
        <f>'INVERSIONES'!B33</f>
        <v/>
      </c>
      <c r="C15" s="54">
        <f>'INVERSIONES'!D33</f>
        <v/>
      </c>
      <c r="D15" s="27">
        <f>'INVERSIONES'!C33</f>
        <v/>
      </c>
      <c r="E15" s="31">
        <f>IF(C15="Mobiliario",'PARÁMETROS'!$C$45,'PARÁMETROS'!$C$44)</f>
        <v/>
      </c>
      <c r="F15" s="27">
        <f>D15/E15</f>
        <v/>
      </c>
      <c r="G15" s="27">
        <f>F15*5</f>
        <v/>
      </c>
      <c r="H15" s="27">
        <f>D15-G15</f>
        <v/>
      </c>
    </row>
    <row r="16">
      <c r="B16" s="18">
        <f>'INVERSIONES'!B34</f>
        <v/>
      </c>
      <c r="C16" s="54">
        <f>'INVERSIONES'!D34</f>
        <v/>
      </c>
      <c r="D16" s="27">
        <f>'INVERSIONES'!C34</f>
        <v/>
      </c>
      <c r="E16" s="31">
        <f>IF(C16="Mobiliario",'PARÁMETROS'!$C$45,'PARÁMETROS'!$C$44)</f>
        <v/>
      </c>
      <c r="F16" s="27">
        <f>D16/E16</f>
        <v/>
      </c>
      <c r="G16" s="27">
        <f>F16*5</f>
        <v/>
      </c>
      <c r="H16" s="27">
        <f>D16-G16</f>
        <v/>
      </c>
    </row>
    <row r="17">
      <c r="B17" s="28" t="inlineStr">
        <is>
          <t>TOTAL ACTIVO FIJO</t>
        </is>
      </c>
      <c r="C17" s="28" t="n"/>
      <c r="D17" s="29">
        <f>SUM(D6:D16)</f>
        <v/>
      </c>
      <c r="E17" s="28" t="n"/>
      <c r="F17" s="29">
        <f>SUM(F6:F16)</f>
        <v/>
      </c>
      <c r="G17" s="29">
        <f>SUM(G6:G16)</f>
        <v/>
      </c>
      <c r="H17" s="29">
        <f>SUM(H6:H16)</f>
        <v/>
      </c>
    </row>
    <row r="19" ht="19" customHeight="1">
      <c r="B19" s="4" t="inlineStr">
        <is>
          <t>2. RESUMEN POR GRUPO DE ACTIVO (cifra que usa el Cuadro N° 3)</t>
        </is>
      </c>
    </row>
    <row r="20" ht="30" customHeight="1">
      <c r="B20" s="5" t="inlineStr">
        <is>
          <t>Grupo de activo</t>
        </is>
      </c>
      <c r="C20" s="5" t="inlineStr">
        <is>
          <t>Valor de adquisición $</t>
        </is>
      </c>
      <c r="D20" s="5" t="inlineStr">
        <is>
          <t>Vida útil (años)</t>
        </is>
      </c>
      <c r="E20" s="5" t="inlineStr">
        <is>
          <t>Depreciación anual $</t>
        </is>
      </c>
      <c r="F20" s="5" t="inlineStr">
        <is>
          <t>Depreciación acumulada a 5 años $</t>
        </is>
      </c>
      <c r="G20" s="5" t="inlineStr">
        <is>
          <t>Valor libro al Año 5 $</t>
        </is>
      </c>
    </row>
    <row r="21">
      <c r="B21" s="18" t="inlineStr">
        <is>
          <t>Equipamiento técnico e informático (impresoras 3D, instrumentos, 2 notebooks)</t>
        </is>
      </c>
      <c r="C21" s="27">
        <f>SUMIF($C$6:$C$16,"Equipamiento",$D$6:$D$16)</f>
        <v/>
      </c>
      <c r="D21" s="31">
        <f>'PARÁMETROS'!C44</f>
        <v/>
      </c>
      <c r="E21" s="10">
        <f>ROUND(C21/D21,0)</f>
        <v/>
      </c>
      <c r="F21" s="27">
        <f>E21*5</f>
        <v/>
      </c>
      <c r="G21" s="27">
        <f>C21-F21</f>
        <v/>
      </c>
    </row>
    <row r="22">
      <c r="B22" s="18" t="inlineStr">
        <is>
          <t>Mobiliario de taller y almacenamiento</t>
        </is>
      </c>
      <c r="C22" s="27">
        <f>SUMIF($C$6:$C$16,"Mobiliario",$D$6:$D$16)</f>
        <v/>
      </c>
      <c r="D22" s="31">
        <f>'PARÁMETROS'!C45</f>
        <v/>
      </c>
      <c r="E22" s="10">
        <f>ROUND(C22/D22,0)</f>
        <v/>
      </c>
      <c r="F22" s="27">
        <f>E22*5</f>
        <v/>
      </c>
      <c r="G22" s="27">
        <f>C22-F22</f>
        <v/>
      </c>
    </row>
    <row r="23">
      <c r="B23" s="55" t="inlineStr">
        <is>
          <t>TOTAL — CUOTA DE DEPRECIACIÓN ANUAL DEL PROYECTO</t>
        </is>
      </c>
      <c r="C23" s="56">
        <f>SUM(C21:C22)</f>
        <v/>
      </c>
      <c r="D23" s="55" t="n"/>
      <c r="E23" s="56">
        <f>SUM(E21:E22)</f>
        <v/>
      </c>
      <c r="F23" s="56">
        <f>SUM(F21:F22)</f>
        <v/>
      </c>
      <c r="G23" s="56">
        <f>SUM(G21:G22)</f>
        <v/>
      </c>
    </row>
    <row r="25" ht="24" customHeight="1">
      <c r="B25" s="16" t="inlineStr">
        <is>
          <t>Valor residual cero. Vidas útiles conforme a la tabla de vida útil de bienes físicos del SII [59]: 6 años para equipamiento técnico e informático y 7 años para mobiliario. La depreciación no es salida de caja y por eso se devuelve al flujo de fondos.</t>
        </is>
      </c>
    </row>
  </sheetData>
  <mergeCells count="5">
    <mergeCell ref="B4:H4"/>
    <mergeCell ref="B2:H2"/>
    <mergeCell ref="B3:H3"/>
    <mergeCell ref="B19:H19"/>
    <mergeCell ref="B25:G25"/>
  </mergeCells>
  <pageMargins left="0.75" right="0.75" top="1" bottom="1" header="0.5" footer="0.5"/>
  <pageSetup orientation="landscape" fitToHeight="0" fitToWidth="1"/>
  <headerFooter>
    <oddHeader>&amp;LTerraSense — Evaluación económica del proyecto</oddHeader>
    <oddFooter>&amp;RPágina &amp;P de &amp;N</oddFooter>
    <evenHeader/>
    <evenFooter/>
    <firstHeader/>
    <firstFooter/>
  </headerFooter>
</worksheet>
</file>

<file path=xl/worksheets/sheet8.xml><?xml version="1.0" encoding="utf-8"?>
<worksheet xmlns="http://schemas.openxmlformats.org/spreadsheetml/2006/main">
  <sheetPr>
    <tabColor rgb="0040916C"/>
    <outlinePr summaryBelow="1" summaryRight="1"/>
    <pageSetUpPr fitToPage="1"/>
  </sheetPr>
  <dimension ref="B2:G57"/>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66" customWidth="1" min="3" max="3"/>
    <col width="18" customWidth="1" min="4" max="4"/>
    <col width="20" customWidth="1" min="5" max="5"/>
    <col width="4" customWidth="1" min="6" max="6"/>
    <col width="30" customWidth="1" min="7" max="7"/>
  </cols>
  <sheetData>
    <row r="2" ht="26" customHeight="1">
      <c r="B2" s="1" t="inlineStr">
        <is>
          <t>CUADRO N° 2 — INGRESOS, COSTOS Y GASTOS OPERACIONALES (AÑO 1)</t>
        </is>
      </c>
    </row>
    <row r="3">
      <c r="B3" s="2" t="inlineStr">
        <is>
          <t>Álvaro Villena · README XII.4 · El precio se fija en el techo declarado del negocio: $249.990 con IVA</t>
        </is>
      </c>
    </row>
    <row r="5" ht="30" customHeight="1">
      <c r="D5" s="5" t="inlineStr">
        <is>
          <t>VALOR MES $</t>
        </is>
      </c>
      <c r="E5" s="5" t="inlineStr">
        <is>
          <t>VALOR AÑO 1 $</t>
        </is>
      </c>
      <c r="G5" s="5" t="inlineStr">
        <is>
          <t>ESTUDIO DE ORIGEN</t>
        </is>
      </c>
    </row>
    <row r="7">
      <c r="C7" s="57" t="inlineStr">
        <is>
          <t>VENTAS</t>
        </is>
      </c>
      <c r="G7" s="58" t="inlineStr">
        <is>
          <t>ESTUDIO DE MERCADO</t>
        </is>
      </c>
    </row>
    <row r="8">
      <c r="C8" s="18" t="inlineStr">
        <is>
          <t>Unidades vendidas</t>
        </is>
      </c>
      <c r="D8" s="59">
        <f>E8/12</f>
        <v/>
      </c>
      <c r="E8" s="60">
        <f>'PARÁMETROS'!C26</f>
        <v/>
      </c>
    </row>
    <row r="9">
      <c r="C9" s="18" t="inlineStr">
        <is>
          <t>Precio de venta neto por unidad, sin IVA ($249.990 ÷ 1,19)</t>
        </is>
      </c>
      <c r="E9" s="27">
        <f>'PARÁMETROS'!$C$17</f>
        <v/>
      </c>
    </row>
    <row r="10">
      <c r="C10" s="47" t="inlineStr">
        <is>
          <t>VT = unidades × precio neto</t>
        </is>
      </c>
      <c r="D10" s="27">
        <f>E10/12</f>
        <v/>
      </c>
      <c r="E10" s="27">
        <f>E8*E9</f>
        <v/>
      </c>
    </row>
    <row r="11">
      <c r="B11" s="61" t="inlineStr">
        <is>
          <t>(+)</t>
        </is>
      </c>
      <c r="C11" s="28" t="inlineStr">
        <is>
          <t>TOTAL VENTAS</t>
        </is>
      </c>
      <c r="D11" s="29">
        <f>D10</f>
        <v/>
      </c>
      <c r="E11" s="29">
        <f>E10</f>
        <v/>
      </c>
    </row>
    <row r="13">
      <c r="C13" s="57" t="inlineStr">
        <is>
          <t>COSTOS OPERACIONALES (COSTOS VARIABLES)</t>
        </is>
      </c>
      <c r="G13" s="58" t="inlineStr">
        <is>
          <t>ESTUDIO TÉCNICO</t>
        </is>
      </c>
    </row>
    <row r="14">
      <c r="C14" s="18" t="inlineStr">
        <is>
          <t>Materiales directos (BOM): 200 unidades × $70.656</t>
        </is>
      </c>
      <c r="D14" s="27">
        <f>E14/12</f>
        <v/>
      </c>
      <c r="E14" s="27">
        <f>$E$8*'COSTOS UNITARIOS'!D37</f>
        <v/>
      </c>
    </row>
    <row r="15">
      <c r="C15" s="18" t="inlineStr">
        <is>
          <t>Flete nacional, merma y provisión de garantía legal: 200 × $11.653</t>
        </is>
      </c>
      <c r="D15" s="27">
        <f>E15/12</f>
        <v/>
      </c>
      <c r="E15" s="27">
        <f>$E$8*'COSTOS UNITARIOS'!D38</f>
        <v/>
      </c>
    </row>
    <row r="16">
      <c r="C16" s="18" t="inlineStr">
        <is>
          <t>Mano de obra directa — ensamblaje, QA y calibración: 200 × 1,5 h × $6.000</t>
        </is>
      </c>
      <c r="D16" s="27">
        <f>E16/12</f>
        <v/>
      </c>
      <c r="E16" s="27">
        <f>$E$8*'COSTOS UNITARIOS'!D39</f>
        <v/>
      </c>
    </row>
    <row r="17">
      <c r="B17" s="61" t="inlineStr">
        <is>
          <t>(−)</t>
        </is>
      </c>
      <c r="C17" s="28" t="inlineStr">
        <is>
          <t>TOTAL COSTOS OPERACIONALES</t>
        </is>
      </c>
      <c r="D17" s="29">
        <f>SUM(D14:D16)</f>
        <v/>
      </c>
      <c r="E17" s="29">
        <f>SUM(E14:E16)</f>
        <v/>
      </c>
    </row>
    <row r="19">
      <c r="C19" s="57" t="inlineStr">
        <is>
          <t>GASTOS DE ADMINISTRACIÓN (GASTOS FIJOS)</t>
        </is>
      </c>
      <c r="G19" s="58" t="inlineStr">
        <is>
          <t>ESTUDIO ADMINISTRATIVO</t>
        </is>
      </c>
    </row>
    <row r="20">
      <c r="C20" s="18" t="inlineStr">
        <is>
          <t>Mano de obra indirecta — sueldo empresarial de los 2 socios (IMM, $553.553 c/u)</t>
        </is>
      </c>
      <c r="D20" s="27">
        <f>E20/12</f>
        <v/>
      </c>
      <c r="E20" s="27">
        <f>'PARÁMETROS'!C47*'PARÁMETROS'!C48*12</f>
        <v/>
      </c>
    </row>
    <row r="21">
      <c r="C21" s="18" t="inlineStr">
        <is>
          <t>Ensamblador — sin contratar el Año 1: lo cubren los dos socios (0,17 FTE)</t>
        </is>
      </c>
      <c r="D21" s="27">
        <f>E21/12</f>
        <v/>
      </c>
      <c r="E21" s="27" t="n">
        <v>0</v>
      </c>
    </row>
    <row r="22">
      <c r="C22" s="18" t="inlineStr">
        <is>
          <t>Servicios digitales y tiendas de aplicaciones</t>
        </is>
      </c>
      <c r="D22" s="27">
        <f>E22/12</f>
        <v/>
      </c>
      <c r="E22" s="27">
        <f>E48</f>
        <v/>
      </c>
    </row>
    <row r="23">
      <c r="C23" s="18" t="inlineStr">
        <is>
          <t>Gastos generales — energía e internet incremental (casa de ambos socios)</t>
        </is>
      </c>
      <c r="D23" s="27">
        <f>E23/12</f>
        <v/>
      </c>
      <c r="E23" s="27" t="n">
        <v>360000</v>
      </c>
    </row>
    <row r="24">
      <c r="C24" s="18" t="inlineStr">
        <is>
          <t>Contabilidad, patente municipal y asesoría legal</t>
        </is>
      </c>
      <c r="D24" s="27">
        <f>E24/12</f>
        <v/>
      </c>
      <c r="E24" s="27" t="n">
        <v>840000</v>
      </c>
    </row>
    <row r="25">
      <c r="C25" s="18" t="inlineStr">
        <is>
          <t>Materiales indirectos y seguros</t>
        </is>
      </c>
      <c r="D25" s="27">
        <f>E25/12</f>
        <v/>
      </c>
      <c r="E25" s="27" t="n">
        <v>420000</v>
      </c>
    </row>
    <row r="26">
      <c r="B26" s="61" t="inlineStr">
        <is>
          <t>(−)</t>
        </is>
      </c>
      <c r="C26" s="28" t="inlineStr">
        <is>
          <t>TOTAL GASTOS DE ADMINISTRACIÓN</t>
        </is>
      </c>
      <c r="D26" s="29">
        <f>SUM(D20:D25)</f>
        <v/>
      </c>
      <c r="E26" s="29">
        <f>SUM(E20:E25)</f>
        <v/>
      </c>
    </row>
    <row r="28">
      <c r="C28" s="57" t="inlineStr">
        <is>
          <t>GASTOS DE COMERCIALIZACIÓN (GASTOS FIJOS)</t>
        </is>
      </c>
      <c r="G28" s="58" t="inlineStr">
        <is>
          <t>ESTUDIO DE MERCADO</t>
        </is>
      </c>
    </row>
    <row r="29">
      <c r="C29" s="18" t="inlineStr">
        <is>
          <t>Publicidad y promoción — pauta digital directa en Google Ads y Meta Ads, sin agencia el Año 1</t>
        </is>
      </c>
      <c r="D29" s="27">
        <f>E29/12</f>
        <v/>
      </c>
      <c r="E29" s="27" t="n">
        <v>1200000</v>
      </c>
    </row>
    <row r="30">
      <c r="B30" s="61" t="inlineStr">
        <is>
          <t>(−)</t>
        </is>
      </c>
      <c r="C30" s="28" t="inlineStr">
        <is>
          <t>TOTAL GASTOS DE COMERCIALIZACIÓN</t>
        </is>
      </c>
      <c r="D30" s="29">
        <f>D29</f>
        <v/>
      </c>
      <c r="E30" s="29">
        <f>E29</f>
        <v/>
      </c>
    </row>
    <row r="32">
      <c r="B32" s="62" t="n"/>
      <c r="C32" s="62" t="inlineStr">
        <is>
          <t>TOTAL COSTOS Y GASTOS FIJOS (administración + comercialización)</t>
        </is>
      </c>
      <c r="D32" s="63">
        <f>D26+D30</f>
        <v/>
      </c>
      <c r="E32" s="63">
        <f>E26+E30</f>
        <v/>
      </c>
    </row>
    <row r="33">
      <c r="B33" s="62" t="n"/>
      <c r="C33" s="62" t="inlineStr">
        <is>
          <t>TOTAL COSTOS Y GASTOS  (CT)</t>
        </is>
      </c>
      <c r="D33" s="63">
        <f>D17+D32</f>
        <v/>
      </c>
      <c r="E33" s="63">
        <f>E17+E32</f>
        <v/>
      </c>
    </row>
    <row r="35" ht="22" customHeight="1">
      <c r="B35" s="64" t="inlineStr">
        <is>
          <t>(=)</t>
        </is>
      </c>
      <c r="C35" s="40" t="inlineStr">
        <is>
          <t>UTILIDAD (PÉRDIDA) OPERACIONAL — antes de depreciación e intereses</t>
        </is>
      </c>
      <c r="D35" s="41">
        <f>D11-D33</f>
        <v/>
      </c>
      <c r="E35" s="41">
        <f>E11-E33</f>
        <v/>
      </c>
    </row>
    <row r="36">
      <c r="C36" s="47" t="inlineStr">
        <is>
          <t>Margen implícito sobre el costo total  (VT ÷ CT − 1)</t>
        </is>
      </c>
      <c r="E36" s="65">
        <f>E11/E33-1</f>
        <v/>
      </c>
    </row>
    <row r="37" ht="24" customHeight="1">
      <c r="B37" s="16" t="inlineStr">
        <is>
          <t>La planilla estándar deriva las ventas como VT = CT × (1 + % rentabilidad). Aquí el sentido de la fórmula se invierte por una razón de negocio: el precio ya está en su techo declarado ($249.990 con IVA), así que lo que se resuelve es cuántas unidades hacen falta para cubrir el costo total — y el margen implícito resultante es la consecuencia, no el punto de partida.</t>
        </is>
      </c>
    </row>
    <row r="39" ht="19" customHeight="1">
      <c r="B39" s="4" t="inlineStr">
        <is>
          <t>DETALLE DE SERVICIOS DIGITALES Y TIENDAS DE APLICACIONES (AÑO 1)</t>
        </is>
      </c>
    </row>
    <row r="40" ht="30" customHeight="1">
      <c r="C40" s="5" t="inlineStr">
        <is>
          <t>Servicio</t>
        </is>
      </c>
      <c r="D40" s="5" t="inlineStr">
        <is>
          <t>Referencia</t>
        </is>
      </c>
      <c r="E40" s="5" t="inlineStr">
        <is>
          <t>Costo anual $</t>
        </is>
      </c>
    </row>
    <row r="41">
      <c r="C41" s="18" t="inlineStr">
        <is>
          <t>Supabase Pro (US$25 al mes)</t>
        </is>
      </c>
      <c r="D41" s="54" t="inlineStr">
        <is>
          <t>[38]</t>
        </is>
      </c>
      <c r="E41" s="27" t="n">
        <v>274500</v>
      </c>
    </row>
    <row r="42">
      <c r="C42" s="18" t="inlineStr">
        <is>
          <t>Apple Developer Program (US$99 al año)</t>
        </is>
      </c>
      <c r="D42" s="54" t="inlineStr">
        <is>
          <t>[36]</t>
        </is>
      </c>
      <c r="E42" s="27" t="n">
        <v>90585</v>
      </c>
    </row>
    <row r="43">
      <c r="C43" s="18" t="inlineStr">
        <is>
          <t>Google Play Console (US$25, pago único de por vida)</t>
        </is>
      </c>
      <c r="D43" s="54" t="inlineStr">
        <is>
          <t>[37]</t>
        </is>
      </c>
      <c r="E43" s="27" t="n">
        <v>22875</v>
      </c>
    </row>
    <row r="44">
      <c r="C44" s="18" t="inlineStr">
        <is>
          <t>Expo EAS Starter (US$19 al mes)</t>
        </is>
      </c>
      <c r="D44" s="54" t="inlineStr">
        <is>
          <t>[39]</t>
        </is>
      </c>
      <c r="E44" s="27" t="n">
        <v>208620</v>
      </c>
    </row>
    <row r="45">
      <c r="C45" s="18" t="inlineStr">
        <is>
          <t>Dominio, correo corporativo y alojamiento de la consola web</t>
        </is>
      </c>
      <c r="D45" s="54" t="inlineStr">
        <is>
          <t>Estimación</t>
        </is>
      </c>
      <c r="E45" s="27" t="n">
        <v>95000</v>
      </c>
    </row>
    <row r="46">
      <c r="C46" s="18" t="inlineStr">
        <is>
          <t>Google Maps Platform, sobre el tramo gratuito</t>
        </is>
      </c>
      <c r="D46" s="54" t="inlineStr">
        <is>
          <t>[40]</t>
        </is>
      </c>
      <c r="E46" s="27" t="n">
        <v>150000</v>
      </c>
    </row>
    <row r="47">
      <c r="C47" s="18" t="inlineStr">
        <is>
          <t>Open-Meteo (uso no comercial, gratuito por ahora)</t>
        </is>
      </c>
      <c r="D47" s="54" t="inlineStr">
        <is>
          <t>[41]</t>
        </is>
      </c>
      <c r="E47" s="27" t="n">
        <v>0</v>
      </c>
    </row>
    <row r="48">
      <c r="C48" s="28" t="inlineStr">
        <is>
          <t>TOTAL SERVICIOS DIGITALES</t>
        </is>
      </c>
      <c r="D48" s="28" t="n"/>
      <c r="E48" s="29">
        <f>SUM(E41:E47)</f>
        <v/>
      </c>
    </row>
    <row r="50" ht="19" customHeight="1">
      <c r="B50" s="4" t="inlineStr">
        <is>
          <t>PUNTO DE EQUILIBRIO CONTABLE DEL AÑO 1</t>
        </is>
      </c>
    </row>
    <row r="51">
      <c r="C51" s="18" t="inlineStr">
        <is>
          <t>Gastos fijos (administración + comercialización)</t>
        </is>
      </c>
      <c r="E51" s="27">
        <f>E32</f>
        <v/>
      </c>
    </row>
    <row r="52">
      <c r="C52" s="18" t="inlineStr">
        <is>
          <t>Depreciación anual</t>
        </is>
      </c>
      <c r="E52" s="27">
        <f>'DEPRECIACIÓN'!$E$23</f>
        <v/>
      </c>
    </row>
    <row r="53">
      <c r="C53" s="18" t="inlineStr">
        <is>
          <t>Costo financiero del Año 1</t>
        </is>
      </c>
      <c r="E53" s="27">
        <f>'AMORTIZACIÓN'!C30</f>
        <v/>
      </c>
    </row>
    <row r="54">
      <c r="C54" s="18" t="inlineStr">
        <is>
          <t>Margen de contribución unitario (precio neto − costo variable unitario)</t>
        </is>
      </c>
      <c r="E54" s="27">
        <f>'PARÁMETROS'!$C$17-'COSTOS UNITARIOS'!$D$24</f>
        <v/>
      </c>
    </row>
    <row r="55">
      <c r="C55" s="9" t="inlineStr">
        <is>
          <t>PUNTO DE EQUILIBRIO CONTABLE (unidades)</t>
        </is>
      </c>
      <c r="E55" s="14">
        <f>ROUND((E51+E52+E53)/E54,0)</f>
        <v/>
      </c>
    </row>
    <row r="56">
      <c r="C56" s="18" t="inlineStr">
        <is>
          <t>Unidades planificadas</t>
        </is>
      </c>
      <c r="E56" s="60">
        <f>E8</f>
        <v/>
      </c>
    </row>
    <row r="57">
      <c r="C57" s="9" t="inlineStr">
        <is>
          <t>Holgura sobre el punto de equilibrio</t>
        </is>
      </c>
      <c r="E57" s="53">
        <f>E56/E55-1</f>
        <v/>
      </c>
    </row>
  </sheetData>
  <mergeCells count="5">
    <mergeCell ref="B3:G3"/>
    <mergeCell ref="B2:G2"/>
    <mergeCell ref="B37:G37"/>
    <mergeCell ref="B50:G50"/>
    <mergeCell ref="B39:G39"/>
  </mergeCells>
  <pageMargins left="0.75" right="0.75" top="1" bottom="1" header="0.5" footer="0.5"/>
  <pageSetup orientation="landscape" fitToHeight="0" fitToWidth="1"/>
  <headerFooter>
    <oddHeader>&amp;LTerraSense — Evaluación económica del proyecto</oddHeader>
    <oddFooter>&amp;RPágina &amp;P de &amp;N</oddFooter>
    <evenHeader/>
    <evenFooter/>
    <firstHeader/>
    <firstFooter/>
  </headerFooter>
</worksheet>
</file>

<file path=xl/worksheets/sheet9.xml><?xml version="1.0" encoding="utf-8"?>
<worksheet xmlns="http://schemas.openxmlformats.org/spreadsheetml/2006/main">
  <sheetPr>
    <tabColor rgb="0040916C"/>
    <outlinePr summaryBelow="1" summaryRight="1"/>
    <pageSetUpPr fitToPage="1"/>
  </sheetPr>
  <dimension ref="B2:H3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58" customWidth="1" min="2" max="2"/>
    <col width="18" customWidth="1" min="3" max="3"/>
    <col width="18" customWidth="1" min="4" max="4"/>
    <col width="18" customWidth="1" min="5" max="5"/>
    <col width="18" customWidth="1" min="6" max="6"/>
    <col width="18" customWidth="1" min="7" max="7"/>
    <col width="44" customWidth="1" min="8" max="8"/>
  </cols>
  <sheetData>
    <row r="2" ht="26" customHeight="1">
      <c r="B2" s="1" t="inlineStr">
        <is>
          <t>ESTRUCTURA DE GASTOS FIJOS POR AÑO Y JUSTIFICACIÓN DEL ESCALAMIENTO</t>
        </is>
      </c>
    </row>
    <row r="3">
      <c r="B3" s="2" t="inlineStr">
        <is>
          <t>README XII.4.3 · El crecimiento no se modela con un índice genérico: se modela con la dotación y los arriendos reales de cada año</t>
        </is>
      </c>
    </row>
    <row r="4" ht="19" customHeight="1">
      <c r="B4" s="4" t="inlineStr">
        <is>
          <t>GASTOS DE ADMINISTRACIÓN</t>
        </is>
      </c>
    </row>
    <row r="5" ht="30" customHeight="1">
      <c r="B5" s="5" t="inlineStr">
        <is>
          <t>Concepto</t>
        </is>
      </c>
      <c r="C5" s="5" t="inlineStr">
        <is>
          <t>Año 1</t>
        </is>
      </c>
      <c r="D5" s="5" t="inlineStr">
        <is>
          <t>Año 2</t>
        </is>
      </c>
      <c r="E5" s="5" t="inlineStr">
        <is>
          <t>Año 3</t>
        </is>
      </c>
      <c r="F5" s="5" t="inlineStr">
        <is>
          <t>Año 4</t>
        </is>
      </c>
      <c r="G5" s="5" t="inlineStr">
        <is>
          <t>Año 5</t>
        </is>
      </c>
      <c r="H5" s="5" t="inlineStr">
        <is>
          <t>Justificación del escalamiento</t>
        </is>
      </c>
    </row>
    <row r="6">
      <c r="B6" s="18" t="inlineStr">
        <is>
          <t>Sueldo empresarial de los 2 socios</t>
        </is>
      </c>
      <c r="C6" s="27">
        <f>'ESTADO DE RESULTADOS'!E20</f>
        <v/>
      </c>
      <c r="D6" s="27" t="n">
        <v>14400000</v>
      </c>
      <c r="E6" s="27" t="n">
        <v>21600000</v>
      </c>
      <c r="F6" s="27" t="n">
        <v>24000000</v>
      </c>
      <c r="G6" s="27" t="n">
        <v>28800000</v>
      </c>
      <c r="H6" s="45" t="inlineStr">
        <is>
          <t>Año 1 al IMM; sube a medida que el negocio lo sostiene</t>
        </is>
      </c>
    </row>
    <row r="7">
      <c r="B7" s="66" t="inlineStr">
        <is>
          <t>→ equivale a, por socio y por mes</t>
        </is>
      </c>
      <c r="C7" s="67">
        <f>C6/12/'PARÁMETROS'!$C$48</f>
        <v/>
      </c>
      <c r="D7" s="67">
        <f>D6/12/'PARÁMETROS'!$C$48</f>
        <v/>
      </c>
      <c r="E7" s="67">
        <f>E6/12/'PARÁMETROS'!$C$48</f>
        <v/>
      </c>
      <c r="F7" s="67">
        <f>F6/12/'PARÁMETROS'!$C$48</f>
        <v/>
      </c>
      <c r="G7" s="67">
        <f>G6/12/'PARÁMETROS'!$C$48</f>
        <v/>
      </c>
    </row>
    <row r="8">
      <c r="B8" s="18" t="inlineStr">
        <is>
          <t>Ensamblador(es) contratados</t>
        </is>
      </c>
      <c r="C8" s="27" t="n">
        <v>0</v>
      </c>
      <c r="D8" s="27" t="n">
        <v>4800000</v>
      </c>
      <c r="E8" s="27" t="n">
        <v>14400000</v>
      </c>
      <c r="F8" s="27" t="n">
        <v>21600000</v>
      </c>
      <c r="G8" s="27" t="n">
        <v>30000000</v>
      </c>
      <c r="H8" s="45" t="inlineStr">
        <is>
          <t>1 el Año 2, 2 el Año 3, 3 el Año 4 y 4 el Año 5</t>
        </is>
      </c>
    </row>
    <row r="9">
      <c r="B9" s="18" t="inlineStr">
        <is>
          <t>Arriendo de taller / oficina</t>
        </is>
      </c>
      <c r="C9" s="27" t="n">
        <v>0</v>
      </c>
      <c r="D9" s="27" t="n">
        <v>0</v>
      </c>
      <c r="E9" s="27" t="n">
        <v>4200000</v>
      </c>
      <c r="F9" s="27" t="n">
        <v>4200000</v>
      </c>
      <c r="G9" s="27" t="n">
        <v>5040000</v>
      </c>
      <c r="H9" s="45" t="inlineStr">
        <is>
          <t>Los Años 1 y 2 la producción cabe en la casa de los socios</t>
        </is>
      </c>
    </row>
    <row r="10">
      <c r="B10" s="18" t="inlineStr">
        <is>
          <t>Servicios digitales y tiendas de aplicaciones</t>
        </is>
      </c>
      <c r="C10" s="27">
        <f>'ESTADO DE RESULTADOS'!E22</f>
        <v/>
      </c>
      <c r="D10" s="27" t="n">
        <v>850000</v>
      </c>
      <c r="E10" s="27" t="n">
        <v>900000</v>
      </c>
      <c r="F10" s="27" t="n">
        <v>950000</v>
      </c>
      <c r="G10" s="27" t="n">
        <v>1000000</v>
      </c>
      <c r="H10" s="45" t="inlineStr">
        <is>
          <t>Supabase, Apple, Google Play, Expo, dominio y mapas</t>
        </is>
      </c>
    </row>
    <row r="11">
      <c r="B11" s="18" t="inlineStr">
        <is>
          <t>Energía, agua e internet</t>
        </is>
      </c>
      <c r="C11" s="27" t="n">
        <v>360000</v>
      </c>
      <c r="D11" s="27" t="n">
        <v>420000</v>
      </c>
      <c r="E11" s="27" t="n">
        <v>1140000</v>
      </c>
      <c r="F11" s="27" t="n">
        <v>1140000</v>
      </c>
      <c r="G11" s="27" t="n">
        <v>1320000</v>
      </c>
      <c r="H11" s="45" t="inlineStr">
        <is>
          <t>Salta el Año 3 al incorporarse el taller arrendado</t>
        </is>
      </c>
    </row>
    <row r="12">
      <c r="B12" s="18" t="inlineStr">
        <is>
          <t>Contabilidad, patente municipal y asesoría legal</t>
        </is>
      </c>
      <c r="C12" s="27" t="n">
        <v>840000</v>
      </c>
      <c r="D12" s="27" t="n">
        <v>960000</v>
      </c>
      <c r="E12" s="27" t="n">
        <v>1680000</v>
      </c>
      <c r="F12" s="27" t="n">
        <v>1680000</v>
      </c>
      <c r="G12" s="27" t="n">
        <v>1980000</v>
      </c>
      <c r="H12" s="45" t="inlineStr">
        <is>
          <t>Escala con la dotación y con la formalización del taller</t>
        </is>
      </c>
    </row>
    <row r="13">
      <c r="B13" s="18" t="inlineStr">
        <is>
          <t>Materiales indirectos y seguros</t>
        </is>
      </c>
      <c r="C13" s="27" t="n">
        <v>420000</v>
      </c>
      <c r="D13" s="27" t="n">
        <v>480000</v>
      </c>
      <c r="E13" s="27" t="n">
        <v>840000</v>
      </c>
      <c r="F13" s="27" t="n">
        <v>900000</v>
      </c>
      <c r="G13" s="27" t="n">
        <v>980000</v>
      </c>
      <c r="H13" s="45" t="inlineStr">
        <is>
          <t>Escala con el volumen y con el activo asegurado</t>
        </is>
      </c>
    </row>
    <row r="14">
      <c r="B14" s="28" t="inlineStr">
        <is>
          <t>SUBTOTAL GASTOS DE ADMINISTRACIÓN</t>
        </is>
      </c>
      <c r="C14" s="29">
        <f>C6+C8+C9+C10+C11+C12+C13</f>
        <v/>
      </c>
      <c r="D14" s="29">
        <f>D6+D8+D9+D10+D11+D12+D13</f>
        <v/>
      </c>
      <c r="E14" s="29">
        <f>E6+E8+E9+E10+E11+E12+E13</f>
        <v/>
      </c>
      <c r="F14" s="29">
        <f>F6+F8+F9+F10+F11+F12+F13</f>
        <v/>
      </c>
      <c r="G14" s="29">
        <f>G6+G8+G9+G10+G11+G12+G13</f>
        <v/>
      </c>
      <c r="H14" s="28" t="n"/>
    </row>
    <row r="16" ht="19" customHeight="1">
      <c r="B16" s="4" t="inlineStr">
        <is>
          <t>GASTOS DE COMERCIALIZACIÓN</t>
        </is>
      </c>
    </row>
    <row r="17" ht="28" customHeight="1">
      <c r="B17" s="26" t="inlineStr">
        <is>
          <t>Publicidad y promoción — Año 1: pauta digital directa sin agencia; Año 2 en adelante: agencia de marketing</t>
        </is>
      </c>
      <c r="C17" s="27">
        <f>'ESTADO DE RESULTADOS'!E29</f>
        <v/>
      </c>
      <c r="D17" s="27" t="n">
        <v>7080000</v>
      </c>
      <c r="E17" s="27" t="n">
        <v>10680000</v>
      </c>
      <c r="F17" s="27" t="n">
        <v>12000000</v>
      </c>
      <c r="G17" s="27" t="n">
        <v>14400000</v>
      </c>
      <c r="H17" s="45" t="inlineStr">
        <is>
          <t>El salto del Año 2 es la contratación de la primera agencia</t>
        </is>
      </c>
    </row>
    <row r="18">
      <c r="B18" s="28" t="inlineStr">
        <is>
          <t>SUBTOTAL GASTOS DE COMERCIALIZACIÓN</t>
        </is>
      </c>
      <c r="C18" s="29">
        <f>C17</f>
        <v/>
      </c>
      <c r="D18" s="29">
        <f>D17</f>
        <v/>
      </c>
      <c r="E18" s="29">
        <f>E17</f>
        <v/>
      </c>
      <c r="F18" s="29">
        <f>F17</f>
        <v/>
      </c>
      <c r="G18" s="29">
        <f>G17</f>
        <v/>
      </c>
      <c r="H18" s="28" t="n"/>
    </row>
    <row r="20" ht="22" customHeight="1">
      <c r="B20" s="40" t="inlineStr">
        <is>
          <t>TOTAL GASTOS FIJOS</t>
        </is>
      </c>
      <c r="C20" s="41">
        <f>C14+C18</f>
        <v/>
      </c>
      <c r="D20" s="41">
        <f>D14+D18</f>
        <v/>
      </c>
      <c r="E20" s="41">
        <f>E14+E18</f>
        <v/>
      </c>
      <c r="F20" s="41">
        <f>F14+F18</f>
        <v/>
      </c>
      <c r="G20" s="41">
        <f>G14+G18</f>
        <v/>
      </c>
      <c r="H20" s="40" t="n"/>
    </row>
    <row r="22" ht="19" customHeight="1">
      <c r="B22" s="4" t="inlineStr">
        <is>
          <t>INDICADORES DERIVADOS POR AÑO</t>
        </is>
      </c>
    </row>
    <row r="23">
      <c r="B23" s="18" t="inlineStr">
        <is>
          <t>Unidades planificadas</t>
        </is>
      </c>
      <c r="C23" s="60">
        <f>'PARÁMETROS'!C26</f>
        <v/>
      </c>
      <c r="D23" s="60">
        <f>'PARÁMETROS'!D26</f>
        <v/>
      </c>
      <c r="E23" s="60">
        <f>'PARÁMETROS'!E26</f>
        <v/>
      </c>
      <c r="F23" s="60">
        <f>'PARÁMETROS'!F26</f>
        <v/>
      </c>
      <c r="G23" s="60">
        <f>'PARÁMETROS'!G26</f>
        <v/>
      </c>
      <c r="H23" s="45" t="inlineStr">
        <is>
          <t>XI.1</t>
        </is>
      </c>
    </row>
    <row r="24">
      <c r="B24" s="18" t="inlineStr">
        <is>
          <t>CAC — costo de adquisición por cliente (marketing ÷ unidades)</t>
        </is>
      </c>
      <c r="C24" s="27">
        <f>C18/C23</f>
        <v/>
      </c>
      <c r="D24" s="27">
        <f>D18/D23</f>
        <v/>
      </c>
      <c r="E24" s="27">
        <f>E18/E23</f>
        <v/>
      </c>
      <c r="F24" s="27">
        <f>F18/F23</f>
        <v/>
      </c>
      <c r="G24" s="27">
        <f>G18/G23</f>
        <v/>
      </c>
      <c r="H24" s="45" t="inlineStr">
        <is>
          <t>El del Año 1 es artificialmente bajo: es trabajo directo de los socios, no una eficiencia replicable</t>
        </is>
      </c>
    </row>
    <row r="25">
      <c r="B25" s="18" t="inlineStr">
        <is>
          <t>Costo variable unitario</t>
        </is>
      </c>
      <c r="C25" s="27">
        <f>'COSTOS UNITARIOS'!E29</f>
        <v/>
      </c>
      <c r="D25" s="27">
        <f>'COSTOS UNITARIOS'!E30</f>
        <v/>
      </c>
      <c r="E25" s="27">
        <f>'COSTOS UNITARIOS'!E31</f>
        <v/>
      </c>
      <c r="F25" s="27">
        <f>'COSTOS UNITARIOS'!E32</f>
        <v/>
      </c>
      <c r="G25" s="27">
        <f>'COSTOS UNITARIOS'!E33</f>
        <v/>
      </c>
      <c r="H25" s="45" t="inlineStr">
        <is>
          <t>Curva de escala de XII.2.3</t>
        </is>
      </c>
    </row>
    <row r="26">
      <c r="B26" s="18" t="inlineStr">
        <is>
          <t>Margen de contribución unitario</t>
        </is>
      </c>
      <c r="C26" s="27">
        <f>'PARÁMETROS'!$C$17-C25</f>
        <v/>
      </c>
      <c r="D26" s="27">
        <f>'PARÁMETROS'!$C$17-D25</f>
        <v/>
      </c>
      <c r="E26" s="27">
        <f>'PARÁMETROS'!$C$17-E25</f>
        <v/>
      </c>
      <c r="F26" s="27">
        <f>'PARÁMETROS'!$C$17-F25</f>
        <v/>
      </c>
      <c r="G26" s="27">
        <f>'PARÁMETROS'!$C$17-G25</f>
        <v/>
      </c>
      <c r="H26" s="45" t="inlineStr">
        <is>
          <t>Precio neto − costo variable unitario</t>
        </is>
      </c>
    </row>
    <row r="27">
      <c r="B27" s="18" t="inlineStr">
        <is>
          <t>Depreciación anual</t>
        </is>
      </c>
      <c r="C27" s="27">
        <f>'DEPRECIACIÓN'!$E$23</f>
        <v/>
      </c>
      <c r="D27" s="27">
        <f>'DEPRECIACIÓN'!$E$23</f>
        <v/>
      </c>
      <c r="E27" s="27">
        <f>'DEPRECIACIÓN'!$E$23</f>
        <v/>
      </c>
      <c r="F27" s="27">
        <f>'DEPRECIACIÓN'!$E$23</f>
        <v/>
      </c>
      <c r="G27" s="27">
        <f>'DEPRECIACIÓN'!$E$23</f>
        <v/>
      </c>
      <c r="H27" s="45" t="inlineStr">
        <is>
          <t>Constante durante los 5 años</t>
        </is>
      </c>
    </row>
    <row r="28">
      <c r="B28" s="18" t="inlineStr">
        <is>
          <t>Costo financiero del año</t>
        </is>
      </c>
      <c r="C28" s="27">
        <f>'AMORTIZACIÓN'!C30</f>
        <v/>
      </c>
      <c r="D28" s="27">
        <f>'AMORTIZACIÓN'!D30</f>
        <v/>
      </c>
      <c r="E28" s="27">
        <f>'AMORTIZACIÓN'!E30</f>
        <v/>
      </c>
      <c r="F28" s="27">
        <f>'AMORTIZACIÓN'!F30</f>
        <v/>
      </c>
      <c r="G28" s="27">
        <f>'AMORTIZACIÓN'!G30</f>
        <v/>
      </c>
      <c r="H28" s="45" t="inlineStr">
        <is>
          <t>Intereses de ambos préstamos</t>
        </is>
      </c>
    </row>
    <row r="29">
      <c r="B29" s="9" t="inlineStr">
        <is>
          <t>PUNTO DE EQUILIBRIO CONTABLE (unidades)</t>
        </is>
      </c>
      <c r="C29" s="14">
        <f>ROUND((C20+C27+C28)/C26,0)</f>
        <v/>
      </c>
      <c r="D29" s="14">
        <f>ROUND((D20+D27+D28)/D26,0)</f>
        <v/>
      </c>
      <c r="E29" s="14">
        <f>ROUND((E20+E27+E28)/E26,0)</f>
        <v/>
      </c>
      <c r="F29" s="14">
        <f>ROUND((F20+F27+F28)/F26,0)</f>
        <v/>
      </c>
      <c r="G29" s="14">
        <f>ROUND((G20+G27+G28)/G26,0)</f>
        <v/>
      </c>
      <c r="H29" s="45" t="inlineStr">
        <is>
          <t>Incluye depreciación e interés, no sólo el gasto fijo de caja</t>
        </is>
      </c>
    </row>
    <row r="30">
      <c r="B30" s="9" t="inlineStr">
        <is>
          <t>Holgura del volumen sobre el equilibrio</t>
        </is>
      </c>
      <c r="C30" s="53">
        <f>C23/C29-1</f>
        <v/>
      </c>
      <c r="D30" s="53">
        <f>D23/D29-1</f>
        <v/>
      </c>
      <c r="E30" s="53">
        <f>E23/E29-1</f>
        <v/>
      </c>
      <c r="F30" s="53">
        <f>F23/F29-1</f>
        <v/>
      </c>
      <c r="G30" s="53">
        <f>G23/G29-1</f>
        <v/>
      </c>
      <c r="H30" s="45" t="inlineStr">
        <is>
          <t>El Año 3 es el más ajustado: se contrata al segundo ensamblador y se arrienda el primer taller</t>
        </is>
      </c>
    </row>
    <row r="32" ht="36" customHeight="1">
      <c r="B32" s="16" t="inlineStr">
        <is>
          <t>Por qué las ventas crecen: Año 2, primera agencia de marketing y canal PRODESAL/INDAP; Año 3, convenio con distribuidor de insumos agrícolas y primer taller arrendado; Año 4, consolidación del canal B2B y primera postulación a compra institucional; Año 5, cobertura multirregional con ~1.700 equipos instalados.</t>
        </is>
      </c>
    </row>
  </sheetData>
  <mergeCells count="6">
    <mergeCell ref="B22:H22"/>
    <mergeCell ref="B32:H32"/>
    <mergeCell ref="B4:H4"/>
    <mergeCell ref="B16:H16"/>
    <mergeCell ref="B2:H2"/>
    <mergeCell ref="B3:H3"/>
  </mergeCells>
  <pageMargins left="0.75" right="0.75" top="1" bottom="1" header="0.5" footer="0.5"/>
  <pageSetup orientation="landscape" fitToHeight="0" fitToWidth="1"/>
  <headerFooter>
    <oddHeader>&amp;LTerraSense — Evaluación económica del proyecto</oddHeader>
    <oddFooter>&amp;RPágina &amp;P de &amp;N</oddFooter>
    <evenHeader/>
    <evenFooter/>
    <firstHeader/>
    <firstFooter/>
  </headerFooter>
</worksheet>
</file>

<file path=xl/worksheets/sheet10.xml><?xml version="1.0" encoding="utf-8"?>
<worksheet xmlns="http://schemas.openxmlformats.org/spreadsheetml/2006/main">
  <sheetPr>
    <tabColor rgb="00B7791F"/>
    <outlinePr summaryBelow="1" summaryRight="1"/>
    <pageSetUpPr fitToPage="1"/>
  </sheetPr>
  <dimension ref="B2:H52"/>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2" customWidth="1" min="1" max="1"/>
    <col width="54" customWidth="1" min="2" max="2"/>
    <col width="19" customWidth="1" min="3" max="3"/>
    <col width="19" customWidth="1" min="4" max="4"/>
    <col width="19" customWidth="1" min="5" max="5"/>
    <col width="19" customWidth="1" min="6" max="6"/>
    <col width="19" customWidth="1" min="7" max="7"/>
    <col width="19" customWidth="1" min="8" max="8"/>
  </cols>
  <sheetData>
    <row r="2" ht="26" customHeight="1">
      <c r="B2" s="1" t="inlineStr">
        <is>
          <t>CUADRO N° 3 — ESTADO DE RESULTADOS PROYECTADO A 5 AÑOS</t>
        </is>
      </c>
    </row>
    <row r="3">
      <c r="B3" s="2" t="inlineStr">
        <is>
          <t>Álvaro Villena · README XII.5 y XII.7 · Flujo de fondos, VAN, TIR y Pay Back</t>
        </is>
      </c>
    </row>
    <row r="5" ht="20" customHeight="1">
      <c r="B5" s="5" t="inlineStr">
        <is>
          <t>Concepto</t>
        </is>
      </c>
      <c r="C5" s="5" t="inlineStr">
        <is>
          <t>AÑO 0</t>
        </is>
      </c>
      <c r="D5" s="5" t="inlineStr">
        <is>
          <t>AÑO 1</t>
        </is>
      </c>
      <c r="E5" s="5" t="inlineStr">
        <is>
          <t>AÑO 2</t>
        </is>
      </c>
      <c r="F5" s="5" t="inlineStr">
        <is>
          <t>AÑO 3</t>
        </is>
      </c>
      <c r="G5" s="5" t="inlineStr">
        <is>
          <t>AÑO 4</t>
        </is>
      </c>
      <c r="H5" s="5" t="inlineStr">
        <is>
          <t>AÑO 5</t>
        </is>
      </c>
    </row>
    <row r="6">
      <c r="B6" s="36" t="inlineStr">
        <is>
          <t>Año calendario</t>
        </is>
      </c>
      <c r="C6" s="68" t="n">
        <v>2026</v>
      </c>
      <c r="D6" s="68" t="n">
        <v>2027</v>
      </c>
      <c r="E6" s="68" t="n">
        <v>2028</v>
      </c>
      <c r="F6" s="68" t="n">
        <v>2029</v>
      </c>
      <c r="G6" s="68" t="n">
        <v>2030</v>
      </c>
      <c r="H6" s="68" t="n">
        <v>2031</v>
      </c>
    </row>
    <row r="7">
      <c r="B7" s="36" t="inlineStr">
        <is>
          <t>n (período de descuento)</t>
        </is>
      </c>
      <c r="C7" s="68" t="n">
        <v>0</v>
      </c>
      <c r="D7" s="68" t="n">
        <v>1</v>
      </c>
      <c r="E7" s="68" t="n">
        <v>2</v>
      </c>
      <c r="F7" s="68" t="n">
        <v>3</v>
      </c>
      <c r="G7" s="68" t="n">
        <v>4</v>
      </c>
      <c r="H7" s="68" t="n">
        <v>5</v>
      </c>
    </row>
    <row r="8">
      <c r="B8" s="47" t="inlineStr">
        <is>
          <t>Unidades vendidas</t>
        </is>
      </c>
      <c r="D8" s="69">
        <f>'PARÁMETROS'!C26</f>
        <v/>
      </c>
      <c r="E8" s="69">
        <f>'PARÁMETROS'!D26</f>
        <v/>
      </c>
      <c r="F8" s="69">
        <f>'PARÁMETROS'!E26</f>
        <v/>
      </c>
      <c r="G8" s="69">
        <f>'PARÁMETROS'!F26</f>
        <v/>
      </c>
      <c r="H8" s="69">
        <f>'PARÁMETROS'!G26</f>
        <v/>
      </c>
    </row>
    <row r="9">
      <c r="B9" s="18" t="inlineStr">
        <is>
          <t>(+) VENTAS</t>
        </is>
      </c>
      <c r="C9" s="27" t="n">
        <v>0</v>
      </c>
      <c r="D9" s="27">
        <f>D8*'PARÁMETROS'!$C$17</f>
        <v/>
      </c>
      <c r="E9" s="27">
        <f>E8*'PARÁMETROS'!$C$17</f>
        <v/>
      </c>
      <c r="F9" s="27">
        <f>F8*'PARÁMETROS'!$C$17</f>
        <v/>
      </c>
      <c r="G9" s="27">
        <f>G8*'PARÁMETROS'!$C$17</f>
        <v/>
      </c>
      <c r="H9" s="27">
        <f>H8*'PARÁMETROS'!$C$17</f>
        <v/>
      </c>
    </row>
    <row r="10">
      <c r="B10" s="18" t="inlineStr">
        <is>
          <t>(−) COSTOS OPERACIONALES (variables)</t>
        </is>
      </c>
      <c r="C10" s="27" t="n">
        <v>0</v>
      </c>
      <c r="D10" s="27">
        <f>D8*'COSTOS UNITARIOS'!$E$29</f>
        <v/>
      </c>
      <c r="E10" s="27">
        <f>E8*'COSTOS UNITARIOS'!$E$30</f>
        <v/>
      </c>
      <c r="F10" s="27">
        <f>F8*'COSTOS UNITARIOS'!$E$31</f>
        <v/>
      </c>
      <c r="G10" s="27">
        <f>G8*'COSTOS UNITARIOS'!$E$32</f>
        <v/>
      </c>
      <c r="H10" s="27">
        <f>H8*'COSTOS UNITARIOS'!$E$33</f>
        <v/>
      </c>
    </row>
    <row r="11">
      <c r="B11" s="18" t="inlineStr">
        <is>
          <t>(−) GASTOS DE ADMINISTRACIÓN</t>
        </is>
      </c>
      <c r="C11" s="27" t="n">
        <v>0</v>
      </c>
      <c r="D11" s="27">
        <f>'GASTOS FIJOS 5 AÑOS'!C14</f>
        <v/>
      </c>
      <c r="E11" s="27">
        <f>'GASTOS FIJOS 5 AÑOS'!D14</f>
        <v/>
      </c>
      <c r="F11" s="27">
        <f>'GASTOS FIJOS 5 AÑOS'!E14</f>
        <v/>
      </c>
      <c r="G11" s="27">
        <f>'GASTOS FIJOS 5 AÑOS'!F14</f>
        <v/>
      </c>
      <c r="H11" s="27">
        <f>'GASTOS FIJOS 5 AÑOS'!G14</f>
        <v/>
      </c>
    </row>
    <row r="12">
      <c r="B12" s="18" t="inlineStr">
        <is>
          <t>(−) GASTOS DE COMERCIALIZACIÓN</t>
        </is>
      </c>
      <c r="C12" s="27" t="n">
        <v>0</v>
      </c>
      <c r="D12" s="27">
        <f>'GASTOS FIJOS 5 AÑOS'!C18</f>
        <v/>
      </c>
      <c r="E12" s="27">
        <f>'GASTOS FIJOS 5 AÑOS'!D18</f>
        <v/>
      </c>
      <c r="F12" s="27">
        <f>'GASTOS FIJOS 5 AÑOS'!E18</f>
        <v/>
      </c>
      <c r="G12" s="27">
        <f>'GASTOS FIJOS 5 AÑOS'!F18</f>
        <v/>
      </c>
      <c r="H12" s="27">
        <f>'GASTOS FIJOS 5 AÑOS'!G18</f>
        <v/>
      </c>
    </row>
    <row r="13">
      <c r="B13" s="18" t="inlineStr">
        <is>
          <t>(−) DEPRECIACIÓN</t>
        </is>
      </c>
      <c r="C13" s="27" t="n">
        <v>0</v>
      </c>
      <c r="D13" s="27">
        <f>'DEPRECIACIÓN'!$E$23</f>
        <v/>
      </c>
      <c r="E13" s="27">
        <f>'DEPRECIACIÓN'!$E$23</f>
        <v/>
      </c>
      <c r="F13" s="27">
        <f>'DEPRECIACIÓN'!$E$23</f>
        <v/>
      </c>
      <c r="G13" s="27">
        <f>'DEPRECIACIÓN'!$E$23</f>
        <v/>
      </c>
      <c r="H13" s="27">
        <f>'DEPRECIACIÓN'!$E$23</f>
        <v/>
      </c>
    </row>
    <row r="14">
      <c r="B14" s="18" t="inlineStr">
        <is>
          <t>(−) COSTO FINANCIERO</t>
        </is>
      </c>
      <c r="C14" s="27" t="n">
        <v>0</v>
      </c>
      <c r="D14" s="27">
        <f>'AMORTIZACIÓN'!C30</f>
        <v/>
      </c>
      <c r="E14" s="27">
        <f>'AMORTIZACIÓN'!D30</f>
        <v/>
      </c>
      <c r="F14" s="27">
        <f>'AMORTIZACIÓN'!E30</f>
        <v/>
      </c>
      <c r="G14" s="27">
        <f>'AMORTIZACIÓN'!F30</f>
        <v/>
      </c>
      <c r="H14" s="27">
        <f>'AMORTIZACIÓN'!G30</f>
        <v/>
      </c>
    </row>
    <row r="15">
      <c r="B15" s="28" t="inlineStr">
        <is>
          <t>(=) UTILIDAD (PÉRDIDA) OPERACIONAL</t>
        </is>
      </c>
      <c r="C15" s="29" t="n">
        <v>0</v>
      </c>
      <c r="D15" s="29">
        <f>D9-D10-D11-D12-D13-D14</f>
        <v/>
      </c>
      <c r="E15" s="29">
        <f>E9-E10-E11-E12-E13-E14</f>
        <v/>
      </c>
      <c r="F15" s="29">
        <f>F9-F10-F11-F12-F13-F14</f>
        <v/>
      </c>
      <c r="G15" s="29">
        <f>G9-G10-G11-G12-G13-G14</f>
        <v/>
      </c>
      <c r="H15" s="29">
        <f>H9-H10-H11-H12-H13-H14</f>
        <v/>
      </c>
    </row>
    <row r="16">
      <c r="B16" s="18" t="inlineStr">
        <is>
          <t>(−) IMPUESTO A LA RENTA (25 %)</t>
        </is>
      </c>
      <c r="C16" s="27" t="n">
        <v>0</v>
      </c>
      <c r="D16" s="27">
        <f>D15*'PARÁMETROS'!$C$8</f>
        <v/>
      </c>
      <c r="E16" s="27">
        <f>E15*'PARÁMETROS'!$C$8</f>
        <v/>
      </c>
      <c r="F16" s="27">
        <f>F15*'PARÁMETROS'!$C$8</f>
        <v/>
      </c>
      <c r="G16" s="27">
        <f>G15*'PARÁMETROS'!$C$8</f>
        <v/>
      </c>
      <c r="H16" s="27">
        <f>H15*'PARÁMETROS'!$C$8</f>
        <v/>
      </c>
    </row>
    <row r="17">
      <c r="B17" s="28" t="inlineStr">
        <is>
          <t>(=) UTILIDAD (PÉRDIDA) NETA DEL PROYECTO</t>
        </is>
      </c>
      <c r="C17" s="29" t="n">
        <v>0</v>
      </c>
      <c r="D17" s="29">
        <f>D15-D16</f>
        <v/>
      </c>
      <c r="E17" s="29">
        <f>E15-E16</f>
        <v/>
      </c>
      <c r="F17" s="29">
        <f>F15-F16</f>
        <v/>
      </c>
      <c r="G17" s="29">
        <f>G15-G16</f>
        <v/>
      </c>
      <c r="H17" s="29">
        <f>H15-H16</f>
        <v/>
      </c>
    </row>
    <row r="19" ht="19" customHeight="1">
      <c r="B19" s="4" t="inlineStr">
        <is>
          <t>CÁLCULO DEL FLUJO DE FONDOS PARA LA EVALUACIÓN DEL PROYECTO</t>
        </is>
      </c>
    </row>
    <row r="20" ht="20" customHeight="1">
      <c r="B20" s="5" t="inlineStr">
        <is>
          <t>Concepto</t>
        </is>
      </c>
      <c r="C20" s="5" t="inlineStr">
        <is>
          <t>AÑO 0</t>
        </is>
      </c>
      <c r="D20" s="5" t="inlineStr">
        <is>
          <t>AÑO 1</t>
        </is>
      </c>
      <c r="E20" s="5" t="inlineStr">
        <is>
          <t>AÑO 2</t>
        </is>
      </c>
      <c r="F20" s="5" t="inlineStr">
        <is>
          <t>AÑO 3</t>
        </is>
      </c>
      <c r="G20" s="5" t="inlineStr">
        <is>
          <t>AÑO 4</t>
        </is>
      </c>
      <c r="H20" s="5" t="inlineStr">
        <is>
          <t>AÑO 5</t>
        </is>
      </c>
    </row>
    <row r="21">
      <c r="B21" s="18" t="inlineStr">
        <is>
          <t>UTILIDAD (PÉRDIDA) NETA DEL PROYECTO</t>
        </is>
      </c>
      <c r="D21" s="27">
        <f>D17</f>
        <v/>
      </c>
      <c r="E21" s="27">
        <f>E17</f>
        <v/>
      </c>
      <c r="F21" s="27">
        <f>F17</f>
        <v/>
      </c>
      <c r="G21" s="27">
        <f>G17</f>
        <v/>
      </c>
      <c r="H21" s="27">
        <f>H17</f>
        <v/>
      </c>
    </row>
    <row r="22">
      <c r="B22" s="18" t="inlineStr">
        <is>
          <t>(+) DEPRECIACIÓN — no es salida de caja</t>
        </is>
      </c>
      <c r="D22" s="27">
        <f>D13</f>
        <v/>
      </c>
      <c r="E22" s="27">
        <f>E13</f>
        <v/>
      </c>
      <c r="F22" s="27">
        <f>F13</f>
        <v/>
      </c>
      <c r="G22" s="27">
        <f>G13</f>
        <v/>
      </c>
      <c r="H22" s="27">
        <f>H13</f>
        <v/>
      </c>
    </row>
    <row r="23">
      <c r="B23" s="18" t="inlineStr">
        <is>
          <t>(−) CUOTA DE CAPITAL DE LOS PRÉSTAMOS</t>
        </is>
      </c>
      <c r="D23" s="27">
        <f>'AMORTIZACIÓN'!C31</f>
        <v/>
      </c>
      <c r="E23" s="27">
        <f>'AMORTIZACIÓN'!D31</f>
        <v/>
      </c>
      <c r="F23" s="27">
        <f>'AMORTIZACIÓN'!E31</f>
        <v/>
      </c>
      <c r="G23" s="27">
        <f>'AMORTIZACIÓN'!F31</f>
        <v/>
      </c>
      <c r="H23" s="27">
        <f>'AMORTIZACIÓN'!G31</f>
        <v/>
      </c>
    </row>
    <row r="24">
      <c r="B24" s="18" t="inlineStr">
        <is>
          <t>(−) INVERSIÓN INICIAL</t>
        </is>
      </c>
      <c r="C24" s="27">
        <f>-'INVERSIONES'!C37</f>
        <v/>
      </c>
    </row>
    <row r="25" ht="22" customHeight="1">
      <c r="B25" s="40" t="inlineStr">
        <is>
          <t>(=) FLUJO DE FONDOS PROYECTADO</t>
        </is>
      </c>
      <c r="C25" s="41">
        <f>C24</f>
        <v/>
      </c>
      <c r="D25" s="41">
        <f>D21+D22-D23</f>
        <v/>
      </c>
      <c r="E25" s="41">
        <f>E21+E22-E23</f>
        <v/>
      </c>
      <c r="F25" s="41">
        <f>F21+F22-F23</f>
        <v/>
      </c>
      <c r="G25" s="41">
        <f>G21+G22-G23</f>
        <v/>
      </c>
      <c r="H25" s="41">
        <f>H21+H22-H23</f>
        <v/>
      </c>
    </row>
    <row r="26">
      <c r="B26" s="9" t="inlineStr">
        <is>
          <t>FLUJO ACUMULADO</t>
        </is>
      </c>
      <c r="C26" s="70">
        <f>C25</f>
        <v/>
      </c>
      <c r="D26" s="70">
        <f>C26+D25</f>
        <v/>
      </c>
      <c r="E26" s="70">
        <f>D26+E25</f>
        <v/>
      </c>
      <c r="F26" s="70">
        <f>E26+F25</f>
        <v/>
      </c>
      <c r="G26" s="70">
        <f>F26+G25</f>
        <v/>
      </c>
      <c r="H26" s="70">
        <f>G26+H25</f>
        <v/>
      </c>
    </row>
    <row r="27" ht="24" customHeight="1">
      <c r="B27" s="16" t="inlineStr">
        <is>
          <t>El Año 1 es el único con flujo negativo, y es un resultado esperado: la utilidad neta es positiva, pero ese mismo año hay que devolver de golpe la línea de corto plazo completa más la primera cuota del crédito largo. El capital de trabajo está dimensionado para absorberlo.</t>
        </is>
      </c>
    </row>
    <row r="29" ht="19" customHeight="1">
      <c r="B29" s="4" t="inlineStr">
        <is>
          <t>EVALUACIÓN ECONÓMICA — VALOR ACTUAL NETO (VAN) Y TASA INTERNA DE RETORNO (TIR)</t>
        </is>
      </c>
    </row>
    <row r="30">
      <c r="B30" s="9" t="inlineStr">
        <is>
          <t>Tasa de rentabilidad exigida (descuento)   r =</t>
        </is>
      </c>
      <c r="C30" s="21">
        <f>'PARÁMETROS'!C10</f>
        <v/>
      </c>
    </row>
    <row r="31">
      <c r="B31" s="9" t="inlineStr">
        <is>
          <t>Inversión inicial   I₀ =</t>
        </is>
      </c>
      <c r="C31" s="10">
        <f>'INVERSIONES'!C37</f>
        <v/>
      </c>
    </row>
    <row r="32">
      <c r="B32" s="18" t="inlineStr">
        <is>
          <t>Factor de descuento  (1 + r)ⁿ</t>
        </is>
      </c>
      <c r="D32" s="71">
        <f>(1+$C$30)^D7</f>
        <v/>
      </c>
      <c r="E32" s="71">
        <f>(1+$C$30)^E7</f>
        <v/>
      </c>
      <c r="F32" s="71">
        <f>(1+$C$30)^F7</f>
        <v/>
      </c>
      <c r="G32" s="71">
        <f>(1+$C$30)^G7</f>
        <v/>
      </c>
      <c r="H32" s="71">
        <f>(1+$C$30)^H7</f>
        <v/>
      </c>
    </row>
    <row r="33">
      <c r="B33" s="18" t="inlineStr">
        <is>
          <t>Valor presente de los flujos proyectados</t>
        </is>
      </c>
      <c r="D33" s="27">
        <f>D25/D32</f>
        <v/>
      </c>
      <c r="E33" s="27">
        <f>E25/E32</f>
        <v/>
      </c>
      <c r="F33" s="27">
        <f>F25/F32</f>
        <v/>
      </c>
      <c r="G33" s="27">
        <f>G25/G32</f>
        <v/>
      </c>
      <c r="H33" s="27">
        <f>H25/H32</f>
        <v/>
      </c>
    </row>
    <row r="34">
      <c r="B34" s="9" t="inlineStr">
        <is>
          <t>Sumatoria del valor presente de los flujos (Años 1 a 5)</t>
        </is>
      </c>
      <c r="C34" s="10">
        <f>SUM(D33:H33)</f>
        <v/>
      </c>
    </row>
    <row r="35" ht="22" customHeight="1">
      <c r="B35" s="40" t="inlineStr">
        <is>
          <t>V. A. N.   =   Σ VP − I₀</t>
        </is>
      </c>
      <c r="C35" s="41">
        <f>C34-C31</f>
        <v/>
      </c>
    </row>
    <row r="36">
      <c r="B36" s="20" t="inlineStr">
        <is>
          <t>V. A. N. — comprobación con la función NPV/VNA</t>
        </is>
      </c>
      <c r="C36" s="72">
        <f>NPV(C30,D25:H25)+C25</f>
        <v/>
      </c>
    </row>
    <row r="37">
      <c r="B37" s="28" t="inlineStr">
        <is>
          <t>T. I. R.   —   tasa que anula el VAN</t>
        </is>
      </c>
      <c r="C37" s="73">
        <f>IRR(C25:H25)</f>
        <v/>
      </c>
      <c r="D37" s="74">
        <f>IF(C37&gt;C30,"✔ La TIR supera la tasa exigida","✘ La TIR es positiva pero no alcanza el 20 % exigido a 5 años")</f>
        <v/>
      </c>
    </row>
    <row r="39" ht="19" customHeight="1">
      <c r="B39" s="4" t="inlineStr">
        <is>
          <t>PAY BACK — PLAZO DE RECUPERACIÓN DE LA INVERSIÓN</t>
        </is>
      </c>
    </row>
    <row r="40">
      <c r="B40" s="18" t="inlineStr">
        <is>
          <t>Años completos con flujo acumulado todavía negativo</t>
        </is>
      </c>
      <c r="C40" s="31">
        <f>COUNTIF(D26:H26,"&lt;0")</f>
        <v/>
      </c>
    </row>
    <row r="41">
      <c r="B41" s="40" t="inlineStr">
        <is>
          <t>PAY BACK (años)</t>
        </is>
      </c>
      <c r="C41" s="75">
        <f>C40+ABS(INDEX(D26:H26,C40))/INDEX(D25:H25,C40+1)</f>
        <v/>
      </c>
      <c r="D41" s="76">
        <f>INT(C41)&amp;" años y "&amp;ROUND((C41-INT(C41))*12,0)&amp;" meses"</f>
        <v/>
      </c>
    </row>
    <row r="42">
      <c r="B42" s="47" t="inlineStr">
        <is>
          <t>Veredicto del Pay Back frente al horizonte de evaluación</t>
        </is>
      </c>
      <c r="C42" s="20">
        <f>IF(C41&lt;='PARÁMETROS'!C12,"✔ Se recupera dentro del horizonte de 5 años, pero al límite","✘ Queda fuera del horizonte de 5 años")</f>
        <v/>
      </c>
    </row>
    <row r="44" ht="19" customHeight="1">
      <c r="B44" s="4" t="inlineStr">
        <is>
          <t>RESUMEN DE INDICADORES</t>
        </is>
      </c>
    </row>
    <row r="45" ht="20" customHeight="1">
      <c r="B45" s="5" t="inlineStr">
        <is>
          <t>Indicador</t>
        </is>
      </c>
      <c r="C45" s="5" t="inlineStr">
        <is>
          <t>Valor</t>
        </is>
      </c>
      <c r="D45" s="5" t="inlineStr">
        <is>
          <t>Criterio de aceptación</t>
        </is>
      </c>
      <c r="E45" s="5" t="inlineStr">
        <is>
          <t>Veredicto</t>
        </is>
      </c>
    </row>
    <row r="46">
      <c r="B46" s="9" t="inlineStr">
        <is>
          <t>V. A. N. (20 %)</t>
        </is>
      </c>
      <c r="C46" s="10">
        <f>C35</f>
        <v/>
      </c>
      <c r="D46" s="77" t="inlineStr">
        <is>
          <t>VAN &gt; 0 → el proyecto crea valor</t>
        </is>
      </c>
      <c r="E46" s="8">
        <f>IF(C35&gt;0,"✔ Cumple","✘ No cumple a 5 años")</f>
        <v/>
      </c>
    </row>
    <row r="47">
      <c r="B47" s="9" t="inlineStr">
        <is>
          <t>T. I. R.</t>
        </is>
      </c>
      <c r="C47" s="12">
        <f>C37</f>
        <v/>
      </c>
      <c r="D47" s="77" t="inlineStr">
        <is>
          <t>TIR &gt; 20 % exigido</t>
        </is>
      </c>
      <c r="E47" s="8">
        <f>IF(C37&gt;C30,"✔ Cumple","✘ No cumple, pero es positiva")</f>
        <v/>
      </c>
    </row>
    <row r="48">
      <c r="B48" s="9" t="inlineStr">
        <is>
          <t>Pay Back</t>
        </is>
      </c>
      <c r="C48" s="13">
        <f>C41</f>
        <v/>
      </c>
      <c r="D48" s="77" t="inlineStr">
        <is>
          <t>Dentro del horizonte de 5 años</t>
        </is>
      </c>
      <c r="E48" s="8">
        <f>IF(C41&lt;='PARÁMETROS'!C12,"✔ Cumple, sin holgura","✘ No cumple")</f>
        <v/>
      </c>
    </row>
    <row r="49">
      <c r="B49" s="9" t="inlineStr">
        <is>
          <t>Punto de equilibrio del Año 1 (unidades)</t>
        </is>
      </c>
      <c r="C49" s="14">
        <f>'GASTOS FIJOS 5 AÑOS'!C29</f>
        <v/>
      </c>
      <c r="D49" s="77" t="inlineStr">
        <is>
          <t>Menor que las 200 unidades planificadas</t>
        </is>
      </c>
      <c r="E49" s="8">
        <f>IF('GASTOS FIJOS 5 AÑOS'!C29&lt;D8,"✔ Cumple","✘ No cumple")</f>
        <v/>
      </c>
    </row>
    <row r="50">
      <c r="B50" s="9" t="inlineStr">
        <is>
          <t>Utilidad neta de todos los años</t>
        </is>
      </c>
      <c r="C50" s="15">
        <f>IF(MIN(D17:H17)&gt;0,"Positiva desde el Año 1","Hay años con pérdida")</f>
        <v/>
      </c>
      <c r="D50" s="77" t="inlineStr">
        <is>
          <t>Sin años de pérdida contable</t>
        </is>
      </c>
      <c r="E50" s="8">
        <f>IF(MIN(D17:H17)&gt;0,"✔ Cumple","✘ No cumple")</f>
        <v/>
      </c>
    </row>
    <row r="52" ht="36" customHeight="1">
      <c r="B52" s="17" t="inlineStr">
        <is>
          <t>Se declara sin maquillarlo: a 5 años y a la tasa exigida del 20 % el VAN es negativo. Es la consecuencia matemática de las tres condiciones que el propio proyecto se impuso — sonda a precio real, sueldo de ambos socios desde el mes 1 y techo de precio de $249.990. La argumentación completa está en la hoja TOMA DE DECISIONES.</t>
        </is>
      </c>
    </row>
  </sheetData>
  <mergeCells count="8">
    <mergeCell ref="B27:H27"/>
    <mergeCell ref="B52:H52"/>
    <mergeCell ref="B44:H44"/>
    <mergeCell ref="B39:H39"/>
    <mergeCell ref="B2:H2"/>
    <mergeCell ref="B29:H29"/>
    <mergeCell ref="B3:H3"/>
    <mergeCell ref="B19:H19"/>
  </mergeCells>
  <pageMargins left="0.75" right="0.75" top="1" bottom="1" header="0.5" footer="0.5"/>
  <pageSetup orientation="landscape" fitToHeight="0" fitToWidth="1"/>
  <headerFooter>
    <oddHeader>&amp;LTerraSense — Evaluación económica del proyecto</oddHeader>
    <oddFooter>&amp;RPágina &amp;P de &amp;N</oddFooter>
    <evenHeader/>
    <evenFooter/>
    <firstHeader/>
    <firstFooter/>
  </headerFooter>
</worksheet>
</file>

<file path=xl/worksheets/sheet11.xml><?xml version="1.0" encoding="utf-8"?>
<worksheet xmlns="http://schemas.openxmlformats.org/spreadsheetml/2006/main">
  <sheetPr>
    <tabColor rgb="00B7791F"/>
    <outlinePr summaryBelow="1" summaryRight="1"/>
    <pageSetUpPr fitToPage="1"/>
  </sheetPr>
  <dimension ref="B2:I32"/>
  <sheetViews>
    <sheetView showGridLines="0" workbookViewId="0">
      <selection activeCell="A1" sqref="A1"/>
    </sheetView>
  </sheetViews>
  <sheetFormatPr baseColWidth="8" defaultRowHeight="15"/>
  <cols>
    <col width="2" customWidth="1" min="1" max="1"/>
    <col width="46" customWidth="1" min="2" max="2"/>
    <col width="14" customWidth="1" min="3" max="3"/>
    <col width="14" customWidth="1" min="4" max="4"/>
    <col width="14" customWidth="1" min="5" max="5"/>
    <col width="14" customWidth="1" min="6" max="6"/>
    <col width="20" customWidth="1" min="7" max="7"/>
    <col width="18" customWidth="1" min="8" max="8"/>
    <col width="42" customWidth="1" min="9" max="9"/>
  </cols>
  <sheetData>
    <row r="2" ht="26" customHeight="1">
      <c r="B2" s="1" t="inlineStr">
        <is>
          <t>ANÁLISIS DE SENSIBILIDAD Y PUNTO DE QUIEBRE</t>
        </is>
      </c>
    </row>
    <row r="3">
      <c r="B3" s="2" t="inlineStr">
        <is>
          <t>README XII.8 · Todo el bloque recalcula la Utilidad Operacional del Año 1 al mover volumen, costo variable y gasto fijo</t>
        </is>
      </c>
    </row>
    <row r="4" ht="19" customHeight="1">
      <c r="B4" s="4" t="inlineStr">
        <is>
          <t>1. ESCENARIOS SOBRE EL AÑO 1</t>
        </is>
      </c>
    </row>
    <row r="5" ht="30" customHeight="1">
      <c r="B5" s="5" t="inlineStr">
        <is>
          <t>Escenario</t>
        </is>
      </c>
      <c r="C5" s="5" t="inlineStr">
        <is>
          <t>Δ Volumen</t>
        </is>
      </c>
      <c r="D5" s="5" t="inlineStr">
        <is>
          <t>Unidades</t>
        </is>
      </c>
      <c r="E5" s="5" t="inlineStr">
        <is>
          <t>Δ Costo variable</t>
        </is>
      </c>
      <c r="F5" s="5" t="inlineStr">
        <is>
          <t>Δ Gasto fijo</t>
        </is>
      </c>
      <c r="G5" s="5" t="inlineStr">
        <is>
          <t>Utilidad operacional Año 1</t>
        </is>
      </c>
      <c r="H5" s="5" t="inlineStr">
        <is>
          <t>Punto de equilibrio (u)</t>
        </is>
      </c>
      <c r="I5" s="5" t="inlineStr">
        <is>
          <t>Lectura</t>
        </is>
      </c>
    </row>
    <row r="6">
      <c r="B6" s="9" t="inlineStr">
        <is>
          <t>BASE — 200 u a $249.990 con IVA</t>
        </is>
      </c>
      <c r="C6" s="44" t="n">
        <v>0</v>
      </c>
      <c r="D6" s="31">
        <f>ROUND('PARÁMETROS'!$C$26*(1+C6),0)</f>
        <v/>
      </c>
      <c r="E6" s="44" t="n">
        <v>0</v>
      </c>
      <c r="F6" s="44" t="n">
        <v>0</v>
      </c>
      <c r="G6" s="10">
        <f>D6*'PARÁMETROS'!$C$17-D6*'COSTOS UNITARIOS'!$D$24*(1+E6)-'GASTOS FIJOS 5 AÑOS'!$C$20*(1+F6)-'DEPRECIACIÓN'!$E$23-'AMORTIZACIÓN'!$C$30</f>
        <v/>
      </c>
      <c r="H6" s="31">
        <f>ROUND(('GASTOS FIJOS 5 AÑOS'!$C$20*(1+F6)+'DEPRECIACIÓN'!$E$23+'AMORTIZACIÓN'!$C$30)/('PARÁMETROS'!$C$17-'COSTOS UNITARIOS'!$D$24*(1+E6)),0)</f>
        <v/>
      </c>
      <c r="I6" s="78">
        <f>IF(G6&gt;1000000,"✅ Utilidad holgada",IF(G6&gt;=0,"⚠ En el umbral de equilibrio","❌ Pérdida en el Año 1"))</f>
        <v/>
      </c>
    </row>
    <row r="7">
      <c r="B7" s="18" t="inlineStr">
        <is>
          <t>Volumen −10 %</t>
        </is>
      </c>
      <c r="C7" s="44" t="n">
        <v>-0.1</v>
      </c>
      <c r="D7" s="31">
        <f>ROUND('PARÁMETROS'!$C$26*(1+C7),0)</f>
        <v/>
      </c>
      <c r="E7" s="44" t="n">
        <v>0</v>
      </c>
      <c r="F7" s="44" t="n">
        <v>0</v>
      </c>
      <c r="G7" s="10">
        <f>D7*'PARÁMETROS'!$C$17-D7*'COSTOS UNITARIOS'!$D$24*(1+E7)-'GASTOS FIJOS 5 AÑOS'!$C$20*(1+F7)-'DEPRECIACIÓN'!$E$23-'AMORTIZACIÓN'!$C$30</f>
        <v/>
      </c>
      <c r="H7" s="31">
        <f>ROUND(('GASTOS FIJOS 5 AÑOS'!$C$20*(1+F7)+'DEPRECIACIÓN'!$E$23+'AMORTIZACIÓN'!$C$30)/('PARÁMETROS'!$C$17-'COSTOS UNITARIOS'!$D$24*(1+E7)),0)</f>
        <v/>
      </c>
      <c r="I7" s="78">
        <f>IF(G7&gt;1000000,"✅ Utilidad holgada",IF(G7&gt;=0,"⚠ En el umbral de equilibrio","❌ Pérdida en el Año 1"))</f>
        <v/>
      </c>
    </row>
    <row r="8">
      <c r="B8" s="18" t="inlineStr">
        <is>
          <t>Volumen −16 %  (umbral de equilibrio)</t>
        </is>
      </c>
      <c r="C8" s="44" t="n">
        <v>-0.16</v>
      </c>
      <c r="D8" s="31">
        <f>ROUND('PARÁMETROS'!$C$26*(1+C8),0)</f>
        <v/>
      </c>
      <c r="E8" s="44" t="n">
        <v>0</v>
      </c>
      <c r="F8" s="44" t="n">
        <v>0</v>
      </c>
      <c r="G8" s="10">
        <f>D8*'PARÁMETROS'!$C$17-D8*'COSTOS UNITARIOS'!$D$24*(1+E8)-'GASTOS FIJOS 5 AÑOS'!$C$20*(1+F8)-'DEPRECIACIÓN'!$E$23-'AMORTIZACIÓN'!$C$30</f>
        <v/>
      </c>
      <c r="H8" s="31">
        <f>ROUND(('GASTOS FIJOS 5 AÑOS'!$C$20*(1+F8)+'DEPRECIACIÓN'!$E$23+'AMORTIZACIÓN'!$C$30)/('PARÁMETROS'!$C$17-'COSTOS UNITARIOS'!$D$24*(1+E8)),0)</f>
        <v/>
      </c>
      <c r="I8" s="78">
        <f>IF(G8&gt;1000000,"✅ Utilidad holgada",IF(G8&gt;=0,"⚠ En el umbral de equilibrio","❌ Pérdida en el Año 1"))</f>
        <v/>
      </c>
    </row>
    <row r="9">
      <c r="B9" s="18" t="inlineStr">
        <is>
          <t>Volumen −20 %</t>
        </is>
      </c>
      <c r="C9" s="44" t="n">
        <v>-0.2</v>
      </c>
      <c r="D9" s="31">
        <f>ROUND('PARÁMETROS'!$C$26*(1+C9),0)</f>
        <v/>
      </c>
      <c r="E9" s="44" t="n">
        <v>0</v>
      </c>
      <c r="F9" s="44" t="n">
        <v>0</v>
      </c>
      <c r="G9" s="10">
        <f>D9*'PARÁMETROS'!$C$17-D9*'COSTOS UNITARIOS'!$D$24*(1+E9)-'GASTOS FIJOS 5 AÑOS'!$C$20*(1+F9)-'DEPRECIACIÓN'!$E$23-'AMORTIZACIÓN'!$C$30</f>
        <v/>
      </c>
      <c r="H9" s="31">
        <f>ROUND(('GASTOS FIJOS 5 AÑOS'!$C$20*(1+F9)+'DEPRECIACIÓN'!$E$23+'AMORTIZACIÓN'!$C$30)/('PARÁMETROS'!$C$17-'COSTOS UNITARIOS'!$D$24*(1+E9)),0)</f>
        <v/>
      </c>
      <c r="I9" s="78">
        <f>IF(G9&gt;1000000,"✅ Utilidad holgada",IF(G9&gt;=0,"⚠ En el umbral de equilibrio","❌ Pérdida en el Año 1"))</f>
        <v/>
      </c>
    </row>
    <row r="10">
      <c r="B10" s="18" t="inlineStr">
        <is>
          <t>Costo variable +15 %</t>
        </is>
      </c>
      <c r="C10" s="44" t="n">
        <v>0</v>
      </c>
      <c r="D10" s="31">
        <f>ROUND('PARÁMETROS'!$C$26*(1+C10),0)</f>
        <v/>
      </c>
      <c r="E10" s="44" t="n">
        <v>0.15</v>
      </c>
      <c r="F10" s="44" t="n">
        <v>0</v>
      </c>
      <c r="G10" s="10">
        <f>D10*'PARÁMETROS'!$C$17-D10*'COSTOS UNITARIOS'!$D$24*(1+E10)-'GASTOS FIJOS 5 AÑOS'!$C$20*(1+F10)-'DEPRECIACIÓN'!$E$23-'AMORTIZACIÓN'!$C$30</f>
        <v/>
      </c>
      <c r="H10" s="31">
        <f>ROUND(('GASTOS FIJOS 5 AÑOS'!$C$20*(1+F10)+'DEPRECIACIÓN'!$E$23+'AMORTIZACIÓN'!$C$30)/('PARÁMETROS'!$C$17-'COSTOS UNITARIOS'!$D$24*(1+E10)),0)</f>
        <v/>
      </c>
      <c r="I10" s="78">
        <f>IF(G10&gt;1000000,"✅ Utilidad holgada",IF(G10&gt;=0,"⚠ En el umbral de equilibrio","❌ Pérdida en el Año 1"))</f>
        <v/>
      </c>
    </row>
    <row r="11">
      <c r="B11" s="18" t="inlineStr">
        <is>
          <t>Gastos fijos +15 %</t>
        </is>
      </c>
      <c r="C11" s="44" t="n">
        <v>0</v>
      </c>
      <c r="D11" s="31">
        <f>ROUND('PARÁMETROS'!$C$26*(1+C11),0)</f>
        <v/>
      </c>
      <c r="E11" s="44" t="n">
        <v>0</v>
      </c>
      <c r="F11" s="44" t="n">
        <v>0.15</v>
      </c>
      <c r="G11" s="10">
        <f>D11*'PARÁMETROS'!$C$17-D11*'COSTOS UNITARIOS'!$D$24*(1+E11)-'GASTOS FIJOS 5 AÑOS'!$C$20*(1+F11)-'DEPRECIACIÓN'!$E$23-'AMORTIZACIÓN'!$C$30</f>
        <v/>
      </c>
      <c r="H11" s="31">
        <f>ROUND(('GASTOS FIJOS 5 AÑOS'!$C$20*(1+F11)+'DEPRECIACIÓN'!$E$23+'AMORTIZACIÓN'!$C$30)/('PARÁMETROS'!$C$17-'COSTOS UNITARIOS'!$D$24*(1+E11)),0)</f>
        <v/>
      </c>
      <c r="I11" s="78">
        <f>IF(G11&gt;1000000,"✅ Utilidad holgada",IF(G11&gt;=0,"⚠ En el umbral de equilibrio","❌ Pérdida en el Año 1"))</f>
        <v/>
      </c>
    </row>
    <row r="12">
      <c r="B12" s="9" t="inlineStr">
        <is>
          <t>PESIMISTA combinado (−10 % vol, +15 % CV, +15 % GF)</t>
        </is>
      </c>
      <c r="C12" s="44" t="n">
        <v>-0.1</v>
      </c>
      <c r="D12" s="31">
        <f>ROUND('PARÁMETROS'!$C$26*(1+C12),0)</f>
        <v/>
      </c>
      <c r="E12" s="44" t="n">
        <v>0.15</v>
      </c>
      <c r="F12" s="44" t="n">
        <v>0.15</v>
      </c>
      <c r="G12" s="10">
        <f>D12*'PARÁMETROS'!$C$17-D12*'COSTOS UNITARIOS'!$D$24*(1+E12)-'GASTOS FIJOS 5 AÑOS'!$C$20*(1+F12)-'DEPRECIACIÓN'!$E$23-'AMORTIZACIÓN'!$C$30</f>
        <v/>
      </c>
      <c r="H12" s="31">
        <f>ROUND(('GASTOS FIJOS 5 AÑOS'!$C$20*(1+F12)+'DEPRECIACIÓN'!$E$23+'AMORTIZACIÓN'!$C$30)/('PARÁMETROS'!$C$17-'COSTOS UNITARIOS'!$D$24*(1+E12)),0)</f>
        <v/>
      </c>
      <c r="I12" s="78">
        <f>IF(G12&gt;1000000,"✅ Utilidad holgada",IF(G12&gt;=0,"⚠ En el umbral de equilibrio","❌ Pérdida en el Año 1"))</f>
        <v/>
      </c>
    </row>
    <row r="14" ht="19" customHeight="1">
      <c r="B14" s="4" t="inlineStr">
        <is>
          <t>2. HOLGURA DISPONIBLE ANTES DEL QUIEBRE</t>
        </is>
      </c>
    </row>
    <row r="15" ht="30" customHeight="1">
      <c r="B15" s="5" t="inlineStr">
        <is>
          <t>Variable</t>
        </is>
      </c>
      <c r="C15" s="5" t="inlineStr">
        <is>
          <t>Holgura</t>
        </is>
      </c>
      <c r="I15" s="5" t="inlineStr">
        <is>
          <t>Lectura</t>
        </is>
      </c>
    </row>
    <row r="16" ht="32" customHeight="1">
      <c r="B16" s="9" t="inlineStr">
        <is>
          <t>Volumen de ventas</t>
        </is>
      </c>
      <c r="C16" s="79" t="inlineStr">
        <is>
          <t>−16 % (168 u)</t>
        </is>
      </c>
      <c r="I16" s="45" t="inlineStr">
        <is>
          <t>El proyecto tolera vender bastante menos de lo planificado antes de perder en el Año 1 — mejor que el estudio anterior (−10 %), porque el volumen base ya es más alto</t>
        </is>
      </c>
    </row>
    <row r="17" ht="32" customHeight="1">
      <c r="B17" s="9" t="inlineStr">
        <is>
          <t>Costo variable unitario</t>
        </is>
      </c>
      <c r="C17" s="79" t="inlineStr">
        <is>
          <t>+15 % aprox.</t>
        </is>
      </c>
      <c r="I17" s="45" t="inlineStr">
        <is>
          <t>Ajustado. Un alza del dólar o de los precios de LCSC por sobre ese margen compromete el Año 1</t>
        </is>
      </c>
    </row>
    <row r="18" ht="32" customHeight="1">
      <c r="B18" s="9" t="inlineStr">
        <is>
          <t>Gastos fijos</t>
        </is>
      </c>
      <c r="C18" s="79" t="inlineStr">
        <is>
          <t>+15 % aprox.</t>
        </is>
      </c>
      <c r="I18" s="45" t="inlineStr">
        <is>
          <t>Ajustado. Poco margen para adelantar contrataciones o subir sueldos más rápido de lo planificado</t>
        </is>
      </c>
    </row>
    <row r="19" ht="32" customHeight="1">
      <c r="B19" s="9" t="inlineStr">
        <is>
          <t>Precio de venta</t>
        </is>
      </c>
      <c r="C19" s="79" t="inlineStr">
        <is>
          <t>Sin holgura</t>
        </is>
      </c>
      <c r="I19" s="45" t="inlineStr">
        <is>
          <t>No hay palanca de precio disponible: $249.990 con IVA es el techo declarado del negocio y ya está en uso</t>
        </is>
      </c>
    </row>
    <row r="21" ht="19" customHeight="1">
      <c r="B21" s="4" t="inlineStr">
        <is>
          <t>3. SENSIBILIDAD DEL VAN A LA TASA DE DESCUENTO</t>
        </is>
      </c>
    </row>
    <row r="22" ht="30" customHeight="1">
      <c r="B22" s="5" t="inlineStr">
        <is>
          <t>Tasa de descuento</t>
        </is>
      </c>
      <c r="C22" s="5" t="inlineStr">
        <is>
          <t>V. A. N.</t>
        </is>
      </c>
      <c r="I22" s="5" t="inlineStr">
        <is>
          <t>Lectura</t>
        </is>
      </c>
    </row>
    <row r="23">
      <c r="B23" s="80" t="n">
        <v>0.05</v>
      </c>
      <c r="C23" s="27">
        <f>NPV(B23,'PROYECCIÓN'!$D$25:$H$25)+'PROYECCIÓN'!$C$25</f>
        <v/>
      </c>
      <c r="I23" s="20">
        <f>IF(C23&gt;0,"VAN positivo: a esta exigencia el proyecto se paga en 5 años","VAN negativo: a esta exigencia no se paga en 5 años")</f>
        <v/>
      </c>
    </row>
    <row r="24">
      <c r="B24" s="80" t="n">
        <v>0.08</v>
      </c>
      <c r="C24" s="27">
        <f>NPV(B24,'PROYECCIÓN'!$D$25:$H$25)+'PROYECCIÓN'!$C$25</f>
        <v/>
      </c>
      <c r="I24" s="20">
        <f>IF(C24&gt;0,"VAN positivo: a esta exigencia el proyecto se paga en 5 años","VAN negativo: a esta exigencia no se paga en 5 años")</f>
        <v/>
      </c>
    </row>
    <row r="25">
      <c r="B25" s="80" t="n">
        <v>0.08500000000000001</v>
      </c>
      <c r="C25" s="27">
        <f>NPV(B25,'PROYECCIÓN'!$D$25:$H$25)+'PROYECCIÓN'!$C$25</f>
        <v/>
      </c>
      <c r="I25" s="20">
        <f>IF(C25&gt;0,"VAN positivo: a esta exigencia el proyecto se paga en 5 años","VAN negativo: a esta exigencia no se paga en 5 años")</f>
        <v/>
      </c>
    </row>
    <row r="26">
      <c r="B26" s="80" t="n">
        <v>0.09</v>
      </c>
      <c r="C26" s="27">
        <f>NPV(B26,'PROYECCIÓN'!$D$25:$H$25)+'PROYECCIÓN'!$C$25</f>
        <v/>
      </c>
      <c r="I26" s="20">
        <f>IF(C26&gt;0,"VAN positivo: a esta exigencia el proyecto se paga en 5 años","VAN negativo: a esta exigencia no se paga en 5 años")</f>
        <v/>
      </c>
    </row>
    <row r="27">
      <c r="B27" s="80" t="n">
        <v>0.1</v>
      </c>
      <c r="C27" s="27">
        <f>NPV(B27,'PROYECCIÓN'!$D$25:$H$25)+'PROYECCIÓN'!$C$25</f>
        <v/>
      </c>
      <c r="I27" s="20">
        <f>IF(C27&gt;0,"VAN positivo: a esta exigencia el proyecto se paga en 5 años","VAN negativo: a esta exigencia no se paga en 5 años")</f>
        <v/>
      </c>
    </row>
    <row r="28">
      <c r="B28" s="80" t="n">
        <v>0.15</v>
      </c>
      <c r="C28" s="27">
        <f>NPV(B28,'PROYECCIÓN'!$D$25:$H$25)+'PROYECCIÓN'!$C$25</f>
        <v/>
      </c>
      <c r="I28" s="20">
        <f>IF(C28&gt;0,"VAN positivo: a esta exigencia el proyecto se paga en 5 años","VAN negativo: a esta exigencia no se paga en 5 años")</f>
        <v/>
      </c>
    </row>
    <row r="29">
      <c r="B29" s="80" t="n">
        <v>0.2</v>
      </c>
      <c r="C29" s="27">
        <f>NPV(B29,'PROYECCIÓN'!$D$25:$H$25)+'PROYECCIÓN'!$C$25</f>
        <v/>
      </c>
      <c r="I29" s="20">
        <f>IF(C29&gt;0,"VAN positivo: a esta exigencia el proyecto se paga en 5 años","VAN negativo: a esta exigencia no se paga en 5 años")</f>
        <v/>
      </c>
    </row>
    <row r="30">
      <c r="B30" s="9" t="inlineStr">
        <is>
          <t>TIR del proyecto (donde el VAN se anula)</t>
        </is>
      </c>
      <c r="C30" s="81">
        <f>'PROYECCIÓN'!C37</f>
        <v/>
      </c>
    </row>
    <row r="32" ht="24" customHeight="1">
      <c r="B32" s="16" t="inlineStr">
        <is>
          <t>Conclusión: el escenario base tolera peor los desvíos de costo o de gasto fijo que el estudio anterior, pero tolera mejor los desvíos de volumen porque el volumen base subió. La diferencia clave es que ya no queda margen de precio: la única palanca de ajuste real frente a un mal Año 1 es el volumen, y de ahí que toda la estrategia comercial del Año 1 esté orientada a protegerlo.</t>
        </is>
      </c>
    </row>
  </sheetData>
  <mergeCells count="6">
    <mergeCell ref="B21:I21"/>
    <mergeCell ref="B2:I2"/>
    <mergeCell ref="B3:I3"/>
    <mergeCell ref="B14:I14"/>
    <mergeCell ref="B32:I32"/>
    <mergeCell ref="B4:I4"/>
  </mergeCells>
  <pageMargins left="0.75" right="0.75" top="1" bottom="1" header="0.5" footer="0.5"/>
  <pageSetup orientation="landscape" fitToHeight="0" fitToWidth="1"/>
  <headerFooter>
    <oddHeader>&amp;LTerraSense — Evaluación económica del proyecto</oddHeader>
    <oddFooter>&amp;RPágina &amp;P de &amp;N</oddFooter>
    <evenHeader/>
    <evenFooter/>
    <firstHeader/>
    <firstFooter/>
  </headerFooter>
</worksheet>
</file>

<file path=xl/worksheets/sheet12.xml><?xml version="1.0" encoding="utf-8"?>
<worksheet xmlns="http://schemas.openxmlformats.org/spreadsheetml/2006/main">
  <sheetPr>
    <tabColor rgb="008B2E2E"/>
    <outlinePr summaryBelow="1" summaryRight="1"/>
    <pageSetUpPr fitToPage="1"/>
  </sheetPr>
  <dimension ref="B2:H19"/>
  <sheetViews>
    <sheetView showGridLines="0" workbookViewId="0">
      <selection activeCell="A1" sqref="A1"/>
    </sheetView>
  </sheetViews>
  <sheetFormatPr baseColWidth="8" defaultRowHeight="15"/>
  <cols>
    <col width="2" customWidth="1" min="1" max="1"/>
    <col width="62" customWidth="1" min="2" max="2"/>
    <col width="22" customWidth="1" min="3" max="3"/>
    <col width="22" customWidth="1" min="4" max="4"/>
    <col width="22" customWidth="1" min="5" max="5"/>
    <col width="22" customWidth="1" min="6" max="6"/>
    <col width="22" customWidth="1" min="7" max="7"/>
    <col width="22" customWidth="1" min="8" max="8"/>
  </cols>
  <sheetData>
    <row r="2" ht="26" customHeight="1">
      <c r="B2" s="1" t="inlineStr">
        <is>
          <t>TOMA DE DECISIONES DEL PROYECTO</t>
        </is>
      </c>
    </row>
    <row r="3">
      <c r="B3" s="2" t="inlineStr">
        <is>
          <t>Álvaro Villena · README XII.10 · Decisión fundamentada en el VAN y la TIR, y decisión fundamentada en el Pay Back</t>
        </is>
      </c>
    </row>
    <row r="5" ht="19" customHeight="1">
      <c r="B5" s="4" t="inlineStr">
        <is>
          <t>RESPUESTA 1 — DECISIÓN EN BASE AL VAN Y A LA TIR</t>
        </is>
      </c>
    </row>
    <row r="6" ht="470" customHeight="1">
      <c r="B6" s="82" t="inlineStr">
        <is>
          <t>RESPUESTA 1 — TOMA DE DECISIONES EN BASE AL VAN Y A LA TIR
DECISIÓN: SE ACEPTA EL PROYECTO, CONDICIONADO A UN HORIZONTE DE EVALUACIÓN MÁS LARGO QUE 5 AÑOS.
El Valor Actual Neto calculado con la tasa de rentabilidad exigida del 20 % es NEGATIVO: −$8.143.581. La TIR real del proyecto es de aproximadamente 8,5 %, positiva, pero 11,5 puntos por debajo de la tasa exigida. Bajo el criterio estricto de la planilla estándar de evaluación —VAN &gt; 0 y TIR &gt; 20 % a cinco años— este proyecto se rechazaría, y no se oculta ese resultado: es la consecuencia matemática directa de tres condiciones que el propio proyecto se impuso y que no estaban en versiones anteriores del estudio. Primero, la sonda de suelo se costea a su precio real de mercado, $48.000 y no $16.500, lo que subió el BOM un 61 %. Segundo, los dos socios fundadores se pagan el Ingreso Mínimo Mensual desde el mes 1, sin ningún año sin retiro. Tercero, el precio de venta tiene un techo declarado de negocio en $249.990 con IVA, del que no se puede pasar sin quedar fuera de rango frente a la competencia.
LO QUE SOSTIENE LA ACEPTACIÓN son tres hechos que el criterio de cinco años no captura:
1) La utilidad neta es POSITIVA todos los años, sin excepción, desde el Año 1: crece de $2.884.019 a $18.106.771 entre el Año 1 y el Año 5. No hay ningún ejercicio con pérdida contable, y el único año con flujo de caja negativo —el Año 1— lo es porque ese año se devuelve íntegra la línea de corto plazo, desembolso ya cubierto por el capital de trabajo dimensionado para eso.
2) La TIR real es POSITIVA (≈8,5 %). El proyecto no destruye valor: lo crea, sólo que a un ritmo menor al 20 % anual que exige la evaluación convencional. Es un proyecto de retorno moderado y horizonte largo, no un proyecto malo.
3) Los propios socios declararon explícitamente su tolerancia a un horizonte más largo: «da lo mismo si en 10 años somos rentables, la idea es que seamos rentables». Extendiendo la evaluación a 8-10 años, con un crecimiento de volumen mucho más moderado que el de los primeros cinco, el VAN al 20 % se vuelve claramente positivo, porque la utilidad de los Años 4 y 5 por sí sola —casi $29 millones— ya casi cubre el déficit acumulado de los tres primeros.
LO QUE SE RECHAZARÍA DE PLANO: un volumen del Año 1 por debajo de 168 unidades (pérdida contable), un precio de lista sobre $249.990 (fuera del techo declarado del negocio), o financiar el activo fijo con la línea de corto plazo al 23 % en lugar del crédito bancario a 5 años.
Se deja expresamente registrado que, si el proyecto se presenta ante un banco o ante un evaluador que exija el criterio estándar de 5 años y 20 %, la respuesta honesta es que NO lo cumple.</t>
        </is>
      </c>
    </row>
    <row r="8" ht="19" customHeight="1">
      <c r="B8" s="4" t="inlineStr">
        <is>
          <t>RESPUESTA 2 — DECISIÓN EN BASE AL PAY BACK</t>
        </is>
      </c>
    </row>
    <row r="9" ht="330" customHeight="1">
      <c r="B9" s="82" t="inlineStr">
        <is>
          <t>RESPUESTA 2 — TOMA DE DECISIONES EN BASE AL PAY BACK
DECISIÓN: SE ACEPTA, SIN HOLGURA.
El período de recuperación de la inversión es de 4,42 años —cuatro años y cinco meses— sobre un horizonte de evaluación de cinco años. El flujo acumulado parte en −$23.900.000 el Año 0, sigue negativo durante los Años 1 a 4 y recién cruza a positivo en el propio Año 5, cerrando en $9.630.878.
CRITERIO DE DECISIÓN: mientras menor sea el plazo de recuperación, menor es el riesgo y más líquido es el proyecto. Un Pay Back de 4,42 años cae DENTRO del horizonte exigido, de modo que el criterio se cumple. Pero se cumple al límite: no hay margen de error en este indicador. Cualquier atraso de más de unos pocos meses en alcanzar los volúmenes proyectados de los Años 4 y 5 empuja la recuperación fuera del quinquenio.
El Año 1 es el único con flujo de fondos negativo (−$2.942.911) y eso no es una señal de alarma: la utilidad neta de ese año es positiva, y el flujo se vuelve negativo únicamente porque hay que pagar de golpe $6.638.120 de capital, que es la línea de corto plazo completa más la primera cuota del crédito de largo plazo. El capital de trabajo de la inversión inicial está dimensionado exactamente para absorber ese desembolso.
El Año 3 es el más ajustado de los cinco en términos relativos, con una holgura de apenas +9 % sobre su punto de equilibrio contable: es el año en que se contrata al segundo ensamblador y se arrienda el primer taller, es decir, la formalización real del negocio. Aun así la utilidad se mantiene positiva, y a partir del Año 4 el crecimiento se acelera con claridad.
CONCLUSIÓN: el Pay Back confirma la decisión tomada en base al VAN. La evaluación a 5 años es la vara más exigente que este proyecto puede pasar, y la pasa justo al límite. A 8-10 años, el mismo proyecto deja de estar al límite y pasa a ser claramente rentable.</t>
        </is>
      </c>
    </row>
    <row r="11" ht="19" customHeight="1">
      <c r="B11" s="4" t="inlineStr">
        <is>
          <t>DECISIÓN CONJUNTA — RESUMEN DE CRITERIOS</t>
        </is>
      </c>
    </row>
    <row r="12" ht="20" customHeight="1">
      <c r="B12" s="5" t="inlineStr">
        <is>
          <t>Criterio</t>
        </is>
      </c>
      <c r="C12" s="5" t="inlineStr">
        <is>
          <t>Resultado</t>
        </is>
      </c>
      <c r="D12" s="5" t="inlineStr">
        <is>
          <t>Umbral (5 años, 20 %)</t>
        </is>
      </c>
      <c r="E12" s="5" t="inlineStr">
        <is>
          <t>Decisión</t>
        </is>
      </c>
    </row>
    <row r="13">
      <c r="B13" s="9" t="inlineStr">
        <is>
          <t>V. A. N. (20 %)</t>
        </is>
      </c>
      <c r="C13" s="10">
        <f>'PROYECCIÓN'!C35</f>
        <v/>
      </c>
      <c r="D13" s="79" t="inlineStr">
        <is>
          <t>&gt; 0</t>
        </is>
      </c>
      <c r="E13" s="8">
        <f>IF('PROYECCIÓN'!C35&gt;0,"✔ Cumple","✘ No cumple")</f>
        <v/>
      </c>
    </row>
    <row r="14">
      <c r="B14" s="9" t="inlineStr">
        <is>
          <t>T. I. R.</t>
        </is>
      </c>
      <c r="C14" s="12">
        <f>'PROYECCIÓN'!C37</f>
        <v/>
      </c>
      <c r="D14" s="79" t="inlineStr">
        <is>
          <t>&gt; 20 %</t>
        </is>
      </c>
      <c r="E14" s="8">
        <f>IF('PROYECCIÓN'!C37&gt;'PROYECCIÓN'!C30,"✔ Cumple","✘ No cumple, pero es positiva")</f>
        <v/>
      </c>
    </row>
    <row r="15">
      <c r="B15" s="9" t="inlineStr">
        <is>
          <t>Pay Back</t>
        </is>
      </c>
      <c r="C15" s="13">
        <f>'PROYECCIÓN'!C41</f>
        <v/>
      </c>
      <c r="D15" s="79" t="inlineStr">
        <is>
          <t>≤ 5 años</t>
        </is>
      </c>
      <c r="E15" s="8">
        <f>IF('PROYECCIÓN'!C41&lt;=5,"✔ Cumple, sin holgura","✘ No cumple")</f>
        <v/>
      </c>
    </row>
    <row r="16">
      <c r="B16" s="9" t="inlineStr">
        <is>
          <t>Utilidad neta de todos los años</t>
        </is>
      </c>
      <c r="C16" s="15">
        <f>IF(MIN('PROYECCIÓN'!D17:H17)&gt;0,"Positiva","Con pérdidas")</f>
        <v/>
      </c>
      <c r="D16" s="79" t="inlineStr">
        <is>
          <t>Sin pérdidas</t>
        </is>
      </c>
      <c r="E16" s="8">
        <f>IF(MIN('PROYECCIÓN'!D17:H17)&gt;0,"✔ Cumple","✘ No cumple")</f>
        <v/>
      </c>
    </row>
    <row r="17">
      <c r="B17" s="9" t="inlineStr">
        <is>
          <t>Punto de equilibrio del Año 1</t>
        </is>
      </c>
      <c r="C17" s="14">
        <f>'GASTOS FIJOS 5 AÑOS'!C29</f>
        <v/>
      </c>
      <c r="D17" s="79" t="inlineStr">
        <is>
          <t>&lt; 200 u planificadas</t>
        </is>
      </c>
      <c r="E17" s="8">
        <f>IF('GASTOS FIJOS 5 AÑOS'!C29&lt;'GASTOS FIJOS 5 AÑOS'!C23,"✔ Cumple","✘ No cumple")</f>
        <v/>
      </c>
    </row>
    <row r="19" ht="36" customHeight="1">
      <c r="B19" s="16" t="inlineStr">
        <is>
          <t>Tres de los cinco criterios se cumplen y dos no. La recomendación de este estudio es aceptar el proyecto bajo el horizonte de largo plazo que los propios socios declararon aceptable, y no bajo el criterio estándar de 5 años y 20 %. La palanca disponible para revertirlo sin subir el precio —que ya está en su techo— es reducir aún más el gasto fijo de los primeros dos años, con el costo social de un ingreso más ajustado para los socios durante ese período.</t>
        </is>
      </c>
    </row>
  </sheetData>
  <mergeCells count="8">
    <mergeCell ref="B9:E9"/>
    <mergeCell ref="B8:E8"/>
    <mergeCell ref="B6:E6"/>
    <mergeCell ref="B2:H2"/>
    <mergeCell ref="B11:E11"/>
    <mergeCell ref="B5:E5"/>
    <mergeCell ref="B19:E19"/>
    <mergeCell ref="B3:H3"/>
  </mergeCells>
  <pageMargins left="0.75" right="0.75" top="1" bottom="1" header="0.5" footer="0.5"/>
  <pageSetup orientation="landscape" fitToHeight="0" fitToWidth="1"/>
  <headerFooter>
    <oddHeader>&amp;LTerraSense — Evaluación económica del proyecto</oddHeader>
    <oddFooter>&amp;RPágina &amp;P de &amp;N</oddFooter>
    <evenHeader/>
    <evenFooter/>
    <firstHeader/>
    <firstFooter/>
  </headerFooter>
</worksheet>
</file>

<file path=xl/worksheets/sheet13.xml><?xml version="1.0" encoding="utf-8"?>
<worksheet xmlns="http://schemas.openxmlformats.org/spreadsheetml/2006/main">
  <sheetPr>
    <tabColor rgb="00808080"/>
    <outlinePr summaryBelow="1" summaryRight="1"/>
    <pageSetUpPr fitToPage="1"/>
  </sheetPr>
  <dimension ref="B2:F21"/>
  <sheetViews>
    <sheetView showGridLines="0" workbookViewId="0">
      <selection activeCell="A1" sqref="A1"/>
    </sheetView>
  </sheetViews>
  <sheetFormatPr baseColWidth="8" defaultRowHeight="15"/>
  <cols>
    <col width="2" customWidth="1" min="1" max="1"/>
    <col width="10" customWidth="1" min="2" max="2"/>
    <col width="50" customWidth="1" min="3" max="3"/>
    <col width="40" customWidth="1" min="4" max="4"/>
    <col width="40" customWidth="1" min="5" max="5"/>
    <col width="40" customWidth="1" min="6" max="6"/>
  </cols>
  <sheetData>
    <row r="2" ht="26" customHeight="1">
      <c r="B2" s="1" t="inlineStr">
        <is>
          <t>RÚBRICA — EVALUACIÓN ECONÓMICA DEL PROYECTO FINAL</t>
        </is>
      </c>
    </row>
    <row r="3">
      <c r="B3" s="2" t="inlineStr">
        <is>
          <t>Preparación y Evaluación de Proyectos · ES3 Evaluación económica del proyecto final</t>
        </is>
      </c>
    </row>
    <row r="5" ht="24" customHeight="1">
      <c r="B5" s="5" t="inlineStr">
        <is>
          <t>PUNTOS</t>
        </is>
      </c>
      <c r="C5" s="5" t="inlineStr">
        <is>
          <t>MUY BUENO 100 %</t>
        </is>
      </c>
      <c r="D5" s="5" t="inlineStr">
        <is>
          <t>BUENO 60 %</t>
        </is>
      </c>
      <c r="E5" s="5" t="inlineStr">
        <is>
          <t>REGULAR 50 %</t>
        </is>
      </c>
      <c r="F5" s="5" t="inlineStr">
        <is>
          <t>INSUFICIENTE 10 %</t>
        </is>
      </c>
    </row>
    <row r="6" ht="58" customHeight="1">
      <c r="B6" s="61" t="n">
        <v>20</v>
      </c>
      <c r="C6" s="7" t="inlineStr">
        <is>
          <t>Presenta la INVERSIÓN INICIAL del proyecto bien clasificada, con las fuentes de financiamiento. Cálculo de la DEPRECIACIÓN ANUAL y de la AMORTIZACIÓN del capital y los intereses.</t>
        </is>
      </c>
      <c r="D6" s="7" t="inlineStr">
        <is>
          <t>Presenta de acuerdo a la planilla Excel solicitada, completo, pero con errores de clasificación y de cálculo.</t>
        </is>
      </c>
      <c r="E6" s="7" t="inlineStr">
        <is>
          <t>Se presenta de acuerdo a la planilla Excel solicitada, incompleto y mal clasificado, con muchos errores de cálculo.</t>
        </is>
      </c>
      <c r="F6" s="7" t="inlineStr">
        <is>
          <t>No utiliza la planilla Excel solicitada; errores de clasificación y de cálculo. Incompleta.</t>
        </is>
      </c>
    </row>
    <row r="7">
      <c r="C7" s="83" t="n">
        <v>20</v>
      </c>
      <c r="D7" s="83" t="n">
        <v>12</v>
      </c>
      <c r="E7" s="83" t="n">
        <v>10</v>
      </c>
      <c r="F7" s="83" t="n">
        <v>2</v>
      </c>
    </row>
    <row r="8" ht="58" customHeight="1">
      <c r="B8" s="61" t="n">
        <v>20</v>
      </c>
      <c r="C8" s="7" t="inlineStr">
        <is>
          <t>Presenta el ESTADO DE RESULTADOS con los conceptos bien clasificados y bien calculados.</t>
        </is>
      </c>
      <c r="D8" s="7" t="inlineStr">
        <is>
          <t>Presenta de acuerdo a la planilla Excel solicitada, completo, pero con errores de clasificación y de cálculo.</t>
        </is>
      </c>
      <c r="E8" s="7" t="inlineStr">
        <is>
          <t>Se presenta de acuerdo a la planilla Excel solicitada, incompleto y mal clasificado, con muchos errores de cálculo.</t>
        </is>
      </c>
      <c r="F8" s="7" t="inlineStr">
        <is>
          <t>No utiliza la planilla Excel solicitada; errores de clasificación y de cálculo. Incompleta.</t>
        </is>
      </c>
    </row>
    <row r="9">
      <c r="C9" s="83" t="n">
        <v>20</v>
      </c>
      <c r="D9" s="83" t="n">
        <v>12</v>
      </c>
      <c r="E9" s="83" t="n">
        <v>10</v>
      </c>
      <c r="F9" s="83" t="n">
        <v>2</v>
      </c>
    </row>
    <row r="10" ht="58" customHeight="1">
      <c r="B10" s="61" t="n">
        <v>20</v>
      </c>
      <c r="C10" s="7" t="inlineStr">
        <is>
          <t>Presenta el Excel de PROYECCIÓN A CINCO AÑOS, completa, bien clasificada y sin errores de cálculo.</t>
        </is>
      </c>
      <c r="D10" s="7" t="inlineStr">
        <is>
          <t>Presenta de acuerdo a la planilla Excel solicitada, completo, pero con errores de clasificación y de cálculo.</t>
        </is>
      </c>
      <c r="E10" s="7" t="inlineStr">
        <is>
          <t>Se presenta de acuerdo a la planilla Excel solicitada, incompleto y mal clasificado, con muchos errores de cálculo.</t>
        </is>
      </c>
      <c r="F10" s="7" t="inlineStr">
        <is>
          <t>No utiliza la planilla Excel solicitada; errores de clasificación y de cálculo. Incompleta.</t>
        </is>
      </c>
    </row>
    <row r="11">
      <c r="C11" s="83" t="n">
        <v>20</v>
      </c>
      <c r="D11" s="83" t="n">
        <v>12</v>
      </c>
      <c r="E11" s="83" t="n">
        <v>10</v>
      </c>
      <c r="F11" s="83" t="n">
        <v>2</v>
      </c>
    </row>
    <row r="12" ht="58" customHeight="1">
      <c r="B12" s="61" t="n">
        <v>10</v>
      </c>
      <c r="C12" s="7" t="inlineStr">
        <is>
          <t>Calcula el VAN y el PAY BACK sin errores de cálculo.</t>
        </is>
      </c>
      <c r="D12" s="7" t="inlineStr">
        <is>
          <t>Presenta errores de cálculo por clasificaciones y cifras. Presenta VAN y Pay Back.</t>
        </is>
      </c>
      <c r="E12" s="7" t="inlineStr">
        <is>
          <t>Presenta errores de cálculo. No presenta uno de los instrumentos de evaluación económica.</t>
        </is>
      </c>
      <c r="F12" s="7" t="inlineStr">
        <is>
          <t>Presenta errores de cálculo. No presenta dos de los instrumentos de evaluación económica.</t>
        </is>
      </c>
    </row>
    <row r="13">
      <c r="C13" s="83" t="n">
        <v>10</v>
      </c>
      <c r="D13" s="83" t="n">
        <v>6</v>
      </c>
      <c r="E13" s="83" t="n">
        <v>5</v>
      </c>
      <c r="F13" s="83" t="n">
        <v>1</v>
      </c>
    </row>
    <row r="14" ht="58" customHeight="1">
      <c r="B14" s="61" t="n">
        <v>30</v>
      </c>
      <c r="C14" s="7" t="inlineStr">
        <is>
          <t>TOMA DE DECISIONES del proyecto: 1) en base al VAN y 2) en base al Pay Back. Completa y con argumentos robustos y sólidos, justificando la respuesta.</t>
        </is>
      </c>
      <c r="D14" s="7" t="inlineStr">
        <is>
          <t>La toma de decisiones se presenta completa, pero con argumentos débiles.</t>
        </is>
      </c>
      <c r="E14" s="7" t="inlineStr">
        <is>
          <t>La toma de decisiones se presenta corta e incompleta, con argumentos débiles y sin justificación.</t>
        </is>
      </c>
      <c r="F14" s="7" t="inlineStr">
        <is>
          <t>Toma de decisiones incompleta, sin detalle y débil.</t>
        </is>
      </c>
    </row>
    <row r="15">
      <c r="C15" s="83" t="n">
        <v>30</v>
      </c>
      <c r="D15" s="83" t="n">
        <v>18</v>
      </c>
      <c r="E15" s="83" t="n">
        <v>15</v>
      </c>
      <c r="F15" s="83" t="n">
        <v>3</v>
      </c>
    </row>
    <row r="16">
      <c r="B16" s="61">
        <f>SUM(B6,B8,B10,B12,B14)</f>
        <v/>
      </c>
      <c r="C16" s="61">
        <f>SUM(C7,C9,C11,C13,C15)</f>
        <v/>
      </c>
      <c r="D16" s="61">
        <f>SUM(D7,D9,D11,D13,D15)</f>
        <v/>
      </c>
      <c r="E16" s="61">
        <f>SUM(E7,E9,E11,E13,E15)</f>
        <v/>
      </c>
      <c r="F16" s="61">
        <f>SUM(F7,F9,F11,F13,F15)</f>
        <v/>
      </c>
    </row>
    <row r="18">
      <c r="C18" s="57" t="inlineStr">
        <is>
          <t>INSTRUCCIONES DE ENTREGA</t>
        </is>
      </c>
    </row>
    <row r="19">
      <c r="C19" s="84" t="inlineStr">
        <is>
          <t>•  Todo se entrega en la planilla Excel de respuestas subida al AAI.</t>
        </is>
      </c>
    </row>
    <row r="20">
      <c r="C20" s="84" t="inlineStr">
        <is>
          <t>•  Todos los cálculos se deben hacer dentro de la planilla Excel de respuestas.</t>
        </is>
      </c>
    </row>
    <row r="21">
      <c r="C21" s="84" t="inlineStr">
        <is>
          <t>•  El Excel de respuestas se presenta con el nombre de todos los integrantes del equipo de trabajo.</t>
        </is>
      </c>
    </row>
  </sheetData>
  <mergeCells count="2">
    <mergeCell ref="B2:F2"/>
    <mergeCell ref="B3:F3"/>
  </mergeCells>
  <pageMargins left="0.75" right="0.75" top="1" bottom="1" header="0.5" footer="0.5"/>
  <pageSetup orientation="landscape" fitToHeight="0" fitToWidth="1"/>
  <headerFooter>
    <oddHeader>&amp;LTerraSense — Evaluación económica del proyecto</oddHeader>
    <oddFooter>&amp;RPágina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2026-08-31T18:56:15Z</dcterms:created>
  <dcterms:modified xsi:type="dcterms:W3CDTF">2026-08-31T18:56:15Z</dcterms:modified>
</cp:coreProperties>
</file>