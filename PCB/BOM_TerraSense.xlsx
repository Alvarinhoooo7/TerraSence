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 vigente provisional" sheetId="1" r:id="rId1"/>
  </sheets>
  <calcPr calcId="124519" fullCalcOnLoad="1"/>
</workbook>
</file>

<file path=xl/sharedStrings.xml><?xml version="1.0" encoding="utf-8"?>
<sst xmlns="http://schemas.openxmlformats.org/spreadsheetml/2006/main" count="39" uniqueCount="37">
  <si>
    <t>Componente</t>
  </si>
  <si>
    <t>Cantidad</t>
  </si>
  <si>
    <t>Neto unitario CLP</t>
  </si>
  <si>
    <t>Subtotal</t>
  </si>
  <si>
    <t>Estado / evidencia</t>
  </si>
  <si>
    <t>Sonda RS485 7-en-1 (SKU pendiente de ficha)</t>
  </si>
  <si>
    <t>Presupuesto neto puesto en taller; cotizar SKU y voltaje</t>
  </si>
  <si>
    <t>Placa de desarrollo ESP32-WROOM-32</t>
  </si>
  <si>
    <t>WROOM-32 confirmado por socios; referencia AFEL 8000 IVA incluido, variante de placa por confirmar</t>
  </si>
  <si>
    <t>Módulo ambiental Bosch BME280 I2C</t>
  </si>
  <si>
    <t>Precio indicado por socio el 2026-09-05: 3500 CLP; interpretado como precio final con IVA 19%, neto 3500/1.19. Crédito IVA sujeto a factura. Temperatura, humedad relativa y presión locales; no BMP280.</t>
  </si>
  <si>
    <t>PCB combinada USB-C carga + boost</t>
  </si>
  <si>
    <t>Precio confirmado por socios; sin crédito IVA hasta tener factura</t>
  </si>
  <si>
    <t>LiPo 2000 mAh protegida</t>
  </si>
  <si>
    <t>Presupuesto neto; cotizar dimensiones, descarga y protección</t>
  </si>
  <si>
    <t>SP3485 transceptor RS485 3.3 V</t>
  </si>
  <si>
    <t>Presupuesto neto; definir IC o módulo, no ambos</t>
  </si>
  <si>
    <t>Conector JST batería 3 pines con contraparte/cable</t>
  </si>
  <si>
    <t>Conector de batería confirmado, no módulo; pinout/tercer pin por verificar</t>
  </si>
  <si>
    <t>Pulsador</t>
  </si>
  <si>
    <t>Presupuesto neto</t>
  </si>
  <si>
    <t>LED SMD</t>
  </si>
  <si>
    <t>Presupuesto; cantidad provisional</t>
  </si>
  <si>
    <t>Pasivos, protección y terminación RS485</t>
  </si>
  <si>
    <t>Lote por equipo; revisar esquema/ESD</t>
  </si>
  <si>
    <t>PCB portadora y montaje externo SMD</t>
  </si>
  <si>
    <t>No incluye ensamblaje final, ya en personal</t>
  </si>
  <si>
    <t>Carcasa impresa en 3D PETG (servicio externo)</t>
  </si>
  <si>
    <t>Presupuesto neto por conjunto: material, máquina, energía y acabado incluidos; geometría y cotización pendientes. Sin compra de impresora ni duplicar MOD.</t>
  </si>
  <si>
    <t>Prensaestopas, fijaciones, juntas y respiradero BME280</t>
  </si>
  <si>
    <t>Presupuesto neto; ventilación protegida para medir aire exterior, sin encapsular el sensor. No acredita IP67.</t>
  </si>
  <si>
    <t>Cableado y conectores internos adicionales</t>
  </si>
  <si>
    <t>Embalaje, manual y etiqueta</t>
  </si>
  <si>
    <t>Flete de insumos y contingencia importación</t>
  </si>
  <si>
    <t>Reserva de costo neto adicional; no repetir IVA recuperable</t>
  </si>
  <si>
    <t>TOTAL NETO PROVISIONAL</t>
  </si>
  <si>
    <t>No es lista liberada a fabricación. ESP32 devkit + LiPo2000 + carga/boost900. Sin CH340/TP4056/MT3608 separados.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</si>
</sst>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58.7109375" customWidth="1"/>
    <col min="2" max="4" width="18.7109375" customWidth="1"/>
    <col min="5" max="5" width="90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</v>
      </c>
      <c r="C2">
        <v>48000</v>
      </c>
      <c r="D2">
        <f>B2*C2</f>
        <v>48000</v>
      </c>
      <c r="E2" t="s">
        <v>6</v>
      </c>
    </row>
    <row r="3" spans="1:5">
      <c r="A3" t="s">
        <v>7</v>
      </c>
      <c r="B3">
        <v>1</v>
      </c>
      <c r="C3">
        <v>6722.689075630252</v>
      </c>
      <c r="D3">
        <f>B3*C3</f>
        <v>6722.689075630252</v>
      </c>
      <c r="E3" t="s">
        <v>8</v>
      </c>
    </row>
    <row r="4" spans="1:5">
      <c r="A4" t="s">
        <v>9</v>
      </c>
      <c r="B4">
        <v>1</v>
      </c>
      <c r="C4">
        <v>2941.176470588235</v>
      </c>
      <c r="D4">
        <f>B4*C4</f>
        <v>2941.176470588235</v>
      </c>
      <c r="E4" t="s">
        <v>10</v>
      </c>
    </row>
    <row r="5" spans="1:5">
      <c r="A5" t="s">
        <v>11</v>
      </c>
      <c r="B5">
        <v>1</v>
      </c>
      <c r="C5">
        <v>900</v>
      </c>
      <c r="D5">
        <f>B5*C5</f>
        <v>900</v>
      </c>
      <c r="E5" t="s">
        <v>12</v>
      </c>
    </row>
    <row r="6" spans="1:5">
      <c r="A6" t="s">
        <v>13</v>
      </c>
      <c r="B6">
        <v>1</v>
      </c>
      <c r="C6">
        <v>4500</v>
      </c>
      <c r="D6">
        <f>B6*C6</f>
        <v>4500</v>
      </c>
      <c r="E6" t="s">
        <v>14</v>
      </c>
    </row>
    <row r="7" spans="1:5">
      <c r="A7" t="s">
        <v>15</v>
      </c>
      <c r="B7">
        <v>1</v>
      </c>
      <c r="C7">
        <v>900</v>
      </c>
      <c r="D7">
        <f>B7*C7</f>
        <v>900</v>
      </c>
      <c r="E7" t="s">
        <v>16</v>
      </c>
    </row>
    <row r="8" spans="1:5">
      <c r="A8" t="s">
        <v>17</v>
      </c>
      <c r="B8">
        <v>1</v>
      </c>
      <c r="C8">
        <v>450</v>
      </c>
      <c r="D8">
        <f>B8*C8</f>
        <v>450</v>
      </c>
      <c r="E8" t="s">
        <v>18</v>
      </c>
    </row>
    <row r="9" spans="1:5">
      <c r="A9" t="s">
        <v>19</v>
      </c>
      <c r="B9">
        <v>1</v>
      </c>
      <c r="C9">
        <v>250</v>
      </c>
      <c r="D9">
        <f>B9*C9</f>
        <v>250</v>
      </c>
      <c r="E9" t="s">
        <v>20</v>
      </c>
    </row>
    <row r="10" spans="1:5">
      <c r="A10" t="s">
        <v>21</v>
      </c>
      <c r="B10">
        <v>3</v>
      </c>
      <c r="C10">
        <v>40</v>
      </c>
      <c r="D10">
        <f>B10*C10</f>
        <v>120</v>
      </c>
      <c r="E10" t="s">
        <v>22</v>
      </c>
    </row>
    <row r="11" spans="1:5">
      <c r="A11" t="s">
        <v>23</v>
      </c>
      <c r="B11">
        <v>1</v>
      </c>
      <c r="C11">
        <v>1200</v>
      </c>
      <c r="D11">
        <f>B11*C11</f>
        <v>1200</v>
      </c>
      <c r="E11" t="s">
        <v>24</v>
      </c>
    </row>
    <row r="12" spans="1:5">
      <c r="A12" t="s">
        <v>25</v>
      </c>
      <c r="B12">
        <v>1</v>
      </c>
      <c r="C12">
        <v>2500</v>
      </c>
      <c r="D12">
        <f>B12*C12</f>
        <v>2500</v>
      </c>
      <c r="E12" t="s">
        <v>26</v>
      </c>
    </row>
    <row r="13" spans="1:5">
      <c r="A13" t="s">
        <v>27</v>
      </c>
      <c r="B13">
        <v>1</v>
      </c>
      <c r="C13">
        <v>6000</v>
      </c>
      <c r="D13">
        <f>B13*C13</f>
        <v>6000</v>
      </c>
      <c r="E13" t="s">
        <v>28</v>
      </c>
    </row>
    <row r="14" spans="1:5">
      <c r="A14" t="s">
        <v>29</v>
      </c>
      <c r="B14">
        <v>1</v>
      </c>
      <c r="C14">
        <v>1500</v>
      </c>
      <c r="D14">
        <f>B14*C14</f>
        <v>1500</v>
      </c>
      <c r="E14" t="s">
        <v>30</v>
      </c>
    </row>
    <row r="15" spans="1:5">
      <c r="A15" t="s">
        <v>31</v>
      </c>
      <c r="B15">
        <v>1</v>
      </c>
      <c r="C15">
        <v>700</v>
      </c>
      <c r="D15">
        <f>B15*C15</f>
        <v>700</v>
      </c>
      <c r="E15" t="s">
        <v>20</v>
      </c>
    </row>
    <row r="16" spans="1:5">
      <c r="A16" t="s">
        <v>32</v>
      </c>
      <c r="B16">
        <v>1</v>
      </c>
      <c r="C16">
        <v>2000</v>
      </c>
      <c r="D16">
        <f>B16*C16</f>
        <v>2000</v>
      </c>
      <c r="E16" t="s">
        <v>20</v>
      </c>
    </row>
    <row r="17" spans="1:5">
      <c r="A17" t="s">
        <v>33</v>
      </c>
      <c r="B17">
        <v>1</v>
      </c>
      <c r="C17">
        <v>2500</v>
      </c>
      <c r="D17">
        <f>B17*C17</f>
        <v>2500</v>
      </c>
      <c r="E17" t="s">
        <v>34</v>
      </c>
    </row>
    <row r="18" spans="1:5">
      <c r="A18" t="s">
        <v>35</v>
      </c>
      <c r="D18">
        <f>SUM(D2:D17)</f>
        <v>81183.8655462185</v>
      </c>
    </row>
    <row r="20" spans="1:5">
      <c r="A2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vigente provisional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2026-09-05T17:18:44Z</dcterms:created>
  <dcterms:modified xsi:type="dcterms:W3CDTF">2026-09-05T17:18:44Z</dcterms:modified>
</cp:coreProperties>
</file>